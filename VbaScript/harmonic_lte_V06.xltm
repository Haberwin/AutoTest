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on\Desktop\已完成的宏\"/>
    </mc:Choice>
  </mc:AlternateContent>
  <bookViews>
    <workbookView xWindow="255" yWindow="7440" windowWidth="15600" windowHeight="1170" tabRatio="335"/>
  </bookViews>
  <sheets>
    <sheet name="Notes" sheetId="44" r:id="rId1"/>
    <sheet name="Band1" sheetId="27" r:id="rId2"/>
    <sheet name="Band2" sheetId="28" r:id="rId3"/>
    <sheet name="Band3" sheetId="29" r:id="rId4"/>
    <sheet name="Band4" sheetId="30" r:id="rId5"/>
    <sheet name="Band5" sheetId="31" r:id="rId6"/>
    <sheet name="Band7" sheetId="32" r:id="rId7"/>
    <sheet name="Band8" sheetId="33" r:id="rId8"/>
    <sheet name="Band12" sheetId="34" r:id="rId9"/>
    <sheet name="Band13" sheetId="20" r:id="rId10"/>
    <sheet name="Band17" sheetId="35" r:id="rId11"/>
    <sheet name="Band19(JP)" sheetId="49" r:id="rId12"/>
    <sheet name="Band20" sheetId="36" r:id="rId13"/>
    <sheet name="Band25" sheetId="21" r:id="rId14"/>
    <sheet name="Band26" sheetId="22" r:id="rId15"/>
    <sheet name="Band28A" sheetId="39" r:id="rId16"/>
    <sheet name="Band28B" sheetId="40" r:id="rId17"/>
    <sheet name="Band30" sheetId="47" r:id="rId18"/>
    <sheet name="Band38" sheetId="23" r:id="rId19"/>
    <sheet name="Band39" sheetId="37" r:id="rId20"/>
    <sheet name="Band40" sheetId="38" r:id="rId21"/>
    <sheet name="Band41" sheetId="26" r:id="rId22"/>
  </sheets>
  <functionGroups builtInGroupCount="19"/>
  <definedNames>
    <definedName name="ATT_Spectrum">Notes!$C$12</definedName>
  </definedNames>
  <calcPr calcId="162913"/>
</workbook>
</file>

<file path=xl/calcChain.xml><?xml version="1.0" encoding="utf-8"?>
<calcChain xmlns="http://schemas.openxmlformats.org/spreadsheetml/2006/main">
  <c r="A8" i="47" l="1"/>
  <c r="B8" i="47"/>
  <c r="J8" i="47"/>
  <c r="K8" i="47"/>
  <c r="S8" i="47"/>
  <c r="T8" i="47"/>
  <c r="AB8" i="47"/>
  <c r="AC8" i="47"/>
  <c r="AK8" i="47"/>
  <c r="AL8" i="47"/>
  <c r="A9" i="47"/>
  <c r="B9" i="47"/>
  <c r="J9" i="47"/>
  <c r="K9" i="47"/>
  <c r="S9" i="47"/>
  <c r="T9" i="47"/>
  <c r="AB9" i="47"/>
  <c r="AC9" i="47"/>
  <c r="AK9" i="47"/>
  <c r="AL9" i="47"/>
  <c r="A10" i="47"/>
  <c r="B10" i="47"/>
  <c r="J10" i="47"/>
  <c r="K10" i="47"/>
  <c r="S10" i="47"/>
  <c r="T10" i="47"/>
  <c r="AB10" i="47"/>
  <c r="AC10" i="47"/>
  <c r="AK10" i="47"/>
  <c r="AL10" i="47"/>
  <c r="A11" i="47"/>
  <c r="B11" i="47"/>
  <c r="J11" i="47"/>
  <c r="K11" i="47"/>
  <c r="S11" i="47"/>
  <c r="T11" i="47"/>
  <c r="AB11" i="47"/>
  <c r="AC11" i="47"/>
  <c r="AK11" i="47"/>
  <c r="AL11" i="47"/>
  <c r="A7" i="33"/>
  <c r="B7" i="33"/>
  <c r="J7" i="33"/>
  <c r="K7" i="33"/>
  <c r="S7" i="33"/>
  <c r="T7" i="33"/>
  <c r="AB7" i="33"/>
  <c r="AC7" i="33"/>
  <c r="AK7" i="33"/>
  <c r="AL7" i="33"/>
  <c r="AT7" i="33"/>
  <c r="AU7" i="33"/>
  <c r="BC7" i="33"/>
  <c r="BD7" i="33"/>
  <c r="BL7" i="33"/>
  <c r="BM7" i="33"/>
  <c r="BU7" i="33"/>
  <c r="BV7" i="33"/>
  <c r="CD7" i="33"/>
  <c r="CE7" i="33"/>
  <c r="CM7" i="33"/>
  <c r="CN7" i="33"/>
  <c r="A8" i="33"/>
  <c r="B8" i="33"/>
  <c r="J8" i="33"/>
  <c r="K8" i="33"/>
  <c r="S8" i="33"/>
  <c r="T8" i="33"/>
  <c r="AB8" i="33"/>
  <c r="AC8" i="33"/>
  <c r="AK8" i="33"/>
  <c r="AL8" i="33"/>
  <c r="AT8" i="33"/>
  <c r="AU8" i="33"/>
  <c r="BC8" i="33"/>
  <c r="BD8" i="33"/>
  <c r="BL8" i="33"/>
  <c r="BM8" i="33"/>
  <c r="BU8" i="33"/>
  <c r="BV8" i="33"/>
  <c r="CD8" i="33"/>
  <c r="CE8" i="33"/>
  <c r="CM8" i="33"/>
  <c r="CN8" i="33"/>
  <c r="A9" i="33"/>
  <c r="B9" i="33"/>
  <c r="J9" i="33"/>
  <c r="K9" i="33"/>
  <c r="S9" i="33"/>
  <c r="T9" i="33"/>
  <c r="AB9" i="33"/>
  <c r="AC9" i="33"/>
  <c r="AK9" i="33"/>
  <c r="AL9" i="33"/>
  <c r="AT9" i="33"/>
  <c r="AU9" i="33"/>
  <c r="BC9" i="33"/>
  <c r="BD9" i="33"/>
  <c r="BL9" i="33"/>
  <c r="BM9" i="33"/>
  <c r="BU9" i="33"/>
  <c r="BV9" i="33"/>
  <c r="CD9" i="33"/>
  <c r="CE9" i="33"/>
  <c r="CM9" i="33"/>
  <c r="CN9" i="33"/>
  <c r="A10" i="33"/>
  <c r="B10" i="33"/>
  <c r="J10" i="33"/>
  <c r="K10" i="33"/>
  <c r="S10" i="33"/>
  <c r="T10" i="33"/>
  <c r="AB10" i="33"/>
  <c r="AC10" i="33"/>
  <c r="AK10" i="33"/>
  <c r="AL10" i="33"/>
  <c r="AT10" i="33"/>
  <c r="AU10" i="33"/>
  <c r="BC10" i="33"/>
  <c r="BD10" i="33"/>
  <c r="BL10" i="33"/>
  <c r="BM10" i="33"/>
  <c r="BU10" i="33"/>
  <c r="BV10" i="33"/>
  <c r="CD10" i="33"/>
  <c r="CE10" i="33"/>
  <c r="CM10" i="33"/>
  <c r="CN10" i="33"/>
  <c r="A11" i="33"/>
  <c r="B11" i="33"/>
  <c r="J11" i="33"/>
  <c r="K11" i="33"/>
  <c r="S11" i="33"/>
  <c r="T11" i="33"/>
  <c r="AB11" i="33"/>
  <c r="AC11" i="33"/>
  <c r="AK11" i="33"/>
  <c r="AL11" i="33"/>
  <c r="AT11" i="33"/>
  <c r="AU11" i="33"/>
  <c r="BC11" i="33"/>
  <c r="BD11" i="33"/>
  <c r="BL11" i="33"/>
  <c r="BM11" i="33"/>
  <c r="BU11" i="33"/>
  <c r="BV11" i="33"/>
  <c r="CD11" i="33"/>
  <c r="CE11" i="33"/>
  <c r="CM11" i="33"/>
  <c r="CN11" i="33"/>
  <c r="A12" i="33"/>
  <c r="B12" i="33"/>
  <c r="J12" i="33"/>
  <c r="K12" i="33"/>
  <c r="S12" i="33"/>
  <c r="T12" i="33"/>
  <c r="AB12" i="33"/>
  <c r="AC12" i="33"/>
  <c r="AK12" i="33"/>
  <c r="AL12" i="33"/>
  <c r="AT12" i="33"/>
  <c r="AU12" i="33"/>
  <c r="BC12" i="33"/>
  <c r="BD12" i="33"/>
  <c r="BL12" i="33"/>
  <c r="BM12" i="33"/>
  <c r="BU12" i="33"/>
  <c r="BV12" i="33"/>
  <c r="CD12" i="33"/>
  <c r="CE12" i="33"/>
  <c r="CM12" i="33"/>
  <c r="CN12" i="33"/>
  <c r="A13" i="33"/>
  <c r="B13" i="33"/>
  <c r="J13" i="33"/>
  <c r="K13" i="33"/>
  <c r="S13" i="33"/>
  <c r="T13" i="33"/>
  <c r="AB13" i="33"/>
  <c r="AC13" i="33"/>
  <c r="AK13" i="33"/>
  <c r="AL13" i="33"/>
  <c r="AT13" i="33"/>
  <c r="AU13" i="33"/>
  <c r="BC13" i="33"/>
  <c r="BD13" i="33"/>
  <c r="BL13" i="33"/>
  <c r="BM13" i="33"/>
  <c r="BU13" i="33"/>
  <c r="BV13" i="33"/>
  <c r="CD13" i="33"/>
  <c r="CE13" i="33"/>
  <c r="CM13" i="33"/>
  <c r="CN13" i="33"/>
  <c r="A14" i="33"/>
  <c r="B14" i="33"/>
  <c r="J14" i="33"/>
  <c r="K14" i="33"/>
  <c r="S14" i="33"/>
  <c r="T14" i="33"/>
  <c r="AB14" i="33"/>
  <c r="AC14" i="33"/>
  <c r="AK14" i="33"/>
  <c r="AL14" i="33"/>
  <c r="AT14" i="33"/>
  <c r="AU14" i="33"/>
  <c r="BC14" i="33"/>
  <c r="BD14" i="33"/>
  <c r="BL14" i="33"/>
  <c r="BM14" i="33"/>
  <c r="BU14" i="33"/>
  <c r="BV14" i="33"/>
  <c r="CD14" i="33"/>
  <c r="CE14" i="33"/>
  <c r="CM14" i="33"/>
  <c r="CN14" i="33"/>
  <c r="A15" i="33"/>
  <c r="B15" i="33"/>
  <c r="J15" i="33"/>
  <c r="K15" i="33"/>
  <c r="S15" i="33"/>
  <c r="T15" i="33"/>
  <c r="AB15" i="33"/>
  <c r="AC15" i="33"/>
  <c r="AK15" i="33"/>
  <c r="AL15" i="33"/>
  <c r="AT15" i="33"/>
  <c r="AU15" i="33"/>
  <c r="BC15" i="33"/>
  <c r="BD15" i="33"/>
  <c r="BL15" i="33"/>
  <c r="BM15" i="33"/>
  <c r="BU15" i="33"/>
  <c r="BV15" i="33"/>
  <c r="CD15" i="33"/>
  <c r="CE15" i="33"/>
  <c r="CM15" i="33"/>
  <c r="CN15" i="33"/>
  <c r="A16" i="33"/>
  <c r="B16" i="33"/>
  <c r="J16" i="33"/>
  <c r="K16" i="33"/>
  <c r="S16" i="33"/>
  <c r="T16" i="33"/>
  <c r="AB16" i="33"/>
  <c r="AC16" i="33"/>
  <c r="AK16" i="33"/>
  <c r="AL16" i="33"/>
  <c r="AT16" i="33"/>
  <c r="AU16" i="33"/>
  <c r="BC16" i="33"/>
  <c r="BD16" i="33"/>
  <c r="BL16" i="33"/>
  <c r="BM16" i="33"/>
  <c r="BU16" i="33"/>
  <c r="BV16" i="33"/>
  <c r="CD16" i="33"/>
  <c r="CE16" i="33"/>
  <c r="CM16" i="33"/>
  <c r="CN16" i="33"/>
  <c r="A17" i="33"/>
  <c r="B17" i="33"/>
  <c r="J17" i="33"/>
  <c r="K17" i="33"/>
  <c r="S17" i="33"/>
  <c r="T17" i="33"/>
  <c r="AB17" i="33"/>
  <c r="AC17" i="33"/>
  <c r="AK17" i="33"/>
  <c r="AL17" i="33"/>
  <c r="AT17" i="33"/>
  <c r="AU17" i="33"/>
  <c r="BC17" i="33"/>
  <c r="BD17" i="33"/>
  <c r="BL17" i="33"/>
  <c r="BM17" i="33"/>
  <c r="BU17" i="33"/>
  <c r="BV17" i="33"/>
  <c r="CD17" i="33"/>
  <c r="CE17" i="33"/>
  <c r="CM17" i="33"/>
  <c r="CN17" i="33"/>
  <c r="A18" i="33"/>
  <c r="B18" i="33"/>
  <c r="J18" i="33"/>
  <c r="K18" i="33"/>
  <c r="S18" i="33"/>
  <c r="T18" i="33"/>
  <c r="AB18" i="33"/>
  <c r="AC18" i="33"/>
  <c r="AK18" i="33"/>
  <c r="AL18" i="33"/>
  <c r="AT18" i="33"/>
  <c r="AU18" i="33"/>
  <c r="BC18" i="33"/>
  <c r="BD18" i="33"/>
  <c r="BL18" i="33"/>
  <c r="BM18" i="33"/>
  <c r="BU18" i="33"/>
  <c r="BV18" i="33"/>
  <c r="CD18" i="33"/>
  <c r="CE18" i="33"/>
  <c r="CM18" i="33"/>
  <c r="CN18" i="33"/>
  <c r="A7" i="34"/>
  <c r="B7" i="34"/>
  <c r="J7" i="34"/>
  <c r="K7" i="34"/>
  <c r="S7" i="34"/>
  <c r="T7" i="34"/>
  <c r="AB7" i="34"/>
  <c r="AC7" i="34"/>
  <c r="AK7" i="34"/>
  <c r="AL7" i="34"/>
  <c r="AT7" i="34"/>
  <c r="AU7" i="34"/>
  <c r="BC7" i="34"/>
  <c r="BD7" i="34"/>
  <c r="BL7" i="34"/>
  <c r="BM7" i="34"/>
  <c r="BU7" i="34"/>
  <c r="BV7" i="34"/>
  <c r="CD7" i="34"/>
  <c r="CE7" i="34"/>
  <c r="CM7" i="34"/>
  <c r="CN7" i="34"/>
  <c r="A8" i="34"/>
  <c r="B8" i="34"/>
  <c r="J8" i="34"/>
  <c r="K8" i="34"/>
  <c r="S8" i="34"/>
  <c r="T8" i="34"/>
  <c r="AB8" i="34"/>
  <c r="AC8" i="34"/>
  <c r="AK8" i="34"/>
  <c r="AL8" i="34"/>
  <c r="AT8" i="34"/>
  <c r="AU8" i="34"/>
  <c r="BC8" i="34"/>
  <c r="BD8" i="34"/>
  <c r="BL8" i="34"/>
  <c r="BM8" i="34"/>
  <c r="BU8" i="34"/>
  <c r="BV8" i="34"/>
  <c r="CD8" i="34"/>
  <c r="CE8" i="34"/>
  <c r="CM8" i="34"/>
  <c r="CN8" i="34"/>
  <c r="A9" i="34"/>
  <c r="B9" i="34"/>
  <c r="J9" i="34"/>
  <c r="K9" i="34"/>
  <c r="S9" i="34"/>
  <c r="T9" i="34"/>
  <c r="AB9" i="34"/>
  <c r="AC9" i="34"/>
  <c r="AK9" i="34"/>
  <c r="AL9" i="34"/>
  <c r="AT9" i="34"/>
  <c r="AU9" i="34"/>
  <c r="BC9" i="34"/>
  <c r="BD9" i="34"/>
  <c r="BL9" i="34"/>
  <c r="BM9" i="34"/>
  <c r="BU9" i="34"/>
  <c r="BV9" i="34"/>
  <c r="CD9" i="34"/>
  <c r="CE9" i="34"/>
  <c r="CM9" i="34"/>
  <c r="CN9" i="34"/>
  <c r="A10" i="34"/>
  <c r="B10" i="34"/>
  <c r="J10" i="34"/>
  <c r="K10" i="34"/>
  <c r="S10" i="34"/>
  <c r="T10" i="34"/>
  <c r="AB10" i="34"/>
  <c r="AC10" i="34"/>
  <c r="AK10" i="34"/>
  <c r="AL10" i="34"/>
  <c r="AT10" i="34"/>
  <c r="AU10" i="34"/>
  <c r="BC10" i="34"/>
  <c r="BD10" i="34"/>
  <c r="BL10" i="34"/>
  <c r="BM10" i="34"/>
  <c r="BU10" i="34"/>
  <c r="BV10" i="34"/>
  <c r="CD10" i="34"/>
  <c r="CE10" i="34"/>
  <c r="CM10" i="34"/>
  <c r="CN10" i="34"/>
  <c r="A11" i="34"/>
  <c r="B11" i="34"/>
  <c r="J11" i="34"/>
  <c r="K11" i="34"/>
  <c r="S11" i="34"/>
  <c r="T11" i="34"/>
  <c r="AB11" i="34"/>
  <c r="AC11" i="34"/>
  <c r="AK11" i="34"/>
  <c r="AL11" i="34"/>
  <c r="AT11" i="34"/>
  <c r="AU11" i="34"/>
  <c r="BC11" i="34"/>
  <c r="BD11" i="34"/>
  <c r="BL11" i="34"/>
  <c r="BM11" i="34"/>
  <c r="BU11" i="34"/>
  <c r="BV11" i="34"/>
  <c r="CD11" i="34"/>
  <c r="CE11" i="34"/>
  <c r="CM11" i="34"/>
  <c r="CN11" i="34"/>
  <c r="A12" i="34"/>
  <c r="B12" i="34"/>
  <c r="J12" i="34"/>
  <c r="K12" i="34"/>
  <c r="S12" i="34"/>
  <c r="T12" i="34"/>
  <c r="AB12" i="34"/>
  <c r="AC12" i="34"/>
  <c r="AK12" i="34"/>
  <c r="AL12" i="34"/>
  <c r="AT12" i="34"/>
  <c r="AU12" i="34"/>
  <c r="BC12" i="34"/>
  <c r="BD12" i="34"/>
  <c r="BL12" i="34"/>
  <c r="BM12" i="34"/>
  <c r="BU12" i="34"/>
  <c r="BV12" i="34"/>
  <c r="CD12" i="34"/>
  <c r="CE12" i="34"/>
  <c r="CM12" i="34"/>
  <c r="CN12" i="34"/>
  <c r="A13" i="34"/>
  <c r="B13" i="34"/>
  <c r="J13" i="34"/>
  <c r="K13" i="34"/>
  <c r="S13" i="34"/>
  <c r="T13" i="34"/>
  <c r="AB13" i="34"/>
  <c r="AC13" i="34"/>
  <c r="AK13" i="34"/>
  <c r="AL13" i="34"/>
  <c r="AT13" i="34"/>
  <c r="AU13" i="34"/>
  <c r="BC13" i="34"/>
  <c r="BD13" i="34"/>
  <c r="BL13" i="34"/>
  <c r="BM13" i="34"/>
  <c r="BU13" i="34"/>
  <c r="BV13" i="34"/>
  <c r="CD13" i="34"/>
  <c r="CE13" i="34"/>
  <c r="CM13" i="34"/>
  <c r="CN13" i="34"/>
  <c r="A14" i="34"/>
  <c r="B14" i="34"/>
  <c r="J14" i="34"/>
  <c r="K14" i="34"/>
  <c r="S14" i="34"/>
  <c r="T14" i="34"/>
  <c r="AB14" i="34"/>
  <c r="AC14" i="34"/>
  <c r="AK14" i="34"/>
  <c r="AL14" i="34"/>
  <c r="AT14" i="34"/>
  <c r="AU14" i="34"/>
  <c r="BC14" i="34"/>
  <c r="BD14" i="34"/>
  <c r="BL14" i="34"/>
  <c r="BM14" i="34"/>
  <c r="BU14" i="34"/>
  <c r="BV14" i="34"/>
  <c r="CD14" i="34"/>
  <c r="CE14" i="34"/>
  <c r="CM14" i="34"/>
  <c r="CN14" i="34"/>
  <c r="A15" i="34"/>
  <c r="B15" i="34"/>
  <c r="J15" i="34"/>
  <c r="K15" i="34"/>
  <c r="S15" i="34"/>
  <c r="T15" i="34"/>
  <c r="AB15" i="34"/>
  <c r="AC15" i="34"/>
  <c r="AK15" i="34"/>
  <c r="AL15" i="34"/>
  <c r="AT15" i="34"/>
  <c r="AU15" i="34"/>
  <c r="BC15" i="34"/>
  <c r="BD15" i="34"/>
  <c r="BL15" i="34"/>
  <c r="BM15" i="34"/>
  <c r="BU15" i="34"/>
  <c r="BV15" i="34"/>
  <c r="CD15" i="34"/>
  <c r="CE15" i="34"/>
  <c r="CM15" i="34"/>
  <c r="CN15" i="34"/>
  <c r="A16" i="34"/>
  <c r="B16" i="34"/>
  <c r="J16" i="34"/>
  <c r="K16" i="34"/>
  <c r="S16" i="34"/>
  <c r="T16" i="34"/>
  <c r="AB16" i="34"/>
  <c r="AC16" i="34"/>
  <c r="AK16" i="34"/>
  <c r="AL16" i="34"/>
  <c r="AT16" i="34"/>
  <c r="AU16" i="34"/>
  <c r="BC16" i="34"/>
  <c r="BD16" i="34"/>
  <c r="BL16" i="34"/>
  <c r="BM16" i="34"/>
  <c r="BU16" i="34"/>
  <c r="BV16" i="34"/>
  <c r="CD16" i="34"/>
  <c r="CE16" i="34"/>
  <c r="CM16" i="34"/>
  <c r="CN16" i="34"/>
  <c r="A17" i="34"/>
  <c r="B17" i="34"/>
  <c r="J17" i="34"/>
  <c r="K17" i="34"/>
  <c r="S17" i="34"/>
  <c r="T17" i="34"/>
  <c r="AB17" i="34"/>
  <c r="AC17" i="34"/>
  <c r="AK17" i="34"/>
  <c r="AL17" i="34"/>
  <c r="AT17" i="34"/>
  <c r="AU17" i="34"/>
  <c r="BC17" i="34"/>
  <c r="BD17" i="34"/>
  <c r="BL17" i="34"/>
  <c r="BM17" i="34"/>
  <c r="BU17" i="34"/>
  <c r="BV17" i="34"/>
  <c r="CD17" i="34"/>
  <c r="CE17" i="34"/>
  <c r="CM17" i="34"/>
  <c r="CN17" i="34"/>
  <c r="A18" i="34"/>
  <c r="B18" i="34"/>
  <c r="J18" i="34"/>
  <c r="K18" i="34"/>
  <c r="S18" i="34"/>
  <c r="T18" i="34"/>
  <c r="AB18" i="34"/>
  <c r="AC18" i="34"/>
  <c r="AK18" i="34"/>
  <c r="AL18" i="34"/>
  <c r="AT18" i="34"/>
  <c r="AU18" i="34"/>
  <c r="BC18" i="34"/>
  <c r="BD18" i="34"/>
  <c r="BL18" i="34"/>
  <c r="BM18" i="34"/>
  <c r="BU18" i="34"/>
  <c r="BV18" i="34"/>
  <c r="CD18" i="34"/>
  <c r="CE18" i="34"/>
  <c r="CM18" i="34"/>
  <c r="CN18" i="34"/>
  <c r="A19" i="34"/>
  <c r="B19" i="34"/>
  <c r="J19" i="34"/>
  <c r="K19" i="34"/>
  <c r="S19" i="34"/>
  <c r="T19" i="34"/>
  <c r="AB19" i="34"/>
  <c r="AC19" i="34"/>
  <c r="AK19" i="34"/>
  <c r="AL19" i="34"/>
  <c r="AT19" i="34"/>
  <c r="AU19" i="34"/>
  <c r="BC19" i="34"/>
  <c r="BD19" i="34"/>
  <c r="BL19" i="34"/>
  <c r="BM19" i="34"/>
  <c r="BU19" i="34"/>
  <c r="BV19" i="34"/>
  <c r="CD19" i="34"/>
  <c r="CE19" i="34"/>
  <c r="CM19" i="34"/>
  <c r="CN19" i="34"/>
  <c r="A20" i="34"/>
  <c r="B20" i="34"/>
  <c r="J20" i="34"/>
  <c r="K20" i="34"/>
  <c r="S20" i="34"/>
  <c r="T20" i="34"/>
  <c r="AB20" i="34"/>
  <c r="AC20" i="34"/>
  <c r="AK20" i="34"/>
  <c r="AL20" i="34"/>
  <c r="AT20" i="34"/>
  <c r="AU20" i="34"/>
  <c r="BC20" i="34"/>
  <c r="BD20" i="34"/>
  <c r="BL20" i="34"/>
  <c r="BM20" i="34"/>
  <c r="BU20" i="34"/>
  <c r="BV20" i="34"/>
  <c r="CD20" i="34"/>
  <c r="CE20" i="34"/>
  <c r="CM20" i="34"/>
  <c r="CN20" i="34"/>
  <c r="A21" i="34"/>
  <c r="B21" i="34"/>
  <c r="J21" i="34"/>
  <c r="K21" i="34"/>
  <c r="S21" i="34"/>
  <c r="T21" i="34"/>
  <c r="AB21" i="34"/>
  <c r="AC21" i="34"/>
  <c r="AK21" i="34"/>
  <c r="AL21" i="34"/>
  <c r="AT21" i="34"/>
  <c r="AU21" i="34"/>
  <c r="BC21" i="34"/>
  <c r="BD21" i="34"/>
  <c r="BL21" i="34"/>
  <c r="BM21" i="34"/>
  <c r="BU21" i="34"/>
  <c r="BV21" i="34"/>
  <c r="CD21" i="34"/>
  <c r="CE21" i="34"/>
  <c r="CM21" i="34"/>
  <c r="CN21" i="34"/>
  <c r="A22" i="34"/>
  <c r="B22" i="34"/>
  <c r="J22" i="34"/>
  <c r="K22" i="34"/>
  <c r="S22" i="34"/>
  <c r="T22" i="34"/>
  <c r="AB22" i="34"/>
  <c r="AC22" i="34"/>
  <c r="AK22" i="34"/>
  <c r="AL22" i="34"/>
  <c r="AT22" i="34"/>
  <c r="AU22" i="34"/>
  <c r="BC22" i="34"/>
  <c r="BD22" i="34"/>
  <c r="BL22" i="34"/>
  <c r="BM22" i="34"/>
  <c r="BU22" i="34"/>
  <c r="BV22" i="34"/>
  <c r="CD22" i="34"/>
  <c r="CE22" i="34"/>
  <c r="CM22" i="34"/>
  <c r="CN22" i="34"/>
  <c r="BD11" i="47" l="1"/>
  <c r="BC11" i="47"/>
  <c r="BD10" i="47"/>
  <c r="BC10" i="47"/>
  <c r="BD9" i="47"/>
  <c r="BC9" i="47"/>
  <c r="BD8" i="47"/>
  <c r="BC8" i="47"/>
  <c r="BD22" i="49"/>
  <c r="BC22" i="49"/>
  <c r="AU22" i="49"/>
  <c r="AT22" i="49"/>
  <c r="AL22" i="49"/>
  <c r="AK22" i="49"/>
  <c r="AC22" i="49"/>
  <c r="AB22" i="49"/>
  <c r="T22" i="49"/>
  <c r="S22" i="49"/>
  <c r="K22" i="49"/>
  <c r="J22" i="49"/>
  <c r="B22" i="49"/>
  <c r="A22" i="49"/>
  <c r="BD21" i="49"/>
  <c r="BC21" i="49"/>
  <c r="AU21" i="49"/>
  <c r="AT21" i="49"/>
  <c r="AL21" i="49"/>
  <c r="AK21" i="49"/>
  <c r="AC21" i="49"/>
  <c r="AB21" i="49"/>
  <c r="T21" i="49"/>
  <c r="S21" i="49"/>
  <c r="K21" i="49"/>
  <c r="J21" i="49"/>
  <c r="B21" i="49"/>
  <c r="A21" i="49"/>
  <c r="BD20" i="49"/>
  <c r="BC20" i="49"/>
  <c r="AU20" i="49"/>
  <c r="AT20" i="49"/>
  <c r="AL20" i="49"/>
  <c r="AK20" i="49"/>
  <c r="AC20" i="49"/>
  <c r="AB20" i="49"/>
  <c r="T20" i="49"/>
  <c r="S20" i="49"/>
  <c r="K20" i="49"/>
  <c r="J20" i="49"/>
  <c r="B20" i="49"/>
  <c r="A20" i="49"/>
  <c r="BD19" i="49"/>
  <c r="BC19" i="49"/>
  <c r="AU19" i="49"/>
  <c r="AT19" i="49"/>
  <c r="AL19" i="49"/>
  <c r="AK19" i="49"/>
  <c r="AC19" i="49"/>
  <c r="AB19" i="49"/>
  <c r="T19" i="49"/>
  <c r="S19" i="49"/>
  <c r="K19" i="49"/>
  <c r="J19" i="49"/>
  <c r="B19" i="49"/>
  <c r="A19" i="49"/>
  <c r="BD18" i="49"/>
  <c r="BC18" i="49"/>
  <c r="AU18" i="49"/>
  <c r="AT18" i="49"/>
  <c r="AL18" i="49"/>
  <c r="AK18" i="49"/>
  <c r="AC18" i="49"/>
  <c r="AB18" i="49"/>
  <c r="T18" i="49"/>
  <c r="S18" i="49"/>
  <c r="K18" i="49"/>
  <c r="J18" i="49"/>
  <c r="B18" i="49"/>
  <c r="A18" i="49"/>
  <c r="BD17" i="49"/>
  <c r="BC17" i="49"/>
  <c r="AU17" i="49"/>
  <c r="AT17" i="49"/>
  <c r="AL17" i="49"/>
  <c r="AK17" i="49"/>
  <c r="AC17" i="49"/>
  <c r="AB17" i="49"/>
  <c r="T17" i="49"/>
  <c r="S17" i="49"/>
  <c r="K17" i="49"/>
  <c r="J17" i="49"/>
  <c r="B17" i="49"/>
  <c r="A17" i="49"/>
  <c r="BD16" i="49"/>
  <c r="BC16" i="49"/>
  <c r="AU16" i="49"/>
  <c r="AT16" i="49"/>
  <c r="AL16" i="49"/>
  <c r="AK16" i="49"/>
  <c r="AC16" i="49"/>
  <c r="AB16" i="49"/>
  <c r="T16" i="49"/>
  <c r="S16" i="49"/>
  <c r="K16" i="49"/>
  <c r="J16" i="49"/>
  <c r="B16" i="49"/>
  <c r="A16" i="49"/>
  <c r="BD15" i="49"/>
  <c r="BC15" i="49"/>
  <c r="AU15" i="49"/>
  <c r="AT15" i="49"/>
  <c r="AL15" i="49"/>
  <c r="AK15" i="49"/>
  <c r="AC15" i="49"/>
  <c r="AB15" i="49"/>
  <c r="T15" i="49"/>
  <c r="S15" i="49"/>
  <c r="K15" i="49"/>
  <c r="J15" i="49"/>
  <c r="B15" i="49"/>
  <c r="A15" i="49"/>
  <c r="BD14" i="49"/>
  <c r="BC14" i="49"/>
  <c r="AU14" i="49"/>
  <c r="AT14" i="49"/>
  <c r="AL14" i="49"/>
  <c r="AK14" i="49"/>
  <c r="AC14" i="49"/>
  <c r="AB14" i="49"/>
  <c r="T14" i="49"/>
  <c r="S14" i="49"/>
  <c r="K14" i="49"/>
  <c r="J14" i="49"/>
  <c r="B14" i="49"/>
  <c r="A14" i="49"/>
  <c r="BD13" i="49"/>
  <c r="BC13" i="49"/>
  <c r="AU13" i="49"/>
  <c r="AT13" i="49"/>
  <c r="AL13" i="49"/>
  <c r="AK13" i="49"/>
  <c r="AC13" i="49"/>
  <c r="AB13" i="49"/>
  <c r="T13" i="49"/>
  <c r="S13" i="49"/>
  <c r="K13" i="49"/>
  <c r="J13" i="49"/>
  <c r="B13" i="49"/>
  <c r="A13" i="49"/>
  <c r="BD12" i="49"/>
  <c r="BC12" i="49"/>
  <c r="AU12" i="49"/>
  <c r="AT12" i="49"/>
  <c r="AL12" i="49"/>
  <c r="AK12" i="49"/>
  <c r="AC12" i="49"/>
  <c r="AB12" i="49"/>
  <c r="T12" i="49"/>
  <c r="S12" i="49"/>
  <c r="K12" i="49"/>
  <c r="J12" i="49"/>
  <c r="B12" i="49"/>
  <c r="A12" i="49"/>
  <c r="BD11" i="49"/>
  <c r="BC11" i="49"/>
  <c r="AU11" i="49"/>
  <c r="AT11" i="49"/>
  <c r="AL11" i="49"/>
  <c r="AK11" i="49"/>
  <c r="AC11" i="49"/>
  <c r="AB11" i="49"/>
  <c r="T11" i="49"/>
  <c r="S11" i="49"/>
  <c r="K11" i="49"/>
  <c r="J11" i="49"/>
  <c r="B11" i="49"/>
  <c r="A11" i="49"/>
  <c r="BD10" i="49"/>
  <c r="BC10" i="49"/>
  <c r="AU10" i="49"/>
  <c r="AT10" i="49"/>
  <c r="AL10" i="49"/>
  <c r="AK10" i="49"/>
  <c r="AC10" i="49"/>
  <c r="AB10" i="49"/>
  <c r="T10" i="49"/>
  <c r="S10" i="49"/>
  <c r="K10" i="49"/>
  <c r="J10" i="49"/>
  <c r="B10" i="49"/>
  <c r="A10" i="49"/>
  <c r="BD9" i="49"/>
  <c r="BC9" i="49"/>
  <c r="AU9" i="49"/>
  <c r="AT9" i="49"/>
  <c r="AL9" i="49"/>
  <c r="AK9" i="49"/>
  <c r="AC9" i="49"/>
  <c r="AB9" i="49"/>
  <c r="T9" i="49"/>
  <c r="S9" i="49"/>
  <c r="K9" i="49"/>
  <c r="J9" i="49"/>
  <c r="B9" i="49"/>
  <c r="A9" i="49"/>
  <c r="BD8" i="49"/>
  <c r="BC8" i="49"/>
  <c r="AU8" i="49"/>
  <c r="AT8" i="49"/>
  <c r="AL8" i="49"/>
  <c r="AK8" i="49"/>
  <c r="AC8" i="49"/>
  <c r="AB8" i="49"/>
  <c r="T8" i="49"/>
  <c r="S8" i="49"/>
  <c r="K8" i="49"/>
  <c r="J8" i="49"/>
  <c r="B8" i="49"/>
  <c r="A8" i="49"/>
  <c r="BV11" i="47" l="1"/>
  <c r="BU11" i="47"/>
  <c r="BV10" i="47"/>
  <c r="BU10" i="47"/>
  <c r="BV9" i="47"/>
  <c r="BU9" i="47"/>
  <c r="BV8" i="47"/>
  <c r="BU8" i="47"/>
  <c r="BM11" i="47"/>
  <c r="BL11" i="47"/>
  <c r="BM10" i="47"/>
  <c r="BL10" i="47"/>
  <c r="BM9" i="47"/>
  <c r="BL9" i="47"/>
  <c r="BM8" i="47"/>
  <c r="BL8" i="47"/>
  <c r="AU11" i="47"/>
  <c r="AT11" i="47"/>
  <c r="AU10" i="47"/>
  <c r="AT10" i="47"/>
  <c r="AU9" i="47"/>
  <c r="AT9" i="47"/>
  <c r="AU8" i="47"/>
  <c r="AT8" i="47"/>
  <c r="A9" i="20" l="1"/>
  <c r="B9" i="20"/>
  <c r="J9" i="20"/>
  <c r="K9" i="20"/>
  <c r="S9" i="20"/>
  <c r="T9" i="20"/>
  <c r="A10" i="20"/>
  <c r="B10" i="20"/>
  <c r="J10" i="20"/>
  <c r="K10" i="20"/>
  <c r="S10" i="20"/>
  <c r="T10" i="20"/>
  <c r="A11" i="20"/>
  <c r="B11" i="20"/>
  <c r="J11" i="20"/>
  <c r="K11" i="20"/>
  <c r="S11" i="20"/>
  <c r="T11" i="20"/>
  <c r="A12" i="20"/>
  <c r="B12" i="20"/>
  <c r="J12" i="20"/>
  <c r="K12" i="20"/>
  <c r="S12" i="20"/>
  <c r="T12" i="20"/>
  <c r="A13" i="20"/>
  <c r="B13" i="20"/>
  <c r="J13" i="20"/>
  <c r="K13" i="20"/>
  <c r="S13" i="20"/>
  <c r="T13" i="20"/>
  <c r="A14" i="20"/>
  <c r="B14" i="20"/>
  <c r="J14" i="20"/>
  <c r="K14" i="20"/>
  <c r="S14" i="20"/>
  <c r="T14" i="20"/>
  <c r="A15" i="20"/>
  <c r="B15" i="20"/>
  <c r="J15" i="20"/>
  <c r="K15" i="20"/>
  <c r="S15" i="20"/>
  <c r="T15" i="20"/>
  <c r="A16" i="20"/>
  <c r="B16" i="20"/>
  <c r="J16" i="20"/>
  <c r="K16" i="20"/>
  <c r="S16" i="20"/>
  <c r="T16" i="20"/>
  <c r="A17" i="20"/>
  <c r="B17" i="20"/>
  <c r="J17" i="20"/>
  <c r="K17" i="20"/>
  <c r="S17" i="20"/>
  <c r="T17" i="20"/>
  <c r="A18" i="20"/>
  <c r="B18" i="20"/>
  <c r="J18" i="20"/>
  <c r="K18" i="20"/>
  <c r="S18" i="20"/>
  <c r="T18" i="20"/>
  <c r="A19" i="20"/>
  <c r="B19" i="20"/>
  <c r="J19" i="20"/>
  <c r="K19" i="20"/>
  <c r="S19" i="20"/>
  <c r="T19" i="20"/>
  <c r="A20" i="20"/>
  <c r="B20" i="20"/>
  <c r="J20" i="20"/>
  <c r="K20" i="20"/>
  <c r="S20" i="20"/>
  <c r="T20" i="20"/>
  <c r="A21" i="20"/>
  <c r="B21" i="20"/>
  <c r="J21" i="20"/>
  <c r="K21" i="20"/>
  <c r="S21" i="20"/>
  <c r="T21" i="20"/>
  <c r="CN22" i="40" l="1"/>
  <c r="CM22" i="40"/>
  <c r="CE22" i="40"/>
  <c r="CD22" i="40"/>
  <c r="BV22" i="40"/>
  <c r="BU22" i="40"/>
  <c r="BM22" i="40"/>
  <c r="BL22" i="40"/>
  <c r="BD22" i="40"/>
  <c r="BC22" i="40"/>
  <c r="AU22" i="40"/>
  <c r="AT22" i="40"/>
  <c r="AL22" i="40"/>
  <c r="AK22" i="40"/>
  <c r="AC22" i="40"/>
  <c r="AB22" i="40"/>
  <c r="T22" i="40"/>
  <c r="S22" i="40"/>
  <c r="K22" i="40"/>
  <c r="J22" i="40"/>
  <c r="B22" i="40"/>
  <c r="A22" i="40"/>
  <c r="CN21" i="40"/>
  <c r="CM21" i="40"/>
  <c r="CE21" i="40"/>
  <c r="CD21" i="40"/>
  <c r="BV21" i="40"/>
  <c r="BU21" i="40"/>
  <c r="BM21" i="40"/>
  <c r="BL21" i="40"/>
  <c r="BD21" i="40"/>
  <c r="BC21" i="40"/>
  <c r="AU21" i="40"/>
  <c r="AT21" i="40"/>
  <c r="AL21" i="40"/>
  <c r="AK21" i="40"/>
  <c r="AC21" i="40"/>
  <c r="AB21" i="40"/>
  <c r="T21" i="40"/>
  <c r="S21" i="40"/>
  <c r="K21" i="40"/>
  <c r="J21" i="40"/>
  <c r="B21" i="40"/>
  <c r="A21" i="40"/>
  <c r="CN20" i="40"/>
  <c r="CM20" i="40"/>
  <c r="CE20" i="40"/>
  <c r="CD20" i="40"/>
  <c r="BV20" i="40"/>
  <c r="BU20" i="40"/>
  <c r="BM20" i="40"/>
  <c r="BL20" i="40"/>
  <c r="BD20" i="40"/>
  <c r="BC20" i="40"/>
  <c r="AU20" i="40"/>
  <c r="AT20" i="40"/>
  <c r="AL20" i="40"/>
  <c r="AK20" i="40"/>
  <c r="AC20" i="40"/>
  <c r="AB20" i="40"/>
  <c r="T20" i="40"/>
  <c r="S20" i="40"/>
  <c r="K20" i="40"/>
  <c r="J20" i="40"/>
  <c r="B20" i="40"/>
  <c r="A20" i="40"/>
  <c r="CN19" i="40"/>
  <c r="CM19" i="40"/>
  <c r="CE19" i="40"/>
  <c r="CD19" i="40"/>
  <c r="BV19" i="40"/>
  <c r="BU19" i="40"/>
  <c r="BM19" i="40"/>
  <c r="BL19" i="40"/>
  <c r="BD19" i="40"/>
  <c r="BC19" i="40"/>
  <c r="AU19" i="40"/>
  <c r="AT19" i="40"/>
  <c r="AL19" i="40"/>
  <c r="AK19" i="40"/>
  <c r="AC19" i="40"/>
  <c r="AB19" i="40"/>
  <c r="T19" i="40"/>
  <c r="S19" i="40"/>
  <c r="K19" i="40"/>
  <c r="J19" i="40"/>
  <c r="B19" i="40"/>
  <c r="A19" i="40"/>
  <c r="CN18" i="40"/>
  <c r="CM18" i="40"/>
  <c r="CE18" i="40"/>
  <c r="CD18" i="40"/>
  <c r="BV18" i="40"/>
  <c r="BU18" i="40"/>
  <c r="BM18" i="40"/>
  <c r="BL18" i="40"/>
  <c r="BD18" i="40"/>
  <c r="BC18" i="40"/>
  <c r="AU18" i="40"/>
  <c r="AT18" i="40"/>
  <c r="AL18" i="40"/>
  <c r="AK18" i="40"/>
  <c r="AC18" i="40"/>
  <c r="AB18" i="40"/>
  <c r="T18" i="40"/>
  <c r="S18" i="40"/>
  <c r="K18" i="40"/>
  <c r="J18" i="40"/>
  <c r="B18" i="40"/>
  <c r="A18" i="40"/>
  <c r="CN17" i="40"/>
  <c r="CM17" i="40"/>
  <c r="CE17" i="40"/>
  <c r="CD17" i="40"/>
  <c r="BV17" i="40"/>
  <c r="BU17" i="40"/>
  <c r="BM17" i="40"/>
  <c r="BL17" i="40"/>
  <c r="BD17" i="40"/>
  <c r="BC17" i="40"/>
  <c r="AU17" i="40"/>
  <c r="AT17" i="40"/>
  <c r="AL17" i="40"/>
  <c r="AK17" i="40"/>
  <c r="AC17" i="40"/>
  <c r="AB17" i="40"/>
  <c r="T17" i="40"/>
  <c r="S17" i="40"/>
  <c r="K17" i="40"/>
  <c r="J17" i="40"/>
  <c r="B17" i="40"/>
  <c r="A17" i="40"/>
  <c r="CN16" i="40"/>
  <c r="CM16" i="40"/>
  <c r="CE16" i="40"/>
  <c r="CD16" i="40"/>
  <c r="BV16" i="40"/>
  <c r="BU16" i="40"/>
  <c r="BM16" i="40"/>
  <c r="BL16" i="40"/>
  <c r="BD16" i="40"/>
  <c r="BC16" i="40"/>
  <c r="AU16" i="40"/>
  <c r="AT16" i="40"/>
  <c r="AL16" i="40"/>
  <c r="AK16" i="40"/>
  <c r="AC16" i="40"/>
  <c r="AB16" i="40"/>
  <c r="T16" i="40"/>
  <c r="S16" i="40"/>
  <c r="K16" i="40"/>
  <c r="J16" i="40"/>
  <c r="B16" i="40"/>
  <c r="A16" i="40"/>
  <c r="CN15" i="40"/>
  <c r="CM15" i="40"/>
  <c r="CE15" i="40"/>
  <c r="CD15" i="40"/>
  <c r="BV15" i="40"/>
  <c r="BU15" i="40"/>
  <c r="BM15" i="40"/>
  <c r="BL15" i="40"/>
  <c r="BD15" i="40"/>
  <c r="BC15" i="40"/>
  <c r="AU15" i="40"/>
  <c r="AT15" i="40"/>
  <c r="AL15" i="40"/>
  <c r="AK15" i="40"/>
  <c r="AC15" i="40"/>
  <c r="AB15" i="40"/>
  <c r="T15" i="40"/>
  <c r="S15" i="40"/>
  <c r="K15" i="40"/>
  <c r="J15" i="40"/>
  <c r="B15" i="40"/>
  <c r="A15" i="40"/>
  <c r="CN14" i="40"/>
  <c r="CM14" i="40"/>
  <c r="CE14" i="40"/>
  <c r="CD14" i="40"/>
  <c r="BV14" i="40"/>
  <c r="BU14" i="40"/>
  <c r="BM14" i="40"/>
  <c r="BL14" i="40"/>
  <c r="BD14" i="40"/>
  <c r="BC14" i="40"/>
  <c r="AU14" i="40"/>
  <c r="AT14" i="40"/>
  <c r="AL14" i="40"/>
  <c r="AK14" i="40"/>
  <c r="AC14" i="40"/>
  <c r="AB14" i="40"/>
  <c r="T14" i="40"/>
  <c r="S14" i="40"/>
  <c r="K14" i="40"/>
  <c r="J14" i="40"/>
  <c r="B14" i="40"/>
  <c r="A14" i="40"/>
  <c r="CN13" i="40"/>
  <c r="CM13" i="40"/>
  <c r="CE13" i="40"/>
  <c r="CD13" i="40"/>
  <c r="BV13" i="40"/>
  <c r="BU13" i="40"/>
  <c r="BM13" i="40"/>
  <c r="BL13" i="40"/>
  <c r="BD13" i="40"/>
  <c r="BC13" i="40"/>
  <c r="AU13" i="40"/>
  <c r="AT13" i="40"/>
  <c r="AL13" i="40"/>
  <c r="AK13" i="40"/>
  <c r="AC13" i="40"/>
  <c r="AB13" i="40"/>
  <c r="T13" i="40"/>
  <c r="S13" i="40"/>
  <c r="K13" i="40"/>
  <c r="J13" i="40"/>
  <c r="B13" i="40"/>
  <c r="A13" i="40"/>
  <c r="CN12" i="40"/>
  <c r="CM12" i="40"/>
  <c r="CE12" i="40"/>
  <c r="CD12" i="40"/>
  <c r="BV12" i="40"/>
  <c r="BU12" i="40"/>
  <c r="BM12" i="40"/>
  <c r="BL12" i="40"/>
  <c r="BD12" i="40"/>
  <c r="BC12" i="40"/>
  <c r="AU12" i="40"/>
  <c r="AT12" i="40"/>
  <c r="AL12" i="40"/>
  <c r="AK12" i="40"/>
  <c r="AC12" i="40"/>
  <c r="AB12" i="40"/>
  <c r="T12" i="40"/>
  <c r="S12" i="40"/>
  <c r="K12" i="40"/>
  <c r="J12" i="40"/>
  <c r="B12" i="40"/>
  <c r="A12" i="40"/>
  <c r="CN11" i="40"/>
  <c r="CM11" i="40"/>
  <c r="CE11" i="40"/>
  <c r="CD11" i="40"/>
  <c r="BV11" i="40"/>
  <c r="BU11" i="40"/>
  <c r="BM11" i="40"/>
  <c r="BL11" i="40"/>
  <c r="BD11" i="40"/>
  <c r="BC11" i="40"/>
  <c r="AU11" i="40"/>
  <c r="AT11" i="40"/>
  <c r="AL11" i="40"/>
  <c r="AK11" i="40"/>
  <c r="AC11" i="40"/>
  <c r="AB11" i="40"/>
  <c r="T11" i="40"/>
  <c r="S11" i="40"/>
  <c r="K11" i="40"/>
  <c r="J11" i="40"/>
  <c r="B11" i="40"/>
  <c r="A11" i="40"/>
  <c r="CN10" i="40"/>
  <c r="CM10" i="40"/>
  <c r="CE10" i="40"/>
  <c r="CD10" i="40"/>
  <c r="BV10" i="40"/>
  <c r="BU10" i="40"/>
  <c r="BM10" i="40"/>
  <c r="BL10" i="40"/>
  <c r="BD10" i="40"/>
  <c r="BC10" i="40"/>
  <c r="AU10" i="40"/>
  <c r="AT10" i="40"/>
  <c r="AL10" i="40"/>
  <c r="AK10" i="40"/>
  <c r="AC10" i="40"/>
  <c r="AB10" i="40"/>
  <c r="T10" i="40"/>
  <c r="S10" i="40"/>
  <c r="K10" i="40"/>
  <c r="J10" i="40"/>
  <c r="B10" i="40"/>
  <c r="A10" i="40"/>
  <c r="CN9" i="40"/>
  <c r="CM9" i="40"/>
  <c r="CE9" i="40"/>
  <c r="CD9" i="40"/>
  <c r="BV9" i="40"/>
  <c r="BU9" i="40"/>
  <c r="BM9" i="40"/>
  <c r="BL9" i="40"/>
  <c r="BD9" i="40"/>
  <c r="BC9" i="40"/>
  <c r="AU9" i="40"/>
  <c r="AT9" i="40"/>
  <c r="AL9" i="40"/>
  <c r="AK9" i="40"/>
  <c r="AC9" i="40"/>
  <c r="AB9" i="40"/>
  <c r="T9" i="40"/>
  <c r="S9" i="40"/>
  <c r="K9" i="40"/>
  <c r="J9" i="40"/>
  <c r="B9" i="40"/>
  <c r="A9" i="40"/>
  <c r="CN8" i="40"/>
  <c r="CM8" i="40"/>
  <c r="CE8" i="40"/>
  <c r="CD8" i="40"/>
  <c r="BV8" i="40"/>
  <c r="BU8" i="40"/>
  <c r="BM8" i="40"/>
  <c r="BL8" i="40"/>
  <c r="BD8" i="40"/>
  <c r="BC8" i="40"/>
  <c r="AU8" i="40"/>
  <c r="AT8" i="40"/>
  <c r="AL8" i="40"/>
  <c r="AK8" i="40"/>
  <c r="AC8" i="40"/>
  <c r="AB8" i="40"/>
  <c r="T8" i="40"/>
  <c r="S8" i="40"/>
  <c r="K8" i="40"/>
  <c r="J8" i="40"/>
  <c r="B8" i="40"/>
  <c r="A8" i="40"/>
  <c r="CN7" i="40"/>
  <c r="CM7" i="40"/>
  <c r="CE7" i="40"/>
  <c r="CD7" i="40"/>
  <c r="BV7" i="40"/>
  <c r="BU7" i="40"/>
  <c r="BM7" i="40"/>
  <c r="BL7" i="40"/>
  <c r="BD7" i="40"/>
  <c r="BC7" i="40"/>
  <c r="AU7" i="40"/>
  <c r="AT7" i="40"/>
  <c r="AL7" i="40"/>
  <c r="AK7" i="40"/>
  <c r="AC7" i="40"/>
  <c r="AB7" i="40"/>
  <c r="T7" i="40"/>
  <c r="S7" i="40"/>
  <c r="K7" i="40"/>
  <c r="J7" i="40"/>
  <c r="B7" i="40"/>
  <c r="A7" i="40"/>
  <c r="CN22" i="39"/>
  <c r="CM22" i="39"/>
  <c r="CE22" i="39"/>
  <c r="CD22" i="39"/>
  <c r="BV22" i="39"/>
  <c r="BU22" i="39"/>
  <c r="BM22" i="39"/>
  <c r="BL22" i="39"/>
  <c r="BD22" i="39"/>
  <c r="BC22" i="39"/>
  <c r="AU22" i="39"/>
  <c r="AT22" i="39"/>
  <c r="AL22" i="39"/>
  <c r="AK22" i="39"/>
  <c r="AC22" i="39"/>
  <c r="AB22" i="39"/>
  <c r="T22" i="39"/>
  <c r="S22" i="39"/>
  <c r="K22" i="39"/>
  <c r="J22" i="39"/>
  <c r="B22" i="39"/>
  <c r="A22" i="39"/>
  <c r="CN21" i="39"/>
  <c r="CM21" i="39"/>
  <c r="CE21" i="39"/>
  <c r="CD21" i="39"/>
  <c r="BV21" i="39"/>
  <c r="BU21" i="39"/>
  <c r="BM21" i="39"/>
  <c r="BL21" i="39"/>
  <c r="BD21" i="39"/>
  <c r="BC21" i="39"/>
  <c r="AU21" i="39"/>
  <c r="AT21" i="39"/>
  <c r="AL21" i="39"/>
  <c r="AK21" i="39"/>
  <c r="AC21" i="39"/>
  <c r="AB21" i="39"/>
  <c r="T21" i="39"/>
  <c r="S21" i="39"/>
  <c r="K21" i="39"/>
  <c r="J21" i="39"/>
  <c r="B21" i="39"/>
  <c r="A21" i="39"/>
  <c r="CN20" i="39"/>
  <c r="CM20" i="39"/>
  <c r="CE20" i="39"/>
  <c r="CD20" i="39"/>
  <c r="BV20" i="39"/>
  <c r="BU20" i="39"/>
  <c r="BM20" i="39"/>
  <c r="BL20" i="39"/>
  <c r="BD20" i="39"/>
  <c r="BC20" i="39"/>
  <c r="AU20" i="39"/>
  <c r="AT20" i="39"/>
  <c r="AL20" i="39"/>
  <c r="AK20" i="39"/>
  <c r="AC20" i="39"/>
  <c r="AB20" i="39"/>
  <c r="T20" i="39"/>
  <c r="S20" i="39"/>
  <c r="K20" i="39"/>
  <c r="J20" i="39"/>
  <c r="B20" i="39"/>
  <c r="A20" i="39"/>
  <c r="CN19" i="39"/>
  <c r="CM19" i="39"/>
  <c r="CE19" i="39"/>
  <c r="CD19" i="39"/>
  <c r="BV19" i="39"/>
  <c r="BU19" i="39"/>
  <c r="BM19" i="39"/>
  <c r="BL19" i="39"/>
  <c r="BD19" i="39"/>
  <c r="BC19" i="39"/>
  <c r="AU19" i="39"/>
  <c r="AT19" i="39"/>
  <c r="AL19" i="39"/>
  <c r="AK19" i="39"/>
  <c r="AC19" i="39"/>
  <c r="AB19" i="39"/>
  <c r="T19" i="39"/>
  <c r="S19" i="39"/>
  <c r="K19" i="39"/>
  <c r="J19" i="39"/>
  <c r="B19" i="39"/>
  <c r="A19" i="39"/>
  <c r="CN18" i="39"/>
  <c r="CM18" i="39"/>
  <c r="CE18" i="39"/>
  <c r="CD18" i="39"/>
  <c r="BV18" i="39"/>
  <c r="BU18" i="39"/>
  <c r="BM18" i="39"/>
  <c r="BL18" i="39"/>
  <c r="BD18" i="39"/>
  <c r="BC18" i="39"/>
  <c r="AU18" i="39"/>
  <c r="AT18" i="39"/>
  <c r="AL18" i="39"/>
  <c r="AK18" i="39"/>
  <c r="AC18" i="39"/>
  <c r="AB18" i="39"/>
  <c r="T18" i="39"/>
  <c r="S18" i="39"/>
  <c r="K18" i="39"/>
  <c r="J18" i="39"/>
  <c r="B18" i="39"/>
  <c r="A18" i="39"/>
  <c r="CN17" i="39"/>
  <c r="CM17" i="39"/>
  <c r="CE17" i="39"/>
  <c r="CD17" i="39"/>
  <c r="BV17" i="39"/>
  <c r="BU17" i="39"/>
  <c r="BM17" i="39"/>
  <c r="BL17" i="39"/>
  <c r="BD17" i="39"/>
  <c r="BC17" i="39"/>
  <c r="AU17" i="39"/>
  <c r="AT17" i="39"/>
  <c r="AL17" i="39"/>
  <c r="AK17" i="39"/>
  <c r="AC17" i="39"/>
  <c r="AB17" i="39"/>
  <c r="T17" i="39"/>
  <c r="S17" i="39"/>
  <c r="K17" i="39"/>
  <c r="J17" i="39"/>
  <c r="B17" i="39"/>
  <c r="A17" i="39"/>
  <c r="CN16" i="39"/>
  <c r="CM16" i="39"/>
  <c r="CE16" i="39"/>
  <c r="CD16" i="39"/>
  <c r="BV16" i="39"/>
  <c r="BU16" i="39"/>
  <c r="BM16" i="39"/>
  <c r="BL16" i="39"/>
  <c r="BD16" i="39"/>
  <c r="BC16" i="39"/>
  <c r="AU16" i="39"/>
  <c r="AT16" i="39"/>
  <c r="AL16" i="39"/>
  <c r="AK16" i="39"/>
  <c r="AC16" i="39"/>
  <c r="AB16" i="39"/>
  <c r="T16" i="39"/>
  <c r="S16" i="39"/>
  <c r="K16" i="39"/>
  <c r="J16" i="39"/>
  <c r="B16" i="39"/>
  <c r="A16" i="39"/>
  <c r="CN15" i="39"/>
  <c r="CM15" i="39"/>
  <c r="CE15" i="39"/>
  <c r="CD15" i="39"/>
  <c r="BV15" i="39"/>
  <c r="BU15" i="39"/>
  <c r="BM15" i="39"/>
  <c r="BL15" i="39"/>
  <c r="BD15" i="39"/>
  <c r="BC15" i="39"/>
  <c r="AU15" i="39"/>
  <c r="AT15" i="39"/>
  <c r="AL15" i="39"/>
  <c r="AK15" i="39"/>
  <c r="AC15" i="39"/>
  <c r="AB15" i="39"/>
  <c r="T15" i="39"/>
  <c r="S15" i="39"/>
  <c r="K15" i="39"/>
  <c r="J15" i="39"/>
  <c r="B15" i="39"/>
  <c r="A15" i="39"/>
  <c r="CN14" i="39"/>
  <c r="CM14" i="39"/>
  <c r="CE14" i="39"/>
  <c r="CD14" i="39"/>
  <c r="BV14" i="39"/>
  <c r="BU14" i="39"/>
  <c r="BM14" i="39"/>
  <c r="BL14" i="39"/>
  <c r="BD14" i="39"/>
  <c r="BC14" i="39"/>
  <c r="AU14" i="39"/>
  <c r="AT14" i="39"/>
  <c r="AL14" i="39"/>
  <c r="AK14" i="39"/>
  <c r="AC14" i="39"/>
  <c r="AB14" i="39"/>
  <c r="T14" i="39"/>
  <c r="S14" i="39"/>
  <c r="K14" i="39"/>
  <c r="J14" i="39"/>
  <c r="B14" i="39"/>
  <c r="A14" i="39"/>
  <c r="CN13" i="39"/>
  <c r="CM13" i="39"/>
  <c r="CE13" i="39"/>
  <c r="CD13" i="39"/>
  <c r="BV13" i="39"/>
  <c r="BU13" i="39"/>
  <c r="BM13" i="39"/>
  <c r="BL13" i="39"/>
  <c r="BD13" i="39"/>
  <c r="BC13" i="39"/>
  <c r="AU13" i="39"/>
  <c r="AT13" i="39"/>
  <c r="AL13" i="39"/>
  <c r="AK13" i="39"/>
  <c r="AC13" i="39"/>
  <c r="AB13" i="39"/>
  <c r="T13" i="39"/>
  <c r="S13" i="39"/>
  <c r="K13" i="39"/>
  <c r="J13" i="39"/>
  <c r="B13" i="39"/>
  <c r="A13" i="39"/>
  <c r="CN12" i="39"/>
  <c r="CM12" i="39"/>
  <c r="CE12" i="39"/>
  <c r="CD12" i="39"/>
  <c r="BV12" i="39"/>
  <c r="BU12" i="39"/>
  <c r="BM12" i="39"/>
  <c r="BL12" i="39"/>
  <c r="BD12" i="39"/>
  <c r="BC12" i="39"/>
  <c r="AU12" i="39"/>
  <c r="AT12" i="39"/>
  <c r="AL12" i="39"/>
  <c r="AK12" i="39"/>
  <c r="AC12" i="39"/>
  <c r="AB12" i="39"/>
  <c r="T12" i="39"/>
  <c r="S12" i="39"/>
  <c r="K12" i="39"/>
  <c r="J12" i="39"/>
  <c r="B12" i="39"/>
  <c r="A12" i="39"/>
  <c r="CN11" i="39"/>
  <c r="CM11" i="39"/>
  <c r="CE11" i="39"/>
  <c r="CD11" i="39"/>
  <c r="BV11" i="39"/>
  <c r="BU11" i="39"/>
  <c r="BM11" i="39"/>
  <c r="BL11" i="39"/>
  <c r="BD11" i="39"/>
  <c r="BC11" i="39"/>
  <c r="AU11" i="39"/>
  <c r="AT11" i="39"/>
  <c r="AL11" i="39"/>
  <c r="AK11" i="39"/>
  <c r="AC11" i="39"/>
  <c r="AB11" i="39"/>
  <c r="T11" i="39"/>
  <c r="S11" i="39"/>
  <c r="K11" i="39"/>
  <c r="J11" i="39"/>
  <c r="B11" i="39"/>
  <c r="A11" i="39"/>
  <c r="CN10" i="39"/>
  <c r="CM10" i="39"/>
  <c r="CE10" i="39"/>
  <c r="CD10" i="39"/>
  <c r="BV10" i="39"/>
  <c r="BU10" i="39"/>
  <c r="BM10" i="39"/>
  <c r="BL10" i="39"/>
  <c r="BD10" i="39"/>
  <c r="BC10" i="39"/>
  <c r="AU10" i="39"/>
  <c r="AT10" i="39"/>
  <c r="AL10" i="39"/>
  <c r="AK10" i="39"/>
  <c r="AC10" i="39"/>
  <c r="AB10" i="39"/>
  <c r="T10" i="39"/>
  <c r="S10" i="39"/>
  <c r="K10" i="39"/>
  <c r="J10" i="39"/>
  <c r="B10" i="39"/>
  <c r="A10" i="39"/>
  <c r="CN9" i="39"/>
  <c r="CM9" i="39"/>
  <c r="CE9" i="39"/>
  <c r="CD9" i="39"/>
  <c r="BV9" i="39"/>
  <c r="BU9" i="39"/>
  <c r="BM9" i="39"/>
  <c r="BL9" i="39"/>
  <c r="BD9" i="39"/>
  <c r="BC9" i="39"/>
  <c r="AU9" i="39"/>
  <c r="AT9" i="39"/>
  <c r="AL9" i="39"/>
  <c r="AK9" i="39"/>
  <c r="AC9" i="39"/>
  <c r="AB9" i="39"/>
  <c r="T9" i="39"/>
  <c r="S9" i="39"/>
  <c r="K9" i="39"/>
  <c r="J9" i="39"/>
  <c r="B9" i="39"/>
  <c r="A9" i="39"/>
  <c r="CN8" i="39"/>
  <c r="CM8" i="39"/>
  <c r="CE8" i="39"/>
  <c r="CD8" i="39"/>
  <c r="BV8" i="39"/>
  <c r="BU8" i="39"/>
  <c r="BM8" i="39"/>
  <c r="BL8" i="39"/>
  <c r="BD8" i="39"/>
  <c r="BC8" i="39"/>
  <c r="AU8" i="39"/>
  <c r="AT8" i="39"/>
  <c r="AL8" i="39"/>
  <c r="AK8" i="39"/>
  <c r="AC8" i="39"/>
  <c r="AB8" i="39"/>
  <c r="T8" i="39"/>
  <c r="S8" i="39"/>
  <c r="K8" i="39"/>
  <c r="J8" i="39"/>
  <c r="B8" i="39"/>
  <c r="A8" i="39"/>
  <c r="CN7" i="39"/>
  <c r="CM7" i="39"/>
  <c r="CE7" i="39"/>
  <c r="CD7" i="39"/>
  <c r="BV7" i="39"/>
  <c r="BU7" i="39"/>
  <c r="BM7" i="39"/>
  <c r="BL7" i="39"/>
  <c r="BD7" i="39"/>
  <c r="BC7" i="39"/>
  <c r="AU7" i="39"/>
  <c r="AT7" i="39"/>
  <c r="AL7" i="39"/>
  <c r="AK7" i="39"/>
  <c r="AC7" i="39"/>
  <c r="AB7" i="39"/>
  <c r="T7" i="39"/>
  <c r="S7" i="39"/>
  <c r="K7" i="39"/>
  <c r="J7" i="39"/>
  <c r="B7" i="39"/>
  <c r="A7" i="39"/>
  <c r="CN19" i="22"/>
  <c r="CM19" i="22"/>
  <c r="CE19" i="22"/>
  <c r="CD19" i="22"/>
  <c r="BV19" i="22"/>
  <c r="BU19" i="22"/>
  <c r="BM19" i="22"/>
  <c r="BL19" i="22"/>
  <c r="BD19" i="22"/>
  <c r="BC19" i="22"/>
  <c r="AU19" i="22"/>
  <c r="AT19" i="22"/>
  <c r="AL19" i="22"/>
  <c r="AK19" i="22"/>
  <c r="AC19" i="22"/>
  <c r="AB19" i="22"/>
  <c r="T19" i="22"/>
  <c r="S19" i="22"/>
  <c r="K19" i="22"/>
  <c r="J19" i="22"/>
  <c r="B19" i="22"/>
  <c r="A19" i="22"/>
  <c r="CN18" i="22"/>
  <c r="CM18" i="22"/>
  <c r="CE18" i="22"/>
  <c r="CD18" i="22"/>
  <c r="BV18" i="22"/>
  <c r="BU18" i="22"/>
  <c r="BM18" i="22"/>
  <c r="BL18" i="22"/>
  <c r="BD18" i="22"/>
  <c r="BC18" i="22"/>
  <c r="AU18" i="22"/>
  <c r="AT18" i="22"/>
  <c r="AL18" i="22"/>
  <c r="AK18" i="22"/>
  <c r="AC18" i="22"/>
  <c r="AB18" i="22"/>
  <c r="T18" i="22"/>
  <c r="S18" i="22"/>
  <c r="K18" i="22"/>
  <c r="J18" i="22"/>
  <c r="B18" i="22"/>
  <c r="A18" i="22"/>
  <c r="CN17" i="22"/>
  <c r="CM17" i="22"/>
  <c r="CE17" i="22"/>
  <c r="CD17" i="22"/>
  <c r="BV17" i="22"/>
  <c r="BU17" i="22"/>
  <c r="BM17" i="22"/>
  <c r="BL17" i="22"/>
  <c r="BD17" i="22"/>
  <c r="BC17" i="22"/>
  <c r="AU17" i="22"/>
  <c r="AT17" i="22"/>
  <c r="AL17" i="22"/>
  <c r="AK17" i="22"/>
  <c r="AC17" i="22"/>
  <c r="AB17" i="22"/>
  <c r="T17" i="22"/>
  <c r="S17" i="22"/>
  <c r="K17" i="22"/>
  <c r="J17" i="22"/>
  <c r="B17" i="22"/>
  <c r="A17" i="22"/>
  <c r="CN16" i="22"/>
  <c r="CM16" i="22"/>
  <c r="CE16" i="22"/>
  <c r="CD16" i="22"/>
  <c r="BV16" i="22"/>
  <c r="BU16" i="22"/>
  <c r="BM16" i="22"/>
  <c r="BL16" i="22"/>
  <c r="BD16" i="22"/>
  <c r="BC16" i="22"/>
  <c r="AU16" i="22"/>
  <c r="AT16" i="22"/>
  <c r="AL16" i="22"/>
  <c r="AK16" i="22"/>
  <c r="AC16" i="22"/>
  <c r="AB16" i="22"/>
  <c r="T16" i="22"/>
  <c r="S16" i="22"/>
  <c r="K16" i="22"/>
  <c r="J16" i="22"/>
  <c r="B16" i="22"/>
  <c r="A16" i="22"/>
  <c r="CN15" i="22"/>
  <c r="CM15" i="22"/>
  <c r="CE15" i="22"/>
  <c r="CD15" i="22"/>
  <c r="BV15" i="22"/>
  <c r="BU15" i="22"/>
  <c r="BM15" i="22"/>
  <c r="BL15" i="22"/>
  <c r="BD15" i="22"/>
  <c r="BC15" i="22"/>
  <c r="AU15" i="22"/>
  <c r="AT15" i="22"/>
  <c r="AL15" i="22"/>
  <c r="AK15" i="22"/>
  <c r="AC15" i="22"/>
  <c r="AB15" i="22"/>
  <c r="T15" i="22"/>
  <c r="S15" i="22"/>
  <c r="K15" i="22"/>
  <c r="J15" i="22"/>
  <c r="B15" i="22"/>
  <c r="A15" i="22"/>
  <c r="CN14" i="22"/>
  <c r="CM14" i="22"/>
  <c r="CE14" i="22"/>
  <c r="CD14" i="22"/>
  <c r="BV14" i="22"/>
  <c r="BU14" i="22"/>
  <c r="BM14" i="22"/>
  <c r="BL14" i="22"/>
  <c r="BD14" i="22"/>
  <c r="BC14" i="22"/>
  <c r="AU14" i="22"/>
  <c r="AT14" i="22"/>
  <c r="AL14" i="22"/>
  <c r="AK14" i="22"/>
  <c r="AC14" i="22"/>
  <c r="AB14" i="22"/>
  <c r="T14" i="22"/>
  <c r="S14" i="22"/>
  <c r="K14" i="22"/>
  <c r="J14" i="22"/>
  <c r="B14" i="22"/>
  <c r="A14" i="22"/>
  <c r="CN13" i="22"/>
  <c r="CM13" i="22"/>
  <c r="CE13" i="22"/>
  <c r="CD13" i="22"/>
  <c r="BV13" i="22"/>
  <c r="BU13" i="22"/>
  <c r="BM13" i="22"/>
  <c r="BL13" i="22"/>
  <c r="BD13" i="22"/>
  <c r="BC13" i="22"/>
  <c r="AU13" i="22"/>
  <c r="AT13" i="22"/>
  <c r="AL13" i="22"/>
  <c r="AK13" i="22"/>
  <c r="AC13" i="22"/>
  <c r="AB13" i="22"/>
  <c r="T13" i="22"/>
  <c r="S13" i="22"/>
  <c r="K13" i="22"/>
  <c r="J13" i="22"/>
  <c r="B13" i="22"/>
  <c r="A13" i="22"/>
  <c r="CN12" i="22"/>
  <c r="CM12" i="22"/>
  <c r="CE12" i="22"/>
  <c r="CD12" i="22"/>
  <c r="BV12" i="22"/>
  <c r="BU12" i="22"/>
  <c r="BM12" i="22"/>
  <c r="BL12" i="22"/>
  <c r="BD12" i="22"/>
  <c r="BC12" i="22"/>
  <c r="AU12" i="22"/>
  <c r="AT12" i="22"/>
  <c r="AL12" i="22"/>
  <c r="AK12" i="22"/>
  <c r="AC12" i="22"/>
  <c r="AB12" i="22"/>
  <c r="T12" i="22"/>
  <c r="S12" i="22"/>
  <c r="K12" i="22"/>
  <c r="J12" i="22"/>
  <c r="B12" i="22"/>
  <c r="A12" i="22"/>
  <c r="CN11" i="22"/>
  <c r="CM11" i="22"/>
  <c r="CE11" i="22"/>
  <c r="CD11" i="22"/>
  <c r="BV11" i="22"/>
  <c r="BU11" i="22"/>
  <c r="BM11" i="22"/>
  <c r="BL11" i="22"/>
  <c r="BD11" i="22"/>
  <c r="BC11" i="22"/>
  <c r="AU11" i="22"/>
  <c r="AT11" i="22"/>
  <c r="AL11" i="22"/>
  <c r="AK11" i="22"/>
  <c r="AC11" i="22"/>
  <c r="AB11" i="22"/>
  <c r="T11" i="22"/>
  <c r="S11" i="22"/>
  <c r="K11" i="22"/>
  <c r="J11" i="22"/>
  <c r="B11" i="22"/>
  <c r="A11" i="22"/>
  <c r="CN10" i="22"/>
  <c r="CM10" i="22"/>
  <c r="CE10" i="22"/>
  <c r="CD10" i="22"/>
  <c r="BV10" i="22"/>
  <c r="BU10" i="22"/>
  <c r="BM10" i="22"/>
  <c r="BL10" i="22"/>
  <c r="BD10" i="22"/>
  <c r="BC10" i="22"/>
  <c r="AU10" i="22"/>
  <c r="AT10" i="22"/>
  <c r="AL10" i="22"/>
  <c r="AK10" i="22"/>
  <c r="AC10" i="22"/>
  <c r="AB10" i="22"/>
  <c r="T10" i="22"/>
  <c r="S10" i="22"/>
  <c r="K10" i="22"/>
  <c r="J10" i="22"/>
  <c r="B10" i="22"/>
  <c r="A10" i="22"/>
  <c r="CN9" i="22"/>
  <c r="CM9" i="22"/>
  <c r="CE9" i="22"/>
  <c r="CD9" i="22"/>
  <c r="BV9" i="22"/>
  <c r="BU9" i="22"/>
  <c r="BM9" i="22"/>
  <c r="BL9" i="22"/>
  <c r="BD9" i="22"/>
  <c r="BC9" i="22"/>
  <c r="AU9" i="22"/>
  <c r="AT9" i="22"/>
  <c r="AL9" i="22"/>
  <c r="AK9" i="22"/>
  <c r="AC9" i="22"/>
  <c r="AB9" i="22"/>
  <c r="T9" i="22"/>
  <c r="S9" i="22"/>
  <c r="K9" i="22"/>
  <c r="J9" i="22"/>
  <c r="B9" i="22"/>
  <c r="A9" i="22"/>
  <c r="CN8" i="22"/>
  <c r="CM8" i="22"/>
  <c r="CE8" i="22"/>
  <c r="CD8" i="22"/>
  <c r="BV8" i="22"/>
  <c r="BU8" i="22"/>
  <c r="BM8" i="22"/>
  <c r="BL8" i="22"/>
  <c r="BD8" i="22"/>
  <c r="BC8" i="22"/>
  <c r="AU8" i="22"/>
  <c r="AT8" i="22"/>
  <c r="AL8" i="22"/>
  <c r="AK8" i="22"/>
  <c r="AC8" i="22"/>
  <c r="AB8" i="22"/>
  <c r="T8" i="22"/>
  <c r="S8" i="22"/>
  <c r="K8" i="22"/>
  <c r="J8" i="22"/>
  <c r="B8" i="22"/>
  <c r="A8" i="22"/>
  <c r="CN7" i="22"/>
  <c r="CM7" i="22"/>
  <c r="CE7" i="22"/>
  <c r="CD7" i="22"/>
  <c r="BV7" i="22"/>
  <c r="BU7" i="22"/>
  <c r="BM7" i="22"/>
  <c r="BL7" i="22"/>
  <c r="BD7" i="22"/>
  <c r="BC7" i="22"/>
  <c r="AU7" i="22"/>
  <c r="AT7" i="22"/>
  <c r="AL7" i="22"/>
  <c r="AK7" i="22"/>
  <c r="AC7" i="22"/>
  <c r="AB7" i="22"/>
  <c r="T7" i="22"/>
  <c r="S7" i="22"/>
  <c r="K7" i="22"/>
  <c r="J7" i="22"/>
  <c r="B7" i="22"/>
  <c r="A7" i="22"/>
  <c r="CN11" i="21"/>
  <c r="CM11" i="21"/>
  <c r="CE11" i="21"/>
  <c r="CD11" i="21"/>
  <c r="BV11" i="21"/>
  <c r="BU11" i="21"/>
  <c r="BM11" i="21"/>
  <c r="BL11" i="21"/>
  <c r="BD11" i="21"/>
  <c r="BC11" i="21"/>
  <c r="AU11" i="21"/>
  <c r="AT11" i="21"/>
  <c r="AL11" i="21"/>
  <c r="AK11" i="21"/>
  <c r="AC11" i="21"/>
  <c r="AB11" i="21"/>
  <c r="T11" i="21"/>
  <c r="S11" i="21"/>
  <c r="K11" i="21"/>
  <c r="J11" i="21"/>
  <c r="B11" i="21"/>
  <c r="A11" i="21"/>
  <c r="CN10" i="21"/>
  <c r="CM10" i="21"/>
  <c r="CE10" i="21"/>
  <c r="CD10" i="21"/>
  <c r="BV10" i="21"/>
  <c r="BU10" i="21"/>
  <c r="BM10" i="21"/>
  <c r="BL10" i="21"/>
  <c r="BD10" i="21"/>
  <c r="BC10" i="21"/>
  <c r="AU10" i="21"/>
  <c r="AT10" i="21"/>
  <c r="AL10" i="21"/>
  <c r="AK10" i="21"/>
  <c r="AC10" i="21"/>
  <c r="AB10" i="21"/>
  <c r="T10" i="21"/>
  <c r="S10" i="21"/>
  <c r="K10" i="21"/>
  <c r="J10" i="21"/>
  <c r="B10" i="21"/>
  <c r="A10" i="21"/>
  <c r="CN9" i="21"/>
  <c r="CM9" i="21"/>
  <c r="CE9" i="21"/>
  <c r="CD9" i="21"/>
  <c r="BV9" i="21"/>
  <c r="BU9" i="21"/>
  <c r="BM9" i="21"/>
  <c r="BL9" i="21"/>
  <c r="BD9" i="21"/>
  <c r="BC9" i="21"/>
  <c r="AU9" i="21"/>
  <c r="AT9" i="21"/>
  <c r="AL9" i="21"/>
  <c r="AK9" i="21"/>
  <c r="AC9" i="21"/>
  <c r="AB9" i="21"/>
  <c r="T9" i="21"/>
  <c r="S9" i="21"/>
  <c r="K9" i="21"/>
  <c r="J9" i="21"/>
  <c r="B9" i="21"/>
  <c r="A9" i="21"/>
  <c r="CN8" i="21"/>
  <c r="CM8" i="21"/>
  <c r="CE8" i="21"/>
  <c r="CD8" i="21"/>
  <c r="BV8" i="21"/>
  <c r="BU8" i="21"/>
  <c r="BM8" i="21"/>
  <c r="BL8" i="21"/>
  <c r="BD8" i="21"/>
  <c r="BC8" i="21"/>
  <c r="AU8" i="21"/>
  <c r="AT8" i="21"/>
  <c r="AL8" i="21"/>
  <c r="AK8" i="21"/>
  <c r="AC8" i="21"/>
  <c r="AB8" i="21"/>
  <c r="T8" i="21"/>
  <c r="S8" i="21"/>
  <c r="K8" i="21"/>
  <c r="J8" i="21"/>
  <c r="B8" i="21"/>
  <c r="A8" i="21"/>
  <c r="CN7" i="21"/>
  <c r="CM7" i="21"/>
  <c r="CE7" i="21"/>
  <c r="CD7" i="21"/>
  <c r="BV7" i="21"/>
  <c r="BU7" i="21"/>
  <c r="BM7" i="21"/>
  <c r="BL7" i="21"/>
  <c r="BD7" i="21"/>
  <c r="BC7" i="21"/>
  <c r="AU7" i="21"/>
  <c r="AT7" i="21"/>
  <c r="AL7" i="21"/>
  <c r="AK7" i="21"/>
  <c r="AC7" i="21"/>
  <c r="AB7" i="21"/>
  <c r="T7" i="21"/>
  <c r="S7" i="21"/>
  <c r="K7" i="21"/>
  <c r="J7" i="21"/>
  <c r="B7" i="21"/>
  <c r="A7" i="21"/>
  <c r="BV19" i="36"/>
  <c r="BU19" i="36"/>
  <c r="BM19" i="36"/>
  <c r="BL19" i="36"/>
  <c r="BD19" i="36"/>
  <c r="BC19" i="36"/>
  <c r="AU19" i="36"/>
  <c r="AT19" i="36"/>
  <c r="AL19" i="36"/>
  <c r="AK19" i="36"/>
  <c r="AC19" i="36"/>
  <c r="AB19" i="36"/>
  <c r="T19" i="36"/>
  <c r="S19" i="36"/>
  <c r="K19" i="36"/>
  <c r="J19" i="36"/>
  <c r="B19" i="36"/>
  <c r="A19" i="36"/>
  <c r="BV18" i="36"/>
  <c r="BU18" i="36"/>
  <c r="BM18" i="36"/>
  <c r="BL18" i="36"/>
  <c r="BD18" i="36"/>
  <c r="BC18" i="36"/>
  <c r="AU18" i="36"/>
  <c r="AT18" i="36"/>
  <c r="AL18" i="36"/>
  <c r="AK18" i="36"/>
  <c r="AC18" i="36"/>
  <c r="AB18" i="36"/>
  <c r="T18" i="36"/>
  <c r="S18" i="36"/>
  <c r="K18" i="36"/>
  <c r="J18" i="36"/>
  <c r="B18" i="36"/>
  <c r="A18" i="36"/>
  <c r="BV17" i="36"/>
  <c r="BU17" i="36"/>
  <c r="BM17" i="36"/>
  <c r="BL17" i="36"/>
  <c r="BD17" i="36"/>
  <c r="BC17" i="36"/>
  <c r="AU17" i="36"/>
  <c r="AT17" i="36"/>
  <c r="AL17" i="36"/>
  <c r="AK17" i="36"/>
  <c r="AC17" i="36"/>
  <c r="AB17" i="36"/>
  <c r="T17" i="36"/>
  <c r="S17" i="36"/>
  <c r="K17" i="36"/>
  <c r="J17" i="36"/>
  <c r="B17" i="36"/>
  <c r="A17" i="36"/>
  <c r="BV16" i="36"/>
  <c r="BU16" i="36"/>
  <c r="BM16" i="36"/>
  <c r="BL16" i="36"/>
  <c r="BD16" i="36"/>
  <c r="BC16" i="36"/>
  <c r="AU16" i="36"/>
  <c r="AT16" i="36"/>
  <c r="AL16" i="36"/>
  <c r="AK16" i="36"/>
  <c r="AC16" i="36"/>
  <c r="AB16" i="36"/>
  <c r="T16" i="36"/>
  <c r="S16" i="36"/>
  <c r="K16" i="36"/>
  <c r="J16" i="36"/>
  <c r="B16" i="36"/>
  <c r="A16" i="36"/>
  <c r="BV15" i="36"/>
  <c r="BU15" i="36"/>
  <c r="BM15" i="36"/>
  <c r="BL15" i="36"/>
  <c r="BD15" i="36"/>
  <c r="BC15" i="36"/>
  <c r="AU15" i="36"/>
  <c r="AT15" i="36"/>
  <c r="AL15" i="36"/>
  <c r="AK15" i="36"/>
  <c r="AC15" i="36"/>
  <c r="AB15" i="36"/>
  <c r="T15" i="36"/>
  <c r="S15" i="36"/>
  <c r="K15" i="36"/>
  <c r="J15" i="36"/>
  <c r="B15" i="36"/>
  <c r="A15" i="36"/>
  <c r="BV14" i="36"/>
  <c r="BU14" i="36"/>
  <c r="BM14" i="36"/>
  <c r="BL14" i="36"/>
  <c r="BD14" i="36"/>
  <c r="BC14" i="36"/>
  <c r="AU14" i="36"/>
  <c r="AT14" i="36"/>
  <c r="AL14" i="36"/>
  <c r="AK14" i="36"/>
  <c r="AC14" i="36"/>
  <c r="AB14" i="36"/>
  <c r="T14" i="36"/>
  <c r="S14" i="36"/>
  <c r="K14" i="36"/>
  <c r="J14" i="36"/>
  <c r="B14" i="36"/>
  <c r="A14" i="36"/>
  <c r="BV13" i="36"/>
  <c r="BU13" i="36"/>
  <c r="BM13" i="36"/>
  <c r="BL13" i="36"/>
  <c r="BD13" i="36"/>
  <c r="BC13" i="36"/>
  <c r="AU13" i="36"/>
  <c r="AT13" i="36"/>
  <c r="AL13" i="36"/>
  <c r="AK13" i="36"/>
  <c r="AC13" i="36"/>
  <c r="AB13" i="36"/>
  <c r="T13" i="36"/>
  <c r="S13" i="36"/>
  <c r="K13" i="36"/>
  <c r="J13" i="36"/>
  <c r="B13" i="36"/>
  <c r="A13" i="36"/>
  <c r="BV12" i="36"/>
  <c r="BU12" i="36"/>
  <c r="BM12" i="36"/>
  <c r="BL12" i="36"/>
  <c r="BD12" i="36"/>
  <c r="BC12" i="36"/>
  <c r="AU12" i="36"/>
  <c r="AT12" i="36"/>
  <c r="AL12" i="36"/>
  <c r="AK12" i="36"/>
  <c r="AC12" i="36"/>
  <c r="AB12" i="36"/>
  <c r="T12" i="36"/>
  <c r="S12" i="36"/>
  <c r="K12" i="36"/>
  <c r="J12" i="36"/>
  <c r="B12" i="36"/>
  <c r="A12" i="36"/>
  <c r="BV11" i="36"/>
  <c r="BU11" i="36"/>
  <c r="BM11" i="36"/>
  <c r="BL11" i="36"/>
  <c r="BD11" i="36"/>
  <c r="BC11" i="36"/>
  <c r="AU11" i="36"/>
  <c r="AT11" i="36"/>
  <c r="AL11" i="36"/>
  <c r="AK11" i="36"/>
  <c r="AC11" i="36"/>
  <c r="AB11" i="36"/>
  <c r="T11" i="36"/>
  <c r="S11" i="36"/>
  <c r="K11" i="36"/>
  <c r="J11" i="36"/>
  <c r="B11" i="36"/>
  <c r="A11" i="36"/>
  <c r="BV10" i="36"/>
  <c r="BU10" i="36"/>
  <c r="BM10" i="36"/>
  <c r="BL10" i="36"/>
  <c r="BD10" i="36"/>
  <c r="BC10" i="36"/>
  <c r="AU10" i="36"/>
  <c r="AT10" i="36"/>
  <c r="AL10" i="36"/>
  <c r="AK10" i="36"/>
  <c r="AC10" i="36"/>
  <c r="AB10" i="36"/>
  <c r="T10" i="36"/>
  <c r="S10" i="36"/>
  <c r="K10" i="36"/>
  <c r="J10" i="36"/>
  <c r="B10" i="36"/>
  <c r="A10" i="36"/>
  <c r="BV9" i="36"/>
  <c r="BU9" i="36"/>
  <c r="BM9" i="36"/>
  <c r="BL9" i="36"/>
  <c r="BD9" i="36"/>
  <c r="BC9" i="36"/>
  <c r="AU9" i="36"/>
  <c r="AT9" i="36"/>
  <c r="AL9" i="36"/>
  <c r="AK9" i="36"/>
  <c r="AC9" i="36"/>
  <c r="AB9" i="36"/>
  <c r="T9" i="36"/>
  <c r="S9" i="36"/>
  <c r="K9" i="36"/>
  <c r="J9" i="36"/>
  <c r="B9" i="36"/>
  <c r="A9" i="36"/>
  <c r="BV8" i="36"/>
  <c r="BU8" i="36"/>
  <c r="BM8" i="36"/>
  <c r="BL8" i="36"/>
  <c r="BD8" i="36"/>
  <c r="BC8" i="36"/>
  <c r="AU8" i="36"/>
  <c r="AT8" i="36"/>
  <c r="AL8" i="36"/>
  <c r="AK8" i="36"/>
  <c r="AC8" i="36"/>
  <c r="AB8" i="36"/>
  <c r="T8" i="36"/>
  <c r="S8" i="36"/>
  <c r="K8" i="36"/>
  <c r="J8" i="36"/>
  <c r="B8" i="36"/>
  <c r="A8" i="36"/>
  <c r="BV7" i="36"/>
  <c r="BU7" i="36"/>
  <c r="BM7" i="36"/>
  <c r="BL7" i="36"/>
  <c r="BD7" i="36"/>
  <c r="BC7" i="36"/>
  <c r="AU7" i="36"/>
  <c r="AT7" i="36"/>
  <c r="AL7" i="36"/>
  <c r="AK7" i="36"/>
  <c r="AC7" i="36"/>
  <c r="AB7" i="36"/>
  <c r="T7" i="36"/>
  <c r="S7" i="36"/>
  <c r="K7" i="36"/>
  <c r="J7" i="36"/>
  <c r="B7" i="36"/>
  <c r="A7" i="36"/>
  <c r="T22" i="35"/>
  <c r="S22" i="35"/>
  <c r="K22" i="35"/>
  <c r="J22" i="35"/>
  <c r="B22" i="35"/>
  <c r="A22" i="35"/>
  <c r="T21" i="35"/>
  <c r="S21" i="35"/>
  <c r="K21" i="35"/>
  <c r="J21" i="35"/>
  <c r="B21" i="35"/>
  <c r="A21" i="35"/>
  <c r="T20" i="35"/>
  <c r="S20" i="35"/>
  <c r="K20" i="35"/>
  <c r="J20" i="35"/>
  <c r="B20" i="35"/>
  <c r="A20" i="35"/>
  <c r="T19" i="35"/>
  <c r="S19" i="35"/>
  <c r="K19" i="35"/>
  <c r="J19" i="35"/>
  <c r="B19" i="35"/>
  <c r="A19" i="35"/>
  <c r="T18" i="35"/>
  <c r="S18" i="35"/>
  <c r="K18" i="35"/>
  <c r="J18" i="35"/>
  <c r="B18" i="35"/>
  <c r="A18" i="35"/>
  <c r="T17" i="35"/>
  <c r="S17" i="35"/>
  <c r="K17" i="35"/>
  <c r="J17" i="35"/>
  <c r="B17" i="35"/>
  <c r="A17" i="35"/>
  <c r="T16" i="35"/>
  <c r="S16" i="35"/>
  <c r="K16" i="35"/>
  <c r="J16" i="35"/>
  <c r="B16" i="35"/>
  <c r="A16" i="35"/>
  <c r="T15" i="35"/>
  <c r="S15" i="35"/>
  <c r="K15" i="35"/>
  <c r="J15" i="35"/>
  <c r="B15" i="35"/>
  <c r="A15" i="35"/>
  <c r="T14" i="35"/>
  <c r="S14" i="35"/>
  <c r="K14" i="35"/>
  <c r="J14" i="35"/>
  <c r="B14" i="35"/>
  <c r="A14" i="35"/>
  <c r="T13" i="35"/>
  <c r="S13" i="35"/>
  <c r="K13" i="35"/>
  <c r="J13" i="35"/>
  <c r="B13" i="35"/>
  <c r="A13" i="35"/>
  <c r="T12" i="35"/>
  <c r="S12" i="35"/>
  <c r="K12" i="35"/>
  <c r="J12" i="35"/>
  <c r="B12" i="35"/>
  <c r="A12" i="35"/>
  <c r="T11" i="35"/>
  <c r="S11" i="35"/>
  <c r="K11" i="35"/>
  <c r="J11" i="35"/>
  <c r="B11" i="35"/>
  <c r="A11" i="35"/>
  <c r="T10" i="35"/>
  <c r="S10" i="35"/>
  <c r="K10" i="35"/>
  <c r="J10" i="35"/>
  <c r="B10" i="35"/>
  <c r="A10" i="35"/>
  <c r="T9" i="35"/>
  <c r="S9" i="35"/>
  <c r="K9" i="35"/>
  <c r="J9" i="35"/>
  <c r="B9" i="35"/>
  <c r="A9" i="35"/>
  <c r="T8" i="35"/>
  <c r="S8" i="35"/>
  <c r="K8" i="35"/>
  <c r="J8" i="35"/>
  <c r="B8" i="35"/>
  <c r="A8" i="35"/>
  <c r="T7" i="35"/>
  <c r="S7" i="35"/>
  <c r="K7" i="35"/>
  <c r="J7" i="35"/>
  <c r="B7" i="35"/>
  <c r="A7" i="35"/>
  <c r="T8" i="20"/>
  <c r="S8" i="20"/>
  <c r="K8" i="20"/>
  <c r="J8" i="20"/>
  <c r="B8" i="20"/>
  <c r="A8" i="20"/>
  <c r="CN19" i="31"/>
  <c r="CM19" i="31"/>
  <c r="CE19" i="31"/>
  <c r="CD19" i="31"/>
  <c r="BV19" i="31"/>
  <c r="BU19" i="31"/>
  <c r="BM19" i="31"/>
  <c r="BL19" i="31"/>
  <c r="BD19" i="31"/>
  <c r="BC19" i="31"/>
  <c r="AU19" i="31"/>
  <c r="AT19" i="31"/>
  <c r="AL19" i="31"/>
  <c r="AK19" i="31"/>
  <c r="AC19" i="31"/>
  <c r="AB19" i="31"/>
  <c r="T19" i="31"/>
  <c r="S19" i="31"/>
  <c r="K19" i="31"/>
  <c r="J19" i="31"/>
  <c r="B19" i="31"/>
  <c r="A19" i="31"/>
  <c r="CN18" i="31"/>
  <c r="CM18" i="31"/>
  <c r="CE18" i="31"/>
  <c r="CD18" i="31"/>
  <c r="BV18" i="31"/>
  <c r="BU18" i="31"/>
  <c r="BM18" i="31"/>
  <c r="BL18" i="31"/>
  <c r="BD18" i="31"/>
  <c r="BC18" i="31"/>
  <c r="AU18" i="31"/>
  <c r="AT18" i="31"/>
  <c r="AL18" i="31"/>
  <c r="AK18" i="31"/>
  <c r="AC18" i="31"/>
  <c r="AB18" i="31"/>
  <c r="T18" i="31"/>
  <c r="S18" i="31"/>
  <c r="K18" i="31"/>
  <c r="J18" i="31"/>
  <c r="B18" i="31"/>
  <c r="A18" i="31"/>
  <c r="CN17" i="31"/>
  <c r="CM17" i="31"/>
  <c r="CE17" i="31"/>
  <c r="CD17" i="31"/>
  <c r="BV17" i="31"/>
  <c r="BU17" i="31"/>
  <c r="BM17" i="31"/>
  <c r="BL17" i="31"/>
  <c r="BD17" i="31"/>
  <c r="BC17" i="31"/>
  <c r="AU17" i="31"/>
  <c r="AT17" i="31"/>
  <c r="AL17" i="31"/>
  <c r="AK17" i="31"/>
  <c r="AC17" i="31"/>
  <c r="AB17" i="31"/>
  <c r="T17" i="31"/>
  <c r="S17" i="31"/>
  <c r="K17" i="31"/>
  <c r="J17" i="31"/>
  <c r="B17" i="31"/>
  <c r="A17" i="31"/>
  <c r="CN16" i="31"/>
  <c r="CM16" i="31"/>
  <c r="CE16" i="31"/>
  <c r="CD16" i="31"/>
  <c r="BV16" i="31"/>
  <c r="BU16" i="31"/>
  <c r="BM16" i="31"/>
  <c r="BL16" i="31"/>
  <c r="BD16" i="31"/>
  <c r="BC16" i="31"/>
  <c r="AU16" i="31"/>
  <c r="AT16" i="31"/>
  <c r="AL16" i="31"/>
  <c r="AK16" i="31"/>
  <c r="AC16" i="31"/>
  <c r="AB16" i="31"/>
  <c r="T16" i="31"/>
  <c r="S16" i="31"/>
  <c r="K16" i="31"/>
  <c r="J16" i="31"/>
  <c r="B16" i="31"/>
  <c r="A16" i="31"/>
  <c r="CN15" i="31"/>
  <c r="CM15" i="31"/>
  <c r="CE15" i="31"/>
  <c r="CD15" i="31"/>
  <c r="BV15" i="31"/>
  <c r="BU15" i="31"/>
  <c r="BM15" i="31"/>
  <c r="BL15" i="31"/>
  <c r="BD15" i="31"/>
  <c r="BC15" i="31"/>
  <c r="AU15" i="31"/>
  <c r="AT15" i="31"/>
  <c r="AL15" i="31"/>
  <c r="AK15" i="31"/>
  <c r="AC15" i="31"/>
  <c r="AB15" i="31"/>
  <c r="T15" i="31"/>
  <c r="S15" i="31"/>
  <c r="K15" i="31"/>
  <c r="J15" i="31"/>
  <c r="B15" i="31"/>
  <c r="A15" i="31"/>
  <c r="CN14" i="31"/>
  <c r="CM14" i="31"/>
  <c r="CE14" i="31"/>
  <c r="CD14" i="31"/>
  <c r="BV14" i="31"/>
  <c r="BU14" i="31"/>
  <c r="BM14" i="31"/>
  <c r="BL14" i="31"/>
  <c r="BD14" i="31"/>
  <c r="BC14" i="31"/>
  <c r="AU14" i="31"/>
  <c r="AT14" i="31"/>
  <c r="AL14" i="31"/>
  <c r="AK14" i="31"/>
  <c r="AC14" i="31"/>
  <c r="AB14" i="31"/>
  <c r="T14" i="31"/>
  <c r="S14" i="31"/>
  <c r="K14" i="31"/>
  <c r="J14" i="31"/>
  <c r="B14" i="31"/>
  <c r="A14" i="31"/>
  <c r="CN13" i="31"/>
  <c r="CM13" i="31"/>
  <c r="CE13" i="31"/>
  <c r="CD13" i="31"/>
  <c r="BV13" i="31"/>
  <c r="BU13" i="31"/>
  <c r="BM13" i="31"/>
  <c r="BL13" i="31"/>
  <c r="BD13" i="31"/>
  <c r="BC13" i="31"/>
  <c r="AU13" i="31"/>
  <c r="AT13" i="31"/>
  <c r="AL13" i="31"/>
  <c r="AK13" i="31"/>
  <c r="AC13" i="31"/>
  <c r="AB13" i="31"/>
  <c r="T13" i="31"/>
  <c r="S13" i="31"/>
  <c r="K13" i="31"/>
  <c r="J13" i="31"/>
  <c r="B13" i="31"/>
  <c r="A13" i="31"/>
  <c r="CN12" i="31"/>
  <c r="CM12" i="31"/>
  <c r="CE12" i="31"/>
  <c r="CD12" i="31"/>
  <c r="BV12" i="31"/>
  <c r="BU12" i="31"/>
  <c r="BM12" i="31"/>
  <c r="BL12" i="31"/>
  <c r="BD12" i="31"/>
  <c r="BC12" i="31"/>
  <c r="AU12" i="31"/>
  <c r="AT12" i="31"/>
  <c r="AL12" i="31"/>
  <c r="AK12" i="31"/>
  <c r="AC12" i="31"/>
  <c r="AB12" i="31"/>
  <c r="T12" i="31"/>
  <c r="S12" i="31"/>
  <c r="K12" i="31"/>
  <c r="J12" i="31"/>
  <c r="B12" i="31"/>
  <c r="A12" i="31"/>
  <c r="CN11" i="31"/>
  <c r="CM11" i="31"/>
  <c r="CE11" i="31"/>
  <c r="CD11" i="31"/>
  <c r="BV11" i="31"/>
  <c r="BU11" i="31"/>
  <c r="BM11" i="31"/>
  <c r="BL11" i="31"/>
  <c r="BD11" i="31"/>
  <c r="BC11" i="31"/>
  <c r="AU11" i="31"/>
  <c r="AT11" i="31"/>
  <c r="AL11" i="31"/>
  <c r="AK11" i="31"/>
  <c r="AC11" i="31"/>
  <c r="AB11" i="31"/>
  <c r="T11" i="31"/>
  <c r="S11" i="31"/>
  <c r="K11" i="31"/>
  <c r="J11" i="31"/>
  <c r="B11" i="31"/>
  <c r="A11" i="31"/>
  <c r="CN10" i="31"/>
  <c r="CM10" i="31"/>
  <c r="CE10" i="31"/>
  <c r="CD10" i="31"/>
  <c r="BV10" i="31"/>
  <c r="BU10" i="31"/>
  <c r="BM10" i="31"/>
  <c r="BL10" i="31"/>
  <c r="BD10" i="31"/>
  <c r="BC10" i="31"/>
  <c r="AU10" i="31"/>
  <c r="AT10" i="31"/>
  <c r="AL10" i="31"/>
  <c r="AK10" i="31"/>
  <c r="AC10" i="31"/>
  <c r="AB10" i="31"/>
  <c r="T10" i="31"/>
  <c r="S10" i="31"/>
  <c r="K10" i="31"/>
  <c r="J10" i="31"/>
  <c r="B10" i="31"/>
  <c r="A10" i="31"/>
  <c r="CN9" i="31"/>
  <c r="CM9" i="31"/>
  <c r="CE9" i="31"/>
  <c r="CD9" i="31"/>
  <c r="BV9" i="31"/>
  <c r="BU9" i="31"/>
  <c r="BM9" i="31"/>
  <c r="BL9" i="31"/>
  <c r="BD9" i="31"/>
  <c r="BC9" i="31"/>
  <c r="AU9" i="31"/>
  <c r="AT9" i="31"/>
  <c r="AL9" i="31"/>
  <c r="AK9" i="31"/>
  <c r="AC9" i="31"/>
  <c r="AB9" i="31"/>
  <c r="T9" i="31"/>
  <c r="S9" i="31"/>
  <c r="K9" i="31"/>
  <c r="J9" i="31"/>
  <c r="B9" i="31"/>
  <c r="A9" i="31"/>
  <c r="CN8" i="31"/>
  <c r="CM8" i="31"/>
  <c r="CE8" i="31"/>
  <c r="CD8" i="31"/>
  <c r="BV8" i="31"/>
  <c r="BU8" i="31"/>
  <c r="BM8" i="31"/>
  <c r="BL8" i="31"/>
  <c r="BD8" i="31"/>
  <c r="BC8" i="31"/>
  <c r="AU8" i="31"/>
  <c r="AT8" i="31"/>
  <c r="AL8" i="31"/>
  <c r="AK8" i="31"/>
  <c r="AC8" i="31"/>
  <c r="AB8" i="31"/>
  <c r="T8" i="31"/>
  <c r="S8" i="31"/>
  <c r="K8" i="31"/>
  <c r="J8" i="31"/>
  <c r="B8" i="31"/>
  <c r="A8" i="31"/>
  <c r="CN7" i="31"/>
  <c r="CM7" i="31"/>
  <c r="CE7" i="31"/>
  <c r="CD7" i="31"/>
  <c r="BV7" i="31"/>
  <c r="BU7" i="31"/>
  <c r="BM7" i="31"/>
  <c r="BL7" i="31"/>
  <c r="BD7" i="31"/>
  <c r="BC7" i="31"/>
  <c r="AU7" i="31"/>
  <c r="AT7" i="31"/>
  <c r="AL7" i="31"/>
  <c r="AK7" i="31"/>
  <c r="AC7" i="31"/>
  <c r="AB7" i="31"/>
  <c r="T7" i="31"/>
  <c r="S7" i="31"/>
  <c r="K7" i="31"/>
  <c r="J7" i="31"/>
  <c r="B7" i="31"/>
  <c r="A7" i="31"/>
  <c r="CN12" i="30"/>
  <c r="CM12" i="30"/>
  <c r="CE12" i="30"/>
  <c r="CD12" i="30"/>
  <c r="BV12" i="30"/>
  <c r="BU12" i="30"/>
  <c r="BM12" i="30"/>
  <c r="BL12" i="30"/>
  <c r="BD12" i="30"/>
  <c r="BC12" i="30"/>
  <c r="AU12" i="30"/>
  <c r="AT12" i="30"/>
  <c r="AL12" i="30"/>
  <c r="AK12" i="30"/>
  <c r="AC12" i="30"/>
  <c r="AB12" i="30"/>
  <c r="T12" i="30"/>
  <c r="S12" i="30"/>
  <c r="K12" i="30"/>
  <c r="J12" i="30"/>
  <c r="B12" i="30"/>
  <c r="A12" i="30"/>
  <c r="CN11" i="30"/>
  <c r="CM11" i="30"/>
  <c r="CE11" i="30"/>
  <c r="CD11" i="30"/>
  <c r="BV11" i="30"/>
  <c r="BU11" i="30"/>
  <c r="BM11" i="30"/>
  <c r="BL11" i="30"/>
  <c r="BD11" i="30"/>
  <c r="BC11" i="30"/>
  <c r="AU11" i="30"/>
  <c r="AT11" i="30"/>
  <c r="AL11" i="30"/>
  <c r="AK11" i="30"/>
  <c r="AC11" i="30"/>
  <c r="AB11" i="30"/>
  <c r="T11" i="30"/>
  <c r="S11" i="30"/>
  <c r="K11" i="30"/>
  <c r="J11" i="30"/>
  <c r="B11" i="30"/>
  <c r="A11" i="30"/>
  <c r="CN10" i="30"/>
  <c r="CM10" i="30"/>
  <c r="CE10" i="30"/>
  <c r="CD10" i="30"/>
  <c r="BV10" i="30"/>
  <c r="BU10" i="30"/>
  <c r="BM10" i="30"/>
  <c r="BL10" i="30"/>
  <c r="BD10" i="30"/>
  <c r="BC10" i="30"/>
  <c r="AU10" i="30"/>
  <c r="AT10" i="30"/>
  <c r="AL10" i="30"/>
  <c r="AK10" i="30"/>
  <c r="AC10" i="30"/>
  <c r="AB10" i="30"/>
  <c r="T10" i="30"/>
  <c r="S10" i="30"/>
  <c r="K10" i="30"/>
  <c r="J10" i="30"/>
  <c r="B10" i="30"/>
  <c r="A10" i="30"/>
  <c r="CN9" i="30"/>
  <c r="CM9" i="30"/>
  <c r="CE9" i="30"/>
  <c r="CD9" i="30"/>
  <c r="BV9" i="30"/>
  <c r="BU9" i="30"/>
  <c r="BM9" i="30"/>
  <c r="BL9" i="30"/>
  <c r="BD9" i="30"/>
  <c r="BC9" i="30"/>
  <c r="AU9" i="30"/>
  <c r="AT9" i="30"/>
  <c r="AL9" i="30"/>
  <c r="AK9" i="30"/>
  <c r="AC9" i="30"/>
  <c r="AB9" i="30"/>
  <c r="T9" i="30"/>
  <c r="S9" i="30"/>
  <c r="K9" i="30"/>
  <c r="J9" i="30"/>
  <c r="B9" i="30"/>
  <c r="A9" i="30"/>
  <c r="CN8" i="30"/>
  <c r="CM8" i="30"/>
  <c r="CE8" i="30"/>
  <c r="CD8" i="30"/>
  <c r="BV8" i="30"/>
  <c r="BU8" i="30"/>
  <c r="BM8" i="30"/>
  <c r="BL8" i="30"/>
  <c r="BD8" i="30"/>
  <c r="BC8" i="30"/>
  <c r="AU8" i="30"/>
  <c r="AT8" i="30"/>
  <c r="AL8" i="30"/>
  <c r="AK8" i="30"/>
  <c r="AC8" i="30"/>
  <c r="AB8" i="30"/>
  <c r="T8" i="30"/>
  <c r="S8" i="30"/>
  <c r="K8" i="30"/>
  <c r="J8" i="30"/>
  <c r="B8" i="30"/>
  <c r="A8" i="30"/>
  <c r="CN7" i="30"/>
  <c r="CM7" i="30"/>
  <c r="CE7" i="30"/>
  <c r="CD7" i="30"/>
  <c r="BV7" i="30"/>
  <c r="BU7" i="30"/>
  <c r="BM7" i="30"/>
  <c r="BL7" i="30"/>
  <c r="BD7" i="30"/>
  <c r="BC7" i="30"/>
  <c r="AU7" i="30"/>
  <c r="AT7" i="30"/>
  <c r="AL7" i="30"/>
  <c r="AK7" i="30"/>
  <c r="AC7" i="30"/>
  <c r="AB7" i="30"/>
  <c r="T7" i="30"/>
  <c r="S7" i="30"/>
  <c r="K7" i="30"/>
  <c r="J7" i="30"/>
  <c r="B7" i="30"/>
  <c r="A7" i="30"/>
  <c r="CN11" i="28"/>
  <c r="CM11" i="28"/>
  <c r="CE11" i="28"/>
  <c r="CD11" i="28"/>
  <c r="BV11" i="28"/>
  <c r="BU11" i="28"/>
  <c r="BM11" i="28"/>
  <c r="BL11" i="28"/>
  <c r="BD11" i="28"/>
  <c r="BC11" i="28"/>
  <c r="AU11" i="28"/>
  <c r="AT11" i="28"/>
  <c r="AL11" i="28"/>
  <c r="AK11" i="28"/>
  <c r="AC11" i="28"/>
  <c r="AB11" i="28"/>
  <c r="T11" i="28"/>
  <c r="S11" i="28"/>
  <c r="K11" i="28"/>
  <c r="J11" i="28"/>
  <c r="B11" i="28"/>
  <c r="A11" i="28"/>
  <c r="CN10" i="28"/>
  <c r="CM10" i="28"/>
  <c r="CE10" i="28"/>
  <c r="CD10" i="28"/>
  <c r="BV10" i="28"/>
  <c r="BU10" i="28"/>
  <c r="BM10" i="28"/>
  <c r="BL10" i="28"/>
  <c r="BD10" i="28"/>
  <c r="BC10" i="28"/>
  <c r="AU10" i="28"/>
  <c r="AT10" i="28"/>
  <c r="AL10" i="28"/>
  <c r="AK10" i="28"/>
  <c r="AC10" i="28"/>
  <c r="AB10" i="28"/>
  <c r="T10" i="28"/>
  <c r="S10" i="28"/>
  <c r="K10" i="28"/>
  <c r="J10" i="28"/>
  <c r="B10" i="28"/>
  <c r="A10" i="28"/>
  <c r="CN9" i="28"/>
  <c r="CM9" i="28"/>
  <c r="CE9" i="28"/>
  <c r="CD9" i="28"/>
  <c r="BV9" i="28"/>
  <c r="BU9" i="28"/>
  <c r="BM9" i="28"/>
  <c r="BL9" i="28"/>
  <c r="BD9" i="28"/>
  <c r="BC9" i="28"/>
  <c r="AU9" i="28"/>
  <c r="AT9" i="28"/>
  <c r="AL9" i="28"/>
  <c r="AK9" i="28"/>
  <c r="AC9" i="28"/>
  <c r="AB9" i="28"/>
  <c r="T9" i="28"/>
  <c r="S9" i="28"/>
  <c r="K9" i="28"/>
  <c r="J9" i="28"/>
  <c r="B9" i="28"/>
  <c r="A9" i="28"/>
  <c r="CN8" i="28"/>
  <c r="CM8" i="28"/>
  <c r="CE8" i="28"/>
  <c r="CD8" i="28"/>
  <c r="BV8" i="28"/>
  <c r="BU8" i="28"/>
  <c r="BM8" i="28"/>
  <c r="BL8" i="28"/>
  <c r="BD8" i="28"/>
  <c r="BC8" i="28"/>
  <c r="AU8" i="28"/>
  <c r="AT8" i="28"/>
  <c r="AL8" i="28"/>
  <c r="AK8" i="28"/>
  <c r="AC8" i="28"/>
  <c r="AB8" i="28"/>
  <c r="T8" i="28"/>
  <c r="S8" i="28"/>
  <c r="K8" i="28"/>
  <c r="J8" i="28"/>
  <c r="B8" i="28"/>
  <c r="A8" i="28"/>
  <c r="CN7" i="28"/>
  <c r="CM7" i="28"/>
  <c r="CE7" i="28"/>
  <c r="CD7" i="28"/>
  <c r="BV7" i="28"/>
  <c r="BU7" i="28"/>
  <c r="BM7" i="28"/>
  <c r="BL7" i="28"/>
  <c r="BD7" i="28"/>
  <c r="BC7" i="28"/>
  <c r="AU7" i="28"/>
  <c r="AT7" i="28"/>
  <c r="AL7" i="28"/>
  <c r="AK7" i="28"/>
  <c r="AC7" i="28"/>
  <c r="AB7" i="28"/>
  <c r="T7" i="28"/>
  <c r="S7" i="28"/>
  <c r="K7" i="28"/>
  <c r="J7" i="28"/>
  <c r="B7" i="28"/>
  <c r="A7" i="28"/>
  <c r="BV12" i="27"/>
  <c r="BU12" i="27"/>
  <c r="BM12" i="27"/>
  <c r="BL12" i="27"/>
  <c r="BD12" i="27"/>
  <c r="BC12" i="27"/>
  <c r="AU12" i="27"/>
  <c r="AT12" i="27"/>
  <c r="AL12" i="27"/>
  <c r="AK12" i="27"/>
  <c r="AC12" i="27"/>
  <c r="AB12" i="27"/>
  <c r="T12" i="27"/>
  <c r="S12" i="27"/>
  <c r="K12" i="27"/>
  <c r="J12" i="27"/>
  <c r="B12" i="27"/>
  <c r="A12" i="27"/>
  <c r="BV11" i="27"/>
  <c r="BU11" i="27"/>
  <c r="BM11" i="27"/>
  <c r="BL11" i="27"/>
  <c r="BD11" i="27"/>
  <c r="BC11" i="27"/>
  <c r="AU11" i="27"/>
  <c r="AT11" i="27"/>
  <c r="AL11" i="27"/>
  <c r="AK11" i="27"/>
  <c r="AC11" i="27"/>
  <c r="AB11" i="27"/>
  <c r="T11" i="27"/>
  <c r="S11" i="27"/>
  <c r="K11" i="27"/>
  <c r="J11" i="27"/>
  <c r="B11" i="27"/>
  <c r="A11" i="27"/>
  <c r="BV10" i="27"/>
  <c r="BU10" i="27"/>
  <c r="BM10" i="27"/>
  <c r="BL10" i="27"/>
  <c r="BD10" i="27"/>
  <c r="BC10" i="27"/>
  <c r="AU10" i="27"/>
  <c r="AT10" i="27"/>
  <c r="AL10" i="27"/>
  <c r="AK10" i="27"/>
  <c r="AC10" i="27"/>
  <c r="AB10" i="27"/>
  <c r="T10" i="27"/>
  <c r="S10" i="27"/>
  <c r="K10" i="27"/>
  <c r="J10" i="27"/>
  <c r="B10" i="27"/>
  <c r="A10" i="27"/>
  <c r="BV9" i="27"/>
  <c r="BU9" i="27"/>
  <c r="BM9" i="27"/>
  <c r="BL9" i="27"/>
  <c r="BD9" i="27"/>
  <c r="BC9" i="27"/>
  <c r="AU9" i="27"/>
  <c r="AT9" i="27"/>
  <c r="AL9" i="27"/>
  <c r="AK9" i="27"/>
  <c r="AC9" i="27"/>
  <c r="AB9" i="27"/>
  <c r="T9" i="27"/>
  <c r="S9" i="27"/>
  <c r="K9" i="27"/>
  <c r="J9" i="27"/>
  <c r="B9" i="27"/>
  <c r="A9" i="27"/>
  <c r="BV8" i="27"/>
  <c r="BU8" i="27"/>
  <c r="BM8" i="27"/>
  <c r="BL8" i="27"/>
  <c r="BD8" i="27"/>
  <c r="BC8" i="27"/>
  <c r="AU8" i="27"/>
  <c r="AT8" i="27"/>
  <c r="AL8" i="27"/>
  <c r="AK8" i="27"/>
  <c r="AC8" i="27"/>
  <c r="AB8" i="27"/>
  <c r="T8" i="27"/>
  <c r="S8" i="27"/>
  <c r="K8" i="27"/>
  <c r="J8" i="27"/>
  <c r="B8" i="27"/>
  <c r="A8" i="27"/>
  <c r="BV9" i="26" l="1"/>
  <c r="BU9" i="26"/>
  <c r="BM9" i="26"/>
  <c r="BL9" i="26"/>
  <c r="BD9" i="26"/>
  <c r="BC9" i="26"/>
  <c r="AU9" i="26"/>
  <c r="AT9" i="26"/>
  <c r="AL9" i="26"/>
  <c r="AK9" i="26"/>
  <c r="AC9" i="26"/>
  <c r="AB9" i="26"/>
  <c r="T9" i="26"/>
  <c r="S9" i="26"/>
  <c r="K9" i="26"/>
  <c r="J9" i="26"/>
  <c r="B9" i="26"/>
  <c r="A9" i="26"/>
  <c r="BV8" i="26"/>
  <c r="BU8" i="26"/>
  <c r="BM8" i="26"/>
  <c r="BL8" i="26"/>
  <c r="BD8" i="26"/>
  <c r="BC8" i="26"/>
  <c r="AU8" i="26"/>
  <c r="AT8" i="26"/>
  <c r="AL8" i="26"/>
  <c r="AK8" i="26"/>
  <c r="AC8" i="26"/>
  <c r="AB8" i="26"/>
  <c r="T8" i="26"/>
  <c r="S8" i="26"/>
  <c r="K8" i="26"/>
  <c r="J8" i="26"/>
  <c r="B8" i="26"/>
  <c r="A8" i="26"/>
  <c r="BV7" i="26"/>
  <c r="BU7" i="26"/>
  <c r="BM7" i="26"/>
  <c r="BL7" i="26"/>
  <c r="BD7" i="26"/>
  <c r="BC7" i="26"/>
  <c r="AU7" i="26"/>
  <c r="AT7" i="26"/>
  <c r="AL7" i="26"/>
  <c r="AK7" i="26"/>
  <c r="AC7" i="26"/>
  <c r="AB7" i="26"/>
  <c r="T7" i="26"/>
  <c r="S7" i="26"/>
  <c r="K7" i="26"/>
  <c r="J7" i="26"/>
  <c r="B7" i="26"/>
  <c r="A7" i="26"/>
  <c r="BV10" i="38"/>
  <c r="BU10" i="38"/>
  <c r="BM10" i="38"/>
  <c r="BL10" i="38"/>
  <c r="BD10" i="38"/>
  <c r="BC10" i="38"/>
  <c r="AU10" i="38"/>
  <c r="AT10" i="38"/>
  <c r="AL10" i="38"/>
  <c r="AK10" i="38"/>
  <c r="AC10" i="38"/>
  <c r="AB10" i="38"/>
  <c r="T10" i="38"/>
  <c r="S10" i="38"/>
  <c r="K10" i="38"/>
  <c r="J10" i="38"/>
  <c r="B10" i="38"/>
  <c r="A10" i="38"/>
  <c r="BV9" i="38"/>
  <c r="BU9" i="38"/>
  <c r="BM9" i="38"/>
  <c r="BL9" i="38"/>
  <c r="BD9" i="38"/>
  <c r="BC9" i="38"/>
  <c r="AU9" i="38"/>
  <c r="AT9" i="38"/>
  <c r="AL9" i="38"/>
  <c r="AK9" i="38"/>
  <c r="AC9" i="38"/>
  <c r="AB9" i="38"/>
  <c r="T9" i="38"/>
  <c r="S9" i="38"/>
  <c r="K9" i="38"/>
  <c r="J9" i="38"/>
  <c r="B9" i="38"/>
  <c r="A9" i="38"/>
  <c r="BV8" i="38"/>
  <c r="BU8" i="38"/>
  <c r="BM8" i="38"/>
  <c r="BL8" i="38"/>
  <c r="BD8" i="38"/>
  <c r="BC8" i="38"/>
  <c r="AU8" i="38"/>
  <c r="AT8" i="38"/>
  <c r="AL8" i="38"/>
  <c r="AK8" i="38"/>
  <c r="AC8" i="38"/>
  <c r="AB8" i="38"/>
  <c r="T8" i="38"/>
  <c r="S8" i="38"/>
  <c r="K8" i="38"/>
  <c r="J8" i="38"/>
  <c r="B8" i="38"/>
  <c r="A8" i="38"/>
  <c r="BV7" i="38"/>
  <c r="BU7" i="38"/>
  <c r="BM7" i="38"/>
  <c r="BL7" i="38"/>
  <c r="BD7" i="38"/>
  <c r="BC7" i="38"/>
  <c r="AU7" i="38"/>
  <c r="AT7" i="38"/>
  <c r="AL7" i="38"/>
  <c r="AK7" i="38"/>
  <c r="AC7" i="38"/>
  <c r="AB7" i="38"/>
  <c r="T7" i="38"/>
  <c r="S7" i="38"/>
  <c r="K7" i="38"/>
  <c r="J7" i="38"/>
  <c r="B7" i="38"/>
  <c r="A7" i="38"/>
  <c r="BV11" i="37"/>
  <c r="BU11" i="37"/>
  <c r="BM11" i="37"/>
  <c r="BL11" i="37"/>
  <c r="BD11" i="37"/>
  <c r="BC11" i="37"/>
  <c r="AU11" i="37"/>
  <c r="AT11" i="37"/>
  <c r="AL11" i="37"/>
  <c r="AK11" i="37"/>
  <c r="AC11" i="37"/>
  <c r="AB11" i="37"/>
  <c r="T11" i="37"/>
  <c r="S11" i="37"/>
  <c r="K11" i="37"/>
  <c r="J11" i="37"/>
  <c r="B11" i="37"/>
  <c r="A11" i="37"/>
  <c r="BV10" i="37"/>
  <c r="BU10" i="37"/>
  <c r="BM10" i="37"/>
  <c r="BL10" i="37"/>
  <c r="BD10" i="37"/>
  <c r="BC10" i="37"/>
  <c r="AU10" i="37"/>
  <c r="AT10" i="37"/>
  <c r="AL10" i="37"/>
  <c r="AK10" i="37"/>
  <c r="AC10" i="37"/>
  <c r="AB10" i="37"/>
  <c r="T10" i="37"/>
  <c r="S10" i="37"/>
  <c r="K10" i="37"/>
  <c r="J10" i="37"/>
  <c r="B10" i="37"/>
  <c r="A10" i="37"/>
  <c r="BV9" i="37"/>
  <c r="BU9" i="37"/>
  <c r="BM9" i="37"/>
  <c r="BL9" i="37"/>
  <c r="BD9" i="37"/>
  <c r="BC9" i="37"/>
  <c r="AU9" i="37"/>
  <c r="AT9" i="37"/>
  <c r="AL9" i="37"/>
  <c r="AK9" i="37"/>
  <c r="AC9" i="37"/>
  <c r="AB9" i="37"/>
  <c r="T9" i="37"/>
  <c r="S9" i="37"/>
  <c r="K9" i="37"/>
  <c r="J9" i="37"/>
  <c r="B9" i="37"/>
  <c r="A9" i="37"/>
  <c r="BV8" i="37"/>
  <c r="BU8" i="37"/>
  <c r="BM8" i="37"/>
  <c r="BL8" i="37"/>
  <c r="BD8" i="37"/>
  <c r="BC8" i="37"/>
  <c r="AU8" i="37"/>
  <c r="AT8" i="37"/>
  <c r="AL8" i="37"/>
  <c r="AK8" i="37"/>
  <c r="AC8" i="37"/>
  <c r="AB8" i="37"/>
  <c r="T8" i="37"/>
  <c r="S8" i="37"/>
  <c r="K8" i="37"/>
  <c r="J8" i="37"/>
  <c r="B8" i="37"/>
  <c r="A8" i="37"/>
  <c r="BV7" i="37"/>
  <c r="BU7" i="37"/>
  <c r="BM7" i="37"/>
  <c r="BL7" i="37"/>
  <c r="BD7" i="37"/>
  <c r="BC7" i="37"/>
  <c r="AU7" i="37"/>
  <c r="AT7" i="37"/>
  <c r="AL7" i="37"/>
  <c r="AK7" i="37"/>
  <c r="AC7" i="37"/>
  <c r="AB7" i="37"/>
  <c r="T7" i="37"/>
  <c r="S7" i="37"/>
  <c r="K7" i="37"/>
  <c r="J7" i="37"/>
  <c r="B7" i="37"/>
  <c r="A7" i="37"/>
  <c r="BV9" i="23"/>
  <c r="BU9" i="23"/>
  <c r="BM9" i="23"/>
  <c r="BL9" i="23"/>
  <c r="BD9" i="23"/>
  <c r="BC9" i="23"/>
  <c r="AU9" i="23"/>
  <c r="AT9" i="23"/>
  <c r="AL9" i="23"/>
  <c r="AK9" i="23"/>
  <c r="AC9" i="23"/>
  <c r="AB9" i="23"/>
  <c r="T9" i="23"/>
  <c r="S9" i="23"/>
  <c r="K9" i="23"/>
  <c r="J9" i="23"/>
  <c r="B9" i="23"/>
  <c r="A9" i="23"/>
  <c r="BV8" i="23"/>
  <c r="BU8" i="23"/>
  <c r="BM8" i="23"/>
  <c r="BL8" i="23"/>
  <c r="BD8" i="23"/>
  <c r="BC8" i="23"/>
  <c r="AU8" i="23"/>
  <c r="AT8" i="23"/>
  <c r="AL8" i="23"/>
  <c r="AK8" i="23"/>
  <c r="AC8" i="23"/>
  <c r="AB8" i="23"/>
  <c r="T8" i="23"/>
  <c r="S8" i="23"/>
  <c r="K8" i="23"/>
  <c r="J8" i="23"/>
  <c r="B8" i="23"/>
  <c r="A8" i="23"/>
  <c r="BV7" i="23"/>
  <c r="BU7" i="23"/>
  <c r="BM7" i="23"/>
  <c r="BL7" i="23"/>
  <c r="BD7" i="23"/>
  <c r="BC7" i="23"/>
  <c r="AU7" i="23"/>
  <c r="AT7" i="23"/>
  <c r="AL7" i="23"/>
  <c r="AK7" i="23"/>
  <c r="AC7" i="23"/>
  <c r="AB7" i="23"/>
  <c r="T7" i="23"/>
  <c r="S7" i="23"/>
  <c r="K7" i="23"/>
  <c r="J7" i="23"/>
  <c r="B7" i="23"/>
  <c r="A7" i="23"/>
  <c r="BV9" i="32"/>
  <c r="BU9" i="32"/>
  <c r="BM9" i="32"/>
  <c r="BL9" i="32"/>
  <c r="BD9" i="32"/>
  <c r="BC9" i="32"/>
  <c r="AU9" i="32"/>
  <c r="AT9" i="32"/>
  <c r="AL9" i="32"/>
  <c r="AK9" i="32"/>
  <c r="AC9" i="32"/>
  <c r="AB9" i="32"/>
  <c r="T9" i="32"/>
  <c r="S9" i="32"/>
  <c r="K9" i="32"/>
  <c r="J9" i="32"/>
  <c r="B9" i="32"/>
  <c r="A9" i="32"/>
  <c r="BV8" i="32"/>
  <c r="BU8" i="32"/>
  <c r="BM8" i="32"/>
  <c r="BL8" i="32"/>
  <c r="BD8" i="32"/>
  <c r="BC8" i="32"/>
  <c r="AU8" i="32"/>
  <c r="AT8" i="32"/>
  <c r="AL8" i="32"/>
  <c r="AK8" i="32"/>
  <c r="AC8" i="32"/>
  <c r="AB8" i="32"/>
  <c r="T8" i="32"/>
  <c r="S8" i="32"/>
  <c r="K8" i="32"/>
  <c r="J8" i="32"/>
  <c r="B8" i="32"/>
  <c r="A8" i="32"/>
  <c r="BV7" i="32"/>
  <c r="BU7" i="32"/>
  <c r="BM7" i="32"/>
  <c r="BL7" i="32"/>
  <c r="BD7" i="32"/>
  <c r="BC7" i="32"/>
  <c r="AU7" i="32"/>
  <c r="AT7" i="32"/>
  <c r="AL7" i="32"/>
  <c r="AK7" i="32"/>
  <c r="AC7" i="32"/>
  <c r="AB7" i="32"/>
  <c r="T7" i="32"/>
  <c r="S7" i="32"/>
  <c r="K7" i="32"/>
  <c r="J7" i="32"/>
  <c r="B7" i="32"/>
  <c r="A7" i="32"/>
  <c r="CN12" i="29"/>
  <c r="CM12" i="29"/>
  <c r="CE12" i="29"/>
  <c r="CD12" i="29"/>
  <c r="BV12" i="29"/>
  <c r="BU12" i="29"/>
  <c r="BM12" i="29"/>
  <c r="BL12" i="29"/>
  <c r="BD12" i="29"/>
  <c r="BC12" i="29"/>
  <c r="AU12" i="29"/>
  <c r="AT12" i="29"/>
  <c r="AL12" i="29"/>
  <c r="AK12" i="29"/>
  <c r="AC12" i="29"/>
  <c r="AB12" i="29"/>
  <c r="T12" i="29"/>
  <c r="S12" i="29"/>
  <c r="K12" i="29"/>
  <c r="J12" i="29"/>
  <c r="B12" i="29"/>
  <c r="A12" i="29"/>
  <c r="CN11" i="29"/>
  <c r="CM11" i="29"/>
  <c r="CE11" i="29"/>
  <c r="CD11" i="29"/>
  <c r="BV11" i="29"/>
  <c r="BU11" i="29"/>
  <c r="BM11" i="29"/>
  <c r="BL11" i="29"/>
  <c r="BD11" i="29"/>
  <c r="BC11" i="29"/>
  <c r="AU11" i="29"/>
  <c r="AT11" i="29"/>
  <c r="AL11" i="29"/>
  <c r="AK11" i="29"/>
  <c r="AC11" i="29"/>
  <c r="AB11" i="29"/>
  <c r="T11" i="29"/>
  <c r="S11" i="29"/>
  <c r="K11" i="29"/>
  <c r="J11" i="29"/>
  <c r="B11" i="29"/>
  <c r="A11" i="29"/>
  <c r="CN10" i="29"/>
  <c r="CM10" i="29"/>
  <c r="CE10" i="29"/>
  <c r="CD10" i="29"/>
  <c r="BV10" i="29"/>
  <c r="BU10" i="29"/>
  <c r="BM10" i="29"/>
  <c r="BL10" i="29"/>
  <c r="BD10" i="29"/>
  <c r="BC10" i="29"/>
  <c r="AU10" i="29"/>
  <c r="AT10" i="29"/>
  <c r="AL10" i="29"/>
  <c r="AK10" i="29"/>
  <c r="AC10" i="29"/>
  <c r="AB10" i="29"/>
  <c r="T10" i="29"/>
  <c r="S10" i="29"/>
  <c r="K10" i="29"/>
  <c r="J10" i="29"/>
  <c r="B10" i="29"/>
  <c r="A10" i="29"/>
  <c r="CN9" i="29"/>
  <c r="CM9" i="29"/>
  <c r="CE9" i="29"/>
  <c r="CD9" i="29"/>
  <c r="BV9" i="29"/>
  <c r="BU9" i="29"/>
  <c r="BM9" i="29"/>
  <c r="BL9" i="29"/>
  <c r="BD9" i="29"/>
  <c r="BC9" i="29"/>
  <c r="AU9" i="29"/>
  <c r="AT9" i="29"/>
  <c r="AL9" i="29"/>
  <c r="AK9" i="29"/>
  <c r="AC9" i="29"/>
  <c r="AB9" i="29"/>
  <c r="T9" i="29"/>
  <c r="S9" i="29"/>
  <c r="K9" i="29"/>
  <c r="J9" i="29"/>
  <c r="B9" i="29"/>
  <c r="A9" i="29"/>
  <c r="CN8" i="29"/>
  <c r="CM8" i="29"/>
  <c r="CE8" i="29"/>
  <c r="CD8" i="29"/>
  <c r="BV8" i="29"/>
  <c r="BU8" i="29"/>
  <c r="BM8" i="29"/>
  <c r="BL8" i="29"/>
  <c r="BD8" i="29"/>
  <c r="BC8" i="29"/>
  <c r="AU8" i="29"/>
  <c r="AT8" i="29"/>
  <c r="AL8" i="29"/>
  <c r="AK8" i="29"/>
  <c r="AC8" i="29"/>
  <c r="AB8" i="29"/>
  <c r="T8" i="29"/>
  <c r="S8" i="29"/>
  <c r="K8" i="29"/>
  <c r="J8" i="29"/>
  <c r="B8" i="29"/>
  <c r="A8" i="29"/>
  <c r="CN7" i="29"/>
  <c r="CM7" i="29"/>
  <c r="CE7" i="29"/>
  <c r="CD7" i="29"/>
  <c r="BV7" i="29"/>
  <c r="BU7" i="29"/>
  <c r="BM7" i="29"/>
  <c r="BL7" i="29"/>
  <c r="BD7" i="29"/>
  <c r="BC7" i="29"/>
  <c r="AU7" i="29"/>
  <c r="AT7" i="29"/>
  <c r="AL7" i="29"/>
  <c r="AK7" i="29"/>
  <c r="AC7" i="29"/>
  <c r="AB7" i="29"/>
  <c r="T7" i="29"/>
  <c r="S7" i="29"/>
  <c r="K7" i="29"/>
  <c r="J7" i="29"/>
  <c r="B7" i="29"/>
  <c r="A7" i="29"/>
</calcChain>
</file>

<file path=xl/comments1.xml><?xml version="1.0" encoding="utf-8"?>
<comments xmlns="http://schemas.openxmlformats.org/spreadsheetml/2006/main">
  <authors>
    <author>Long, WANG (HW-NB-TCT)</author>
  </authors>
  <commentList>
    <comment ref="B11" authorId="0" shapeId="0">
      <text>
        <r>
          <rPr>
            <b/>
            <sz val="9"/>
            <color indexed="81"/>
            <rFont val="Tahoma"/>
            <family val="2"/>
          </rPr>
          <t>For TDD</t>
        </r>
      </text>
    </comment>
    <comment ref="C15" authorId="0" shapeId="0">
      <text>
        <r>
          <rPr>
            <b/>
            <sz val="9"/>
            <color indexed="81"/>
            <rFont val="Tahoma"/>
            <family val="2"/>
          </rPr>
          <t>One Value for all Band</t>
        </r>
      </text>
    </comment>
    <comment ref="C16" authorId="0" shapeId="0">
      <text>
        <r>
          <rPr>
            <b/>
            <sz val="9"/>
            <color indexed="81"/>
            <rFont val="Tahoma"/>
            <family val="2"/>
          </rPr>
          <t>One Band One Value</t>
        </r>
      </text>
    </comment>
  </commentList>
</comments>
</file>

<file path=xl/comments2.xml><?xml version="1.0" encoding="utf-8"?>
<comments xmlns="http://schemas.openxmlformats.org/spreadsheetml/2006/main">
  <authors>
    <author>92050</author>
    <author>Long, WANG (HW-NB-TCT)</author>
  </authors>
  <commentList>
    <comment ref="B4" authorId="0" shapeId="0">
      <text>
        <r>
          <rPr>
            <b/>
            <sz val="8"/>
            <color indexed="81"/>
            <rFont val="Tahoma"/>
            <family val="2"/>
          </rPr>
          <t>6.6.3.3 only require BW =10/15/20 MHz.
 Refer to Table 6.2.4.3-1</t>
        </r>
      </text>
    </comment>
    <comment ref="H8" authorId="1" shapeId="0">
      <text>
        <r>
          <rPr>
            <sz val="9"/>
            <color indexed="81"/>
            <rFont val="Tahoma"/>
            <family val="2"/>
          </rPr>
          <t>22.49774_Spectrum_Freq 3840714400Hz Time: 4:29:24 PM 6/12/2016</t>
        </r>
      </text>
    </comment>
    <comment ref="Q8" authorId="1" shapeId="0">
      <text>
        <r>
          <rPr>
            <sz val="9"/>
            <color indexed="81"/>
            <rFont val="Tahoma"/>
            <family val="2"/>
          </rPr>
          <t>22.71207_Spectrum_Freq 3895666400Hz Time: 4:29:43 PM 6/12/2016</t>
        </r>
      </text>
    </comment>
    <comment ref="Z8" authorId="1" shapeId="0">
      <text>
        <r>
          <rPr>
            <sz val="9"/>
            <color indexed="81"/>
            <rFont val="Tahoma"/>
            <family val="2"/>
          </rPr>
          <t>22.54959_Spectrum_Freq 3959344000Hz Time: 4:30:02 PM 6/12/2016</t>
        </r>
      </text>
    </comment>
    <comment ref="AI8" authorId="1" shapeId="0">
      <text>
        <r>
          <rPr>
            <sz val="9"/>
            <color indexed="81"/>
            <rFont val="Tahoma"/>
            <family val="2"/>
          </rPr>
          <t>22.07065_Spectrum_Freq 3843210000Hz Time: 4:30:21 PM 6/12/2016</t>
        </r>
      </text>
    </comment>
    <comment ref="AR8" authorId="1" shapeId="0">
      <text>
        <r>
          <rPr>
            <sz val="9"/>
            <color indexed="81"/>
            <rFont val="Tahoma"/>
            <family val="2"/>
          </rPr>
          <t>21.02521_Spectrum_Freq 3953520000Hz Time: 4:30:41 PM 6/12/2016</t>
        </r>
      </text>
    </comment>
    <comment ref="BA8" authorId="1" shapeId="0">
      <text>
        <r>
          <rPr>
            <sz val="9"/>
            <color indexed="81"/>
            <rFont val="Tahoma"/>
            <family val="2"/>
          </rPr>
          <t>23.21005_Spectrum_Freq 3842080000Hz Time: 4:31:02 PM 6/12/2016</t>
        </r>
      </text>
    </comment>
    <comment ref="BJ8" authorId="1" shapeId="0">
      <text>
        <r>
          <rPr>
            <sz val="9"/>
            <color indexed="81"/>
            <rFont val="Tahoma"/>
            <family val="2"/>
          </rPr>
          <t>22.68628_Spectrum_Freq 3957802400Hz Time: 4:31:22 PM 6/12/2016</t>
        </r>
      </text>
    </comment>
    <comment ref="BS8" authorId="1" shapeId="0">
      <text>
        <r>
          <rPr>
            <sz val="9"/>
            <color indexed="81"/>
            <rFont val="Tahoma"/>
            <family val="2"/>
          </rPr>
          <t>22.36249_Spectrum_Freq 3859240000Hz Time: 4:31:42 PM 6/12/2016</t>
        </r>
      </text>
    </comment>
    <comment ref="CB8" authorId="1" shapeId="0">
      <text>
        <r>
          <rPr>
            <sz val="9"/>
            <color indexed="81"/>
            <rFont val="Tahoma"/>
            <family val="2"/>
          </rPr>
          <t>21.39252_Spectrum_Freq 3935800000Hz Time: 4:32:03 PM 6/12/2016</t>
        </r>
      </text>
    </comment>
    <comment ref="H9" authorId="1" shapeId="0">
      <text>
        <r>
          <rPr>
            <sz val="9"/>
            <color indexed="81"/>
            <rFont val="Tahoma"/>
            <family val="2"/>
          </rPr>
          <t>22.54852_Spectrum_Freq 5760982800Hz Time: 4:29:27 PM 6/12/2016</t>
        </r>
      </text>
    </comment>
    <comment ref="Q9" authorId="1" shapeId="0">
      <text>
        <r>
          <rPr>
            <sz val="9"/>
            <color indexed="81"/>
            <rFont val="Tahoma"/>
            <family val="2"/>
          </rPr>
          <t>22.19122_Spectrum_Freq 5843500800Hz Time: 4:29:46 PM 6/12/2016</t>
        </r>
      </text>
    </comment>
    <comment ref="Z9" authorId="1" shapeId="0">
      <text>
        <r>
          <rPr>
            <sz val="9"/>
            <color indexed="81"/>
            <rFont val="Tahoma"/>
            <family val="2"/>
          </rPr>
          <t>21.89639_Spectrum_Freq 5939517600Hz Time: 4:30:05 PM 6/12/2016</t>
        </r>
      </text>
    </comment>
    <comment ref="AI9" authorId="1" shapeId="0">
      <text>
        <r>
          <rPr>
            <sz val="9"/>
            <color indexed="81"/>
            <rFont val="Tahoma"/>
            <family val="2"/>
          </rPr>
          <t>22.04532_Spectrum_Freq 5763405000Hz Time: 4:30:24 PM 6/12/2016</t>
        </r>
      </text>
    </comment>
    <comment ref="AR9" authorId="1" shapeId="0">
      <text>
        <r>
          <rPr>
            <sz val="9"/>
            <color indexed="81"/>
            <rFont val="Tahoma"/>
            <family val="2"/>
          </rPr>
          <t>21.10577_Spectrum_Freq 5933265000Hz Time: 4:30:44 PM 6/12/2016</t>
        </r>
      </text>
    </comment>
    <comment ref="BA9" authorId="1" shapeId="0">
      <text>
        <r>
          <rPr>
            <sz val="9"/>
            <color indexed="81"/>
            <rFont val="Tahoma"/>
            <family val="2"/>
          </rPr>
          <t>23.12854_Spectrum_Freq 5763792000Hz Time: 4:31:05 PM 6/12/2016</t>
        </r>
      </text>
    </comment>
    <comment ref="BJ9" authorId="1" shapeId="0">
      <text>
        <r>
          <rPr>
            <sz val="9"/>
            <color indexed="81"/>
            <rFont val="Tahoma"/>
            <family val="2"/>
          </rPr>
          <t>22.51746_Spectrum_Freq 5936736000Hz Time: 4:31:25 PM 6/12/2016</t>
        </r>
      </text>
    </comment>
    <comment ref="BS9" authorId="1" shapeId="0">
      <text>
        <r>
          <rPr>
            <sz val="9"/>
            <color indexed="81"/>
            <rFont val="Tahoma"/>
            <family val="2"/>
          </rPr>
          <t>22.34332_Spectrum_Freq 5762400000Hz Time: 4:31:45 PM 6/12/2016</t>
        </r>
      </text>
    </comment>
    <comment ref="CB9" authorId="1" shapeId="0">
      <text>
        <r>
          <rPr>
            <sz val="9"/>
            <color indexed="81"/>
            <rFont val="Tahoma"/>
            <family val="2"/>
          </rPr>
          <t>21.08011_Spectrum_Freq 5938740000Hz Time: 4:32:06 PM 6/12/2016</t>
        </r>
      </text>
    </comment>
    <comment ref="H10" authorId="1" shapeId="0">
      <text>
        <r>
          <rPr>
            <sz val="9"/>
            <color indexed="81"/>
            <rFont val="Tahoma"/>
            <family val="2"/>
          </rPr>
          <t>23.05624_Spectrum_Freq 7681400000Hz Time: 4:29:29 PM 6/12/2016</t>
        </r>
      </text>
    </comment>
    <comment ref="Q10" authorId="1" shapeId="0">
      <text>
        <r>
          <rPr>
            <sz val="9"/>
            <color indexed="81"/>
            <rFont val="Tahoma"/>
            <family val="2"/>
          </rPr>
          <t>22.28531_Spectrum_Freq 7791374400Hz Time: 4:29:49 PM 6/12/2016</t>
        </r>
      </text>
    </comment>
    <comment ref="Z10" authorId="1" shapeId="0">
      <text>
        <r>
          <rPr>
            <sz val="9"/>
            <color indexed="81"/>
            <rFont val="Tahoma"/>
            <family val="2"/>
          </rPr>
          <t>22.50449_Spectrum_Freq 7918611200Hz Time: 4:30:08 PM 6/12/2016</t>
        </r>
      </text>
    </comment>
    <comment ref="AI10" authorId="1" shapeId="0">
      <text>
        <r>
          <rPr>
            <sz val="9"/>
            <color indexed="81"/>
            <rFont val="Tahoma"/>
            <family val="2"/>
          </rPr>
          <t>22.12009_Spectrum_Freq 7690000000Hz Time: 4:30:27 PM 6/12/2016</t>
        </r>
      </text>
    </comment>
    <comment ref="AR10" authorId="1" shapeId="0">
      <text>
        <r>
          <rPr>
            <sz val="9"/>
            <color indexed="81"/>
            <rFont val="Tahoma"/>
            <family val="2"/>
          </rPr>
          <t>21.09979_Spectrum_Freq 7910060000Hz Time: 4:30:47 PM 6/12/2016</t>
        </r>
      </text>
    </comment>
    <comment ref="BA10" authorId="1" shapeId="0">
      <text>
        <r>
          <rPr>
            <sz val="9"/>
            <color indexed="81"/>
            <rFont val="Tahoma"/>
            <family val="2"/>
          </rPr>
          <t>23.79123_Spectrum_Freq 7684201600Hz Time: 4:31:08 PM 6/12/2016</t>
        </r>
      </text>
    </comment>
    <comment ref="BJ10" authorId="1" shapeId="0">
      <text>
        <r>
          <rPr>
            <sz val="9"/>
            <color indexed="81"/>
            <rFont val="Tahoma"/>
            <family val="2"/>
          </rPr>
          <t>22.65729_Spectrum_Freq 7915633600Hz Time: 4:31:28 PM 6/12/2016</t>
        </r>
      </text>
    </comment>
    <comment ref="BS10" authorId="1" shapeId="0">
      <text>
        <r>
          <rPr>
            <sz val="9"/>
            <color indexed="81"/>
            <rFont val="Tahoma"/>
            <family val="2"/>
          </rPr>
          <t>21.57321_Spectrum_Freq 7720000000Hz Time: 4:31:48 PM 6/12/2016</t>
        </r>
      </text>
    </comment>
    <comment ref="CB10" authorId="1" shapeId="0">
      <text>
        <r>
          <rPr>
            <sz val="9"/>
            <color indexed="81"/>
            <rFont val="Tahoma"/>
            <family val="2"/>
          </rPr>
          <t>21.79767_Spectrum_Freq 7880160000Hz Time: 4:32:09 PM 6/12/2016</t>
        </r>
      </text>
    </comment>
    <comment ref="H11" authorId="1" shapeId="0">
      <text>
        <r>
          <rPr>
            <sz val="9"/>
            <color indexed="81"/>
            <rFont val="Tahoma"/>
            <family val="2"/>
          </rPr>
          <t>23.1991_Spectrum_Freq 9601578000Hz Time: 4:29:32 PM 6/12/2016</t>
        </r>
      </text>
    </comment>
    <comment ref="Q11" authorId="1" shapeId="0">
      <text>
        <r>
          <rPr>
            <sz val="9"/>
            <color indexed="81"/>
            <rFont val="Tahoma"/>
            <family val="2"/>
          </rPr>
          <t>22.31168_Spectrum_Freq 9739082000Hz Time: 4:29:51 PM 6/12/2016</t>
        </r>
      </text>
    </comment>
    <comment ref="Z11" authorId="1" shapeId="0">
      <text>
        <r>
          <rPr>
            <sz val="9"/>
            <color indexed="81"/>
            <rFont val="Tahoma"/>
            <family val="2"/>
          </rPr>
          <t>21.86011_Spectrum_Freq 9898982000Hz Time: 4:30:11 PM 6/12/2016</t>
        </r>
      </text>
    </comment>
    <comment ref="AI11" authorId="1" shapeId="0">
      <text>
        <r>
          <rPr>
            <sz val="9"/>
            <color indexed="81"/>
            <rFont val="Tahoma"/>
            <family val="2"/>
          </rPr>
          <t>22.1048_Spectrum_Freq 9602475000Hz Time: 4:30:30 PM 6/12/2016</t>
        </r>
      </text>
    </comment>
    <comment ref="AR11" authorId="1" shapeId="0">
      <text>
        <r>
          <rPr>
            <sz val="9"/>
            <color indexed="81"/>
            <rFont val="Tahoma"/>
            <family val="2"/>
          </rPr>
          <t>21.08942_Spectrum_Freq 9882350000Hz Time: 4:30:50 PM 6/12/2016</t>
        </r>
      </text>
    </comment>
    <comment ref="BA11" authorId="1" shapeId="0">
      <text>
        <r>
          <rPr>
            <sz val="9"/>
            <color indexed="81"/>
            <rFont val="Tahoma"/>
            <family val="2"/>
          </rPr>
          <t>23.84183_Spectrum_Freq 9605412000Hz Time: 4:31:11 PM 6/12/2016</t>
        </r>
      </text>
    </comment>
    <comment ref="BJ11" authorId="1" shapeId="0">
      <text>
        <r>
          <rPr>
            <sz val="9"/>
            <color indexed="81"/>
            <rFont val="Tahoma"/>
            <family val="2"/>
          </rPr>
          <t>22.54282_Spectrum_Freq 9895540000Hz Time: 4:31:31 PM 6/12/2016</t>
        </r>
      </text>
    </comment>
    <comment ref="BS11" authorId="1" shapeId="0">
      <text>
        <r>
          <rPr>
            <sz val="9"/>
            <color indexed="81"/>
            <rFont val="Tahoma"/>
            <family val="2"/>
          </rPr>
          <t>22.33307_Spectrum_Freq 9605300000Hz Time: 4:31:52 PM 6/12/2016</t>
        </r>
      </text>
    </comment>
    <comment ref="CB11" authorId="1" shapeId="0">
      <text>
        <r>
          <rPr>
            <sz val="9"/>
            <color indexed="81"/>
            <rFont val="Tahoma"/>
            <family val="2"/>
          </rPr>
          <t>21.79169_Spectrum_Freq 9890800000Hz Time: 4:32:12 PM 6/12/2016</t>
        </r>
      </text>
    </comment>
    <comment ref="H12" authorId="1" shapeId="0">
      <text>
        <r>
          <rPr>
            <sz val="9"/>
            <color indexed="81"/>
            <rFont val="Tahoma"/>
            <family val="2"/>
          </rPr>
          <t>23.10254_Spectrum_Freq 11520880800Hz Time: 4:29:35 PM 6/12/2016</t>
        </r>
      </text>
    </comment>
    <comment ref="Q12" authorId="1" shapeId="0">
      <text>
        <r>
          <rPr>
            <sz val="9"/>
            <color indexed="81"/>
            <rFont val="Tahoma"/>
            <family val="2"/>
          </rPr>
          <t>22.66583_Spectrum_Freq 11687524800Hz Time: 4:29:54 PM 6/12/2016</t>
        </r>
      </text>
    </comment>
    <comment ref="Z12" authorId="1" shapeId="0">
      <text>
        <r>
          <rPr>
            <sz val="9"/>
            <color indexed="81"/>
            <rFont val="Tahoma"/>
            <family val="2"/>
          </rPr>
          <t>21.93277_Spectrum_Freq 11878190400Hz Time: 4:30:13 PM 6/12/2016</t>
        </r>
      </text>
    </comment>
    <comment ref="AI12" authorId="1" shapeId="0">
      <text>
        <r>
          <rPr>
            <sz val="9"/>
            <color indexed="81"/>
            <rFont val="Tahoma"/>
            <family val="2"/>
          </rPr>
          <t>22.11346_Spectrum_Freq 11529300000Hz Time: 4:30:33 PM 6/12/2016</t>
        </r>
      </text>
    </comment>
    <comment ref="AR12" authorId="1" shapeId="0">
      <text>
        <r>
          <rPr>
            <sz val="9"/>
            <color indexed="81"/>
            <rFont val="Tahoma"/>
            <family val="2"/>
          </rPr>
          <t>21.0903_Spectrum_Freq 11873670000Hz Time: 4:30:52 PM 6/12/2016</t>
        </r>
      </text>
    </comment>
    <comment ref="BA12" authorId="1" shapeId="0">
      <text>
        <r>
          <rPr>
            <sz val="9"/>
            <color indexed="81"/>
            <rFont val="Tahoma"/>
            <family val="2"/>
          </rPr>
          <t>23.63437_Spectrum_Freq 11526470400Hz Time: 4:31:14 PM 6/12/2016</t>
        </r>
      </text>
    </comment>
    <comment ref="BJ12" authorId="1" shapeId="0">
      <text>
        <r>
          <rPr>
            <sz val="9"/>
            <color indexed="81"/>
            <rFont val="Tahoma"/>
            <family val="2"/>
          </rPr>
          <t>22.62805_Spectrum_Freq 11874288000Hz Time: 4:31:34 PM 6/12/2016</t>
        </r>
      </text>
    </comment>
    <comment ref="BS12" authorId="1" shapeId="0">
      <text>
        <r>
          <rPr>
            <sz val="9"/>
            <color indexed="81"/>
            <rFont val="Tahoma"/>
            <family val="2"/>
          </rPr>
          <t>22.32266_Spectrum_Freq 11541360000Hz Time: 4:31:55 PM 6/12/2016</t>
        </r>
      </text>
    </comment>
    <comment ref="CB12" authorId="1" shapeId="0">
      <text>
        <r>
          <rPr>
            <sz val="9"/>
            <color indexed="81"/>
            <rFont val="Tahoma"/>
            <family val="2"/>
          </rPr>
          <t>21.79614_Spectrum_Freq 11879160000Hz Time: 4:32:16 PM 6/12/2016</t>
        </r>
      </text>
    </comment>
  </commentList>
</comments>
</file>

<file path=xl/comments3.xml><?xml version="1.0" encoding="utf-8"?>
<comments xmlns="http://schemas.openxmlformats.org/spreadsheetml/2006/main">
  <authors>
    <author>moon</author>
    <author>Long, WANG (HW-NB-TCT)</author>
  </authors>
  <commentList>
    <comment ref="H7" authorId="0" shapeId="0">
      <text>
        <r>
          <rPr>
            <sz val="9"/>
            <color indexed="81"/>
            <rFont val="宋体"/>
            <charset val="134"/>
          </rPr>
          <t>10:51:50 2018/1/17Power:22.33386_Spectrum_Freq 3700523200Hz based on bandBand2_18607_1.4_1_Low-3700100000-3700900000</t>
        </r>
      </text>
    </comment>
    <comment ref="Q7" authorId="0" shapeId="0">
      <text>
        <r>
          <rPr>
            <sz val="9"/>
            <color indexed="81"/>
            <rFont val="宋体"/>
            <charset val="134"/>
          </rPr>
          <t>10:52:10 2018/1/17Power:22.31348_Spectrum_Freq 3819445600Hz based on bandBand2_19193_1.4_1_High-3819100000-3819900000</t>
        </r>
      </text>
    </comment>
    <comment ref="Z7" authorId="0" shapeId="0">
      <text>
        <r>
          <rPr>
            <sz val="9"/>
            <color indexed="81"/>
            <rFont val="宋体"/>
            <charset val="134"/>
          </rPr>
          <t>10:52:29 2018/1/17Power:22.37866_Spectrum_Freq 3700672800Hz based on bandBand2_18625_5_1_Low-3700280000-3701080000</t>
        </r>
      </text>
    </comment>
    <comment ref="AI7" authorId="0" shapeId="0">
      <text>
        <r>
          <rPr>
            <sz val="9"/>
            <color indexed="81"/>
            <rFont val="宋体"/>
            <charset val="134"/>
          </rPr>
          <t>10:49:30 2018/1/17Power:22.51999_Spectrum_Freq 3755667200Hz based on bandBand2_18900_5_1_Low-3755280000-3756080000</t>
        </r>
      </text>
    </comment>
    <comment ref="AR7" authorId="0" shapeId="0">
      <text>
        <r>
          <rPr>
            <sz val="9"/>
            <color indexed="81"/>
            <rFont val="宋体"/>
            <charset val="134"/>
          </rPr>
          <t>10:49:49 2018/1/17Power:22.38879_Spectrum_Freq 3819320000Hz based on bandBand2_19175_5_1_High-3818920000-3819720000</t>
        </r>
      </text>
    </comment>
    <comment ref="BA7" authorId="0" shapeId="0">
      <text>
        <r>
          <rPr>
            <sz val="9"/>
            <color indexed="81"/>
            <rFont val="宋体"/>
            <charset val="134"/>
          </rPr>
          <t>10:50:09 2018/1/17Power:21.48642_Spectrum_Freq 3704900000Hz based on bandBand2_18625_5_25_Low-3700000000-3710000000</t>
        </r>
      </text>
    </comment>
    <comment ref="BJ7" authorId="0" shapeId="0">
      <text>
        <r>
          <rPr>
            <sz val="9"/>
            <color indexed="81"/>
            <rFont val="宋体"/>
            <charset val="134"/>
          </rPr>
          <t>10:50:28 2018/1/17Power:21.43784_Spectrum_Freq 3813200000Hz based on bandBand2_19175_5_25_High-3810000000-3820000000</t>
        </r>
      </text>
    </comment>
    <comment ref="BS7" authorId="1" shapeId="0">
      <text>
        <r>
          <rPr>
            <sz val="9"/>
            <color indexed="81"/>
            <rFont val="Tahoma"/>
            <family val="2"/>
          </rPr>
          <t>25.05655_Spectrum_Freq 3702198400Hz Time: 4:35:31 PM 6/12/2016</t>
        </r>
      </text>
    </comment>
    <comment ref="CB7" authorId="1" shapeId="0">
      <text>
        <r>
          <rPr>
            <sz val="9"/>
            <color indexed="81"/>
            <rFont val="Tahoma"/>
            <family val="2"/>
          </rPr>
          <t>23.38382_Spectrum_Freq 3817828000Hz Time: 4:35:51 PM 6/12/2016</t>
        </r>
      </text>
    </comment>
    <comment ref="CK7" authorId="1" shapeId="0">
      <text>
        <r>
          <rPr>
            <sz val="9"/>
            <color indexed="81"/>
            <rFont val="Tahoma"/>
            <family val="2"/>
          </rPr>
          <t>23.28662_Spectrum_Freq 3719680000Hz Time: 4:36:11 PM 6/12/2016</t>
        </r>
      </text>
    </comment>
    <comment ref="CT7" authorId="1" shapeId="0">
      <text>
        <r>
          <rPr>
            <sz val="9"/>
            <color indexed="81"/>
            <rFont val="Tahoma"/>
            <family val="2"/>
          </rPr>
          <t>22.64819_Spectrum_Freq 3803880000Hz Time: 4:36:31 PM 6/12/2016</t>
        </r>
      </text>
    </comment>
    <comment ref="H8" authorId="0" shapeId="0">
      <text>
        <r>
          <rPr>
            <sz val="9"/>
            <color indexed="81"/>
            <rFont val="宋体"/>
            <charset val="134"/>
          </rPr>
          <t>10:51:53 2018/1/17Power:22.35507_Spectrum_Freq 5550150008.66Hz based on bandBand2_18607_1.4_1_Low-5550150000-3700900000</t>
        </r>
      </text>
    </comment>
    <comment ref="Q8" authorId="0" shapeId="0">
      <text>
        <r>
          <rPr>
            <sz val="9"/>
            <color indexed="81"/>
            <rFont val="宋体"/>
            <charset val="134"/>
          </rPr>
          <t>10:52:13 2018/1/17Power:22.42075_Spectrum_Freq 5729144400Hz based on bandBand2_19193_1.4_1_High-5728650000-5729850000</t>
        </r>
      </text>
    </comment>
    <comment ref="Z8" authorId="0" shapeId="0">
      <text>
        <r>
          <rPr>
            <sz val="9"/>
            <color indexed="81"/>
            <rFont val="宋体"/>
            <charset val="134"/>
          </rPr>
          <t>10:52:32 2018/1/17Power:22.34436_Spectrum_Freq 5550919200Hz based on bandBand2_18625_5_1_Low-5550420000-5551620000</t>
        </r>
      </text>
    </comment>
    <comment ref="AI8" authorId="0" shapeId="0">
      <text>
        <r>
          <rPr>
            <sz val="9"/>
            <color indexed="81"/>
            <rFont val="宋体"/>
            <charset val="134"/>
          </rPr>
          <t>10:49:33 2018/1/17Power:22.521_Spectrum_Freq 5633469600Hz based on bandBand2_18900_5_1_Low-5632920000-5634120000</t>
        </r>
      </text>
    </comment>
    <comment ref="AR8" authorId="0" shapeId="0">
      <text>
        <r>
          <rPr>
            <sz val="9"/>
            <color indexed="81"/>
            <rFont val="宋体"/>
            <charset val="134"/>
          </rPr>
          <t>10:49:52 2018/1/17Power:22.38086_Spectrum_Freq 5729002800Hz based on bandBand2_19175_5_1_High-5728380000-5729580000</t>
        </r>
      </text>
    </comment>
    <comment ref="BA8" authorId="0" shapeId="0">
      <text>
        <r>
          <rPr>
            <sz val="9"/>
            <color indexed="81"/>
            <rFont val="宋体"/>
            <charset val="134"/>
          </rPr>
          <t>10:50:12 2018/1/17Power:21.48239_Spectrum_Freq 5554905000Hz based on bandBand2_18625_5_25_Low-5550000000-5565000000</t>
        </r>
      </text>
    </comment>
    <comment ref="BJ8" authorId="0" shapeId="0">
      <text>
        <r>
          <rPr>
            <sz val="9"/>
            <color indexed="81"/>
            <rFont val="宋体"/>
            <charset val="134"/>
          </rPr>
          <t>10:50:31 2018/1/17Power:21.34778_Spectrum_Freq 5721375000Hz based on bandBand2_19175_5_25_High-5715000000-5730000000</t>
        </r>
      </text>
    </comment>
    <comment ref="BS8" authorId="1" shapeId="0">
      <text>
        <r>
          <rPr>
            <sz val="9"/>
            <color indexed="81"/>
            <rFont val="Tahoma"/>
            <family val="2"/>
          </rPr>
          <t>25.1138_Spectrum_Freq 5553328800Hz Time: 4:35:34 PM 6/12/2016</t>
        </r>
      </text>
    </comment>
    <comment ref="CB8" authorId="1" shapeId="0">
      <text>
        <r>
          <rPr>
            <sz val="9"/>
            <color indexed="81"/>
            <rFont val="Tahoma"/>
            <family val="2"/>
          </rPr>
          <t>23.2381_Spectrum_Freq 5726326800Hz Time: 4:35:54 PM 6/12/2016</t>
        </r>
      </text>
    </comment>
    <comment ref="CK8" authorId="1" shapeId="0">
      <text>
        <r>
          <rPr>
            <sz val="9"/>
            <color indexed="81"/>
            <rFont val="Tahoma"/>
            <family val="2"/>
          </rPr>
          <t>23.27246_Spectrum_Freq 5593320000Hz Time: 4:36:14 PM 6/12/2016</t>
        </r>
      </text>
    </comment>
    <comment ref="CT8" authorId="1" shapeId="0">
      <text>
        <r>
          <rPr>
            <sz val="9"/>
            <color indexed="81"/>
            <rFont val="Tahoma"/>
            <family val="2"/>
          </rPr>
          <t>22.63007_Spectrum_Freq 5670120000Hz Time: 4:36:35 PM 6/12/2016</t>
        </r>
      </text>
    </comment>
    <comment ref="H9" authorId="0" shapeId="0">
      <text>
        <r>
          <rPr>
            <sz val="9"/>
            <color indexed="81"/>
            <rFont val="宋体"/>
            <charset val="134"/>
          </rPr>
          <t>10:51:57 2018/1/17Power:22.43369_Spectrum_Freq 7401032000Hz based on bandBand2_18607_1.4_1_Low-7400200000-7401800000</t>
        </r>
      </text>
    </comment>
    <comment ref="Q9" authorId="0" shapeId="0">
      <text>
        <r>
          <rPr>
            <sz val="9"/>
            <color indexed="81"/>
            <rFont val="宋体"/>
            <charset val="134"/>
          </rPr>
          <t>10:52:16 2018/1/17Power:22.48627_Spectrum_Freq 7638750400Hz based on bandBand2_19193_1.4_1_High-7638200000-7639800000</t>
        </r>
      </text>
    </comment>
    <comment ref="Z9" authorId="0" shapeId="0">
      <text>
        <r>
          <rPr>
            <sz val="9"/>
            <color indexed="81"/>
            <rFont val="宋体"/>
            <charset val="134"/>
          </rPr>
          <t>10:52:35 2018/1/17Power:22.37271_Spectrum_Freq 7401496000Hz based on bandBand2_18625_5_1_Low-7400560000-7402160000</t>
        </r>
      </text>
    </comment>
    <comment ref="AI9" authorId="0" shapeId="0">
      <text>
        <r>
          <rPr>
            <sz val="9"/>
            <color indexed="81"/>
            <rFont val="宋体"/>
            <charset val="134"/>
          </rPr>
          <t>10:49:36 2018/1/17Power:22.43387_Spectrum_Freq 7511308800Hz based on bandBand2_18900_5_1_Low-7510560000-7512160000</t>
        </r>
      </text>
    </comment>
    <comment ref="AR9" authorId="0" shapeId="0">
      <text>
        <r>
          <rPr>
            <sz val="9"/>
            <color indexed="81"/>
            <rFont val="宋体"/>
            <charset val="134"/>
          </rPr>
          <t>10:49:55 2018/1/17Power:22.34885_Spectrum_Freq 7639040000Hz based on bandBand2_19175_5_1_High-7637840000-7639440000</t>
        </r>
      </text>
    </comment>
    <comment ref="BA9" authorId="0" shapeId="0">
      <text>
        <r>
          <rPr>
            <sz val="9"/>
            <color indexed="81"/>
            <rFont val="宋体"/>
            <charset val="134"/>
          </rPr>
          <t>10:50:15 2018/1/17Power:21.40076_Spectrum_Freq 7400620000Hz based on bandBand2_18625_5_25_Low-7400000000-7420000000</t>
        </r>
      </text>
    </comment>
    <comment ref="BJ9" authorId="0" shapeId="0">
      <text>
        <r>
          <rPr>
            <sz val="9"/>
            <color indexed="81"/>
            <rFont val="宋体"/>
            <charset val="134"/>
          </rPr>
          <t>10:50:34 2018/1/17Power:21.42331_Spectrum_Freq 7637880000Hz based on bandBand2_19175_5_25_High-7620000000-7640000000</t>
        </r>
      </text>
    </comment>
    <comment ref="BS9" authorId="1" shapeId="0">
      <text>
        <r>
          <rPr>
            <sz val="9"/>
            <color indexed="81"/>
            <rFont val="Tahoma"/>
            <family val="2"/>
          </rPr>
          <t>25.07266_Spectrum_Freq 7404321600Hz Time: 4:35:37 PM 6/12/2016</t>
        </r>
      </text>
    </comment>
    <comment ref="CB9" authorId="1" shapeId="0">
      <text>
        <r>
          <rPr>
            <sz val="9"/>
            <color indexed="81"/>
            <rFont val="Tahoma"/>
            <family val="2"/>
          </rPr>
          <t>23.29834_Spectrum_Freq 7635673600Hz Time: 4:35:57 PM 6/12/2016</t>
        </r>
      </text>
    </comment>
    <comment ref="CK9" authorId="1" shapeId="0">
      <text>
        <r>
          <rPr>
            <sz val="9"/>
            <color indexed="81"/>
            <rFont val="Tahoma"/>
            <family val="2"/>
          </rPr>
          <t>23.26141_Spectrum_Freq 7469200000Hz Time: 4:36:17 PM 6/12/2016</t>
        </r>
      </text>
    </comment>
    <comment ref="CT9" authorId="1" shapeId="0">
      <text>
        <r>
          <rPr>
            <sz val="9"/>
            <color indexed="81"/>
            <rFont val="Tahoma"/>
            <family val="2"/>
          </rPr>
          <t>22.62418_Spectrum_Freq 7600160000Hz Time: 4:36:38 PM 6/12/2016</t>
        </r>
      </text>
    </comment>
    <comment ref="H10" authorId="0" shapeId="0">
      <text>
        <r>
          <rPr>
            <sz val="9"/>
            <color indexed="81"/>
            <rFont val="宋体"/>
            <charset val="134"/>
          </rPr>
          <t>10:52:00 2018/1/17Power:22.37076_Spectrum_Freq 9251138000Hz based on bandBand2_18607_1.4_1_Low-9250250000-9252250000</t>
        </r>
      </text>
    </comment>
    <comment ref="Q10" authorId="0" shapeId="0">
      <text>
        <r>
          <rPr>
            <sz val="9"/>
            <color indexed="81"/>
            <rFont val="宋体"/>
            <charset val="134"/>
          </rPr>
          <t>10:52:19 2018/1/17Power:22.418_Spectrum_Freq 9548894000Hz based on bandBand2_19193_1.4_1_High-9547750000-9549750000</t>
        </r>
      </text>
    </comment>
    <comment ref="Z10" authorId="0" shapeId="0">
      <text>
        <r>
          <rPr>
            <sz val="9"/>
            <color indexed="81"/>
            <rFont val="宋体"/>
            <charset val="134"/>
          </rPr>
          <t>10:52:38 2018/1/17Power:22.3822_Spectrum_Freq 9251822000Hz based on bandBand2_18625_5_1_Low-9250700000-9252700000</t>
        </r>
      </text>
    </comment>
    <comment ref="AI10" authorId="0" shapeId="0">
      <text>
        <r>
          <rPr>
            <sz val="9"/>
            <color indexed="81"/>
            <rFont val="宋体"/>
            <charset val="134"/>
          </rPr>
          <t>10:49:39 2018/1/17Power:22.43491_Spectrum_Freq 9389286000Hz based on bandBand2_18900_5_1_Low-9388200000-9390200000</t>
        </r>
      </text>
    </comment>
    <comment ref="AR10" authorId="0" shapeId="0">
      <text>
        <r>
          <rPr>
            <sz val="9"/>
            <color indexed="81"/>
            <rFont val="宋体"/>
            <charset val="134"/>
          </rPr>
          <t>10:49:58 2018/1/17Power:22.39844_Spectrum_Freq 9548034000Hz based on bandBand2_19175_5_1_High-9547300000-9549300000</t>
        </r>
      </text>
    </comment>
    <comment ref="BA10" authorId="0" shapeId="0">
      <text>
        <r>
          <rPr>
            <sz val="9"/>
            <color indexed="81"/>
            <rFont val="宋体"/>
            <charset val="134"/>
          </rPr>
          <t>10:50:18 2018/1/17Power:21.44614_Spectrum_Freq 9252025000Hz based on bandBand2_18625_5_25_Low-9250000000-9275000000</t>
        </r>
      </text>
    </comment>
    <comment ref="BJ10" authorId="0" shapeId="0">
      <text>
        <r>
          <rPr>
            <sz val="9"/>
            <color indexed="81"/>
            <rFont val="宋体"/>
            <charset val="134"/>
          </rPr>
          <t>10:50:37 2018/1/17Power:21.36984_Spectrum_Freq 9546475000Hz based on bandBand2_19175_5_25_High-9525000000-9550000000</t>
        </r>
      </text>
    </comment>
    <comment ref="BS10" authorId="1" shapeId="0">
      <text>
        <r>
          <rPr>
            <sz val="9"/>
            <color indexed="81"/>
            <rFont val="Tahoma"/>
            <family val="2"/>
          </rPr>
          <t>25.0387_Spectrum_Freq 9255500000Hz Time: 4:35:40 PM 6/12/2016</t>
        </r>
      </text>
    </comment>
    <comment ref="CB10" authorId="1" shapeId="0">
      <text>
        <r>
          <rPr>
            <sz val="9"/>
            <color indexed="81"/>
            <rFont val="Tahoma"/>
            <family val="2"/>
          </rPr>
          <t>23.44333_Spectrum_Freq 9543984000Hz Time: 4:36:00 PM 6/12/2016</t>
        </r>
      </text>
    </comment>
    <comment ref="CK10" authorId="1" shapeId="0">
      <text>
        <r>
          <rPr>
            <sz val="9"/>
            <color indexed="81"/>
            <rFont val="Tahoma"/>
            <family val="2"/>
          </rPr>
          <t>23.34634_Spectrum_Freq 9288200000Hz Time: 4:36:20 PM 6/12/2016</t>
        </r>
      </text>
    </comment>
    <comment ref="CT10" authorId="1" shapeId="0">
      <text>
        <r>
          <rPr>
            <sz val="9"/>
            <color indexed="81"/>
            <rFont val="Tahoma"/>
            <family val="2"/>
          </rPr>
          <t>22.60861_Spectrum_Freq 9463800000Hz Time: 4:36:41 PM 6/12/2016</t>
        </r>
      </text>
    </comment>
    <comment ref="H11" authorId="0" shapeId="0">
      <text>
        <r>
          <rPr>
            <sz val="9"/>
            <color indexed="81"/>
            <rFont val="宋体"/>
            <charset val="134"/>
          </rPr>
          <t>10:52:03 2018/1/17Power:22.39008_Spectrum_Freq 11101598400Hz based on bandBand2_18607_1.4_1_Low-11100300000-11102700000</t>
        </r>
      </text>
    </comment>
    <comment ref="Q11" authorId="0" shapeId="0">
      <text>
        <r>
          <rPr>
            <sz val="9"/>
            <color indexed="81"/>
            <rFont val="宋体"/>
            <charset val="134"/>
          </rPr>
          <t>10:52:22 2018/1/17Power:22.41904_Spectrum_Freq 11457876000Hz based on bandBand2_19193_1.4_1_High-11457300000-11459700000</t>
        </r>
      </text>
    </comment>
    <comment ref="Z11" authorId="0" shapeId="0">
      <text>
        <r>
          <rPr>
            <sz val="9"/>
            <color indexed="81"/>
            <rFont val="宋体"/>
            <charset val="134"/>
          </rPr>
          <t>10:52:41 2018/1/17Power:22.39822_Spectrum_Freq 11102714400Hz based on bandBand2_18625_5_1_Low-11100840000-11103240000</t>
        </r>
      </text>
    </comment>
    <comment ref="AI11" authorId="0" shapeId="0">
      <text>
        <r>
          <rPr>
            <sz val="9"/>
            <color indexed="81"/>
            <rFont val="宋体"/>
            <charset val="134"/>
          </rPr>
          <t>10:49:42 2018/1/17Power:22.49219_Spectrum_Freq 11267724000Hz based on bandBand2_18900_5_1_Low-11265840000-11268240000</t>
        </r>
      </text>
    </comment>
    <comment ref="AR11" authorId="0" shapeId="0">
      <text>
        <r>
          <rPr>
            <sz val="9"/>
            <color indexed="81"/>
            <rFont val="宋体"/>
            <charset val="134"/>
          </rPr>
          <t>10:50:01 2018/1/17Power:22.32193_Spectrum_Freq 11458075200Hz based on bandBand2_19175_5_1_High-11456760000-11459160000</t>
        </r>
      </text>
    </comment>
    <comment ref="BA11" authorId="0" shapeId="0">
      <text>
        <r>
          <rPr>
            <sz val="9"/>
            <color indexed="81"/>
            <rFont val="宋体"/>
            <charset val="134"/>
          </rPr>
          <t>10:50:21 2018/1/17Power:21.47913_Spectrum_Freq 11128650000Hz based on bandBand2_18625_5_25_Low-11100000000-11130000000</t>
        </r>
      </text>
    </comment>
    <comment ref="BJ11" authorId="1" shapeId="0">
      <text>
        <r>
          <rPr>
            <sz val="9"/>
            <color indexed="81"/>
            <rFont val="Tahoma"/>
            <family val="2"/>
          </rPr>
          <t>22.03656_Spectrum_Freq 11434680000Hz Time: 4:34:51 PM 6/12/2016</t>
        </r>
      </text>
    </comment>
    <comment ref="BS11" authorId="1" shapeId="0">
      <text>
        <r>
          <rPr>
            <sz val="9"/>
            <color indexed="81"/>
            <rFont val="Tahoma"/>
            <family val="2"/>
          </rPr>
          <t>25.17365_Spectrum_Freq 11107056000Hz Time: 4:35:43 PM 6/12/2016</t>
        </r>
      </text>
    </comment>
    <comment ref="CB11" authorId="1" shapeId="0">
      <text>
        <r>
          <rPr>
            <sz val="9"/>
            <color indexed="81"/>
            <rFont val="Tahoma"/>
            <family val="2"/>
          </rPr>
          <t>23.34207_Spectrum_Freq 11452802400Hz Time: 4:36:02 PM 6/12/2016</t>
        </r>
      </text>
    </comment>
    <comment ref="CK11" authorId="1" shapeId="0">
      <text>
        <r>
          <rPr>
            <sz val="9"/>
            <color indexed="81"/>
            <rFont val="Tahoma"/>
            <family val="2"/>
          </rPr>
          <t>23.34863_Spectrum_Freq 11214120000Hz Time: 4:36:23 PM 6/12/2016</t>
        </r>
      </text>
    </comment>
    <comment ref="CT11" authorId="1" shapeId="0">
      <text>
        <r>
          <rPr>
            <sz val="9"/>
            <color indexed="81"/>
            <rFont val="Tahoma"/>
            <family val="2"/>
          </rPr>
          <t>22.59946_Spectrum_Freq 11434320000Hz Time: 4:36:44 PM 6/12/2016</t>
        </r>
      </text>
    </comment>
  </commentList>
</comments>
</file>

<file path=xl/comments4.xml><?xml version="1.0" encoding="utf-8"?>
<comments xmlns="http://schemas.openxmlformats.org/spreadsheetml/2006/main">
  <authors>
    <author>Long, WANG (HW-NB-TCT)</author>
  </authors>
  <commentList>
    <comment ref="H7" authorId="0" shapeId="0">
      <text>
        <r>
          <rPr>
            <sz val="9"/>
            <color indexed="81"/>
            <rFont val="Tahoma"/>
            <family val="2"/>
          </rPr>
          <t>22.36334_Spectrum_Freq 3420417600Hz Time: 4:37:04 PM 6/12/2016</t>
        </r>
      </text>
    </comment>
    <comment ref="Q7" authorId="0" shapeId="0">
      <text>
        <r>
          <rPr>
            <sz val="9"/>
            <color indexed="81"/>
            <rFont val="Tahoma"/>
            <family val="2"/>
          </rPr>
          <t>0_Spectrum_Freq 3569414400Hz Time: 4:37:26 PM 6/12/2016</t>
        </r>
      </text>
    </comment>
    <comment ref="Z7" authorId="0" shapeId="0">
      <text>
        <r>
          <rPr>
            <sz val="9"/>
            <color indexed="81"/>
            <rFont val="Tahoma"/>
            <family val="2"/>
          </rPr>
          <t>22.23672_Spectrum_Freq 3420687200Hz Time: 4:37:50 PM 6/12/2016</t>
        </r>
      </text>
    </comment>
    <comment ref="AI7" authorId="0" shapeId="0">
      <text>
        <r>
          <rPr>
            <sz val="9"/>
            <color indexed="81"/>
            <rFont val="Tahoma"/>
            <family val="2"/>
          </rPr>
          <t>23.14133_Spectrum_Freq 3490696800Hz Time: 4:38:12 PM 6/12/2016</t>
        </r>
      </text>
    </comment>
    <comment ref="AR7" authorId="0" shapeId="0">
      <text>
        <r>
          <rPr>
            <sz val="9"/>
            <color indexed="81"/>
            <rFont val="Tahoma"/>
            <family val="2"/>
          </rPr>
          <t>23.82339_Spectrum_Freq 3569287200Hz Time: 4:38:34 PM 6/12/2016</t>
        </r>
      </text>
    </comment>
    <comment ref="BA7" authorId="0" shapeId="0">
      <text>
        <r>
          <rPr>
            <sz val="9"/>
            <color indexed="81"/>
            <rFont val="Tahoma"/>
            <family val="2"/>
          </rPr>
          <t>21.48254_Spectrum_Freq 3425420000Hz Time: 4:38:56 PM 6/12/2016</t>
        </r>
      </text>
    </comment>
    <comment ref="BJ7" authorId="0" shapeId="0">
      <text>
        <r>
          <rPr>
            <sz val="9"/>
            <color indexed="81"/>
            <rFont val="Tahoma"/>
            <family val="2"/>
          </rPr>
          <t>22.93967_Spectrum_Freq 3567010000Hz Time: 4:39:19 PM 6/12/2016</t>
        </r>
      </text>
    </comment>
    <comment ref="BS7" authorId="0" shapeId="0">
      <text>
        <r>
          <rPr>
            <sz val="9"/>
            <color indexed="81"/>
            <rFont val="Tahoma"/>
            <family val="2"/>
          </rPr>
          <t>23.14343_Spectrum_Freq 3422087200Hz Time: 4:39:43 PM 6/12/2016</t>
        </r>
      </text>
    </comment>
    <comment ref="CB7" authorId="0" shapeId="0">
      <text>
        <r>
          <rPr>
            <sz val="9"/>
            <color indexed="81"/>
            <rFont val="Tahoma"/>
            <family val="2"/>
          </rPr>
          <t>23.8588_Spectrum_Freq 3567819200Hz Time: 4:40:06 PM 6/12/2016</t>
        </r>
      </text>
    </comment>
    <comment ref="CK7" authorId="0" shapeId="0">
      <text>
        <r>
          <rPr>
            <sz val="9"/>
            <color indexed="81"/>
            <rFont val="Tahoma"/>
            <family val="2"/>
          </rPr>
          <t>22.02304_Spectrum_Freq 3440080000Hz Time: 4:40:29 PM 6/12/2016</t>
        </r>
      </text>
    </comment>
    <comment ref="CT7" authorId="0" shapeId="0">
      <text>
        <r>
          <rPr>
            <sz val="9"/>
            <color indexed="81"/>
            <rFont val="Tahoma"/>
            <family val="2"/>
          </rPr>
          <t>23.07751_Spectrum_Freq 3539400000Hz Time: 4:40:53 PM 6/12/2016</t>
        </r>
      </text>
    </comment>
    <comment ref="H8" authorId="0" shapeId="0">
      <text>
        <r>
          <rPr>
            <sz val="9"/>
            <color indexed="81"/>
            <rFont val="Tahoma"/>
            <family val="2"/>
          </rPr>
          <t>22.35159_Spectrum_Freq 5130150009.78Hz Time: 4:37:07 PM 6/12/2016</t>
        </r>
      </text>
    </comment>
    <comment ref="Q8" authorId="0" shapeId="0">
      <text>
        <r>
          <rPr>
            <sz val="9"/>
            <color indexed="81"/>
            <rFont val="Tahoma"/>
            <family val="2"/>
          </rPr>
          <t>0_Spectrum_Freq 5354496000Hz Time: 4:37:29 PM 6/12/2016</t>
        </r>
      </text>
    </comment>
    <comment ref="Z8" authorId="0" shapeId="0">
      <text>
        <r>
          <rPr>
            <sz val="9"/>
            <color indexed="81"/>
            <rFont val="Tahoma"/>
            <family val="2"/>
          </rPr>
          <t>22.23016_Spectrum_Freq 5130960000Hz Time: 4:37:53 PM 6/12/2016</t>
        </r>
      </text>
    </comment>
    <comment ref="AI8" authorId="0" shapeId="0">
      <text>
        <r>
          <rPr>
            <sz val="9"/>
            <color indexed="81"/>
            <rFont val="Tahoma"/>
            <family val="2"/>
          </rPr>
          <t>23.21936_Spectrum_Freq 5236357200Hz Time: 4:38:15 PM 6/12/2016</t>
        </r>
      </text>
    </comment>
    <comment ref="AR8" authorId="0" shapeId="0">
      <text>
        <r>
          <rPr>
            <sz val="9"/>
            <color indexed="81"/>
            <rFont val="Tahoma"/>
            <family val="2"/>
          </rPr>
          <t>23.71063_Spectrum_Freq 5353713600Hz Time: 4:38:37 PM 6/12/2016</t>
        </r>
      </text>
    </comment>
    <comment ref="BA8" authorId="0" shapeId="0">
      <text>
        <r>
          <rPr>
            <sz val="9"/>
            <color indexed="81"/>
            <rFont val="Tahoma"/>
            <family val="2"/>
          </rPr>
          <t>21.48132_Spectrum_Freq 5136645000Hz Time: 4:38:59 PM 6/12/2016</t>
        </r>
      </text>
    </comment>
    <comment ref="BJ8" authorId="0" shapeId="0">
      <text>
        <r>
          <rPr>
            <sz val="9"/>
            <color indexed="81"/>
            <rFont val="Tahoma"/>
            <family val="2"/>
          </rPr>
          <t>23.00015_Spectrum_Freq 5351430000Hz Time: 4:39:22 PM 6/12/2016</t>
        </r>
      </text>
    </comment>
    <comment ref="BS8" authorId="0" shapeId="0">
      <text>
        <r>
          <rPr>
            <sz val="9"/>
            <color indexed="81"/>
            <rFont val="Tahoma"/>
            <family val="2"/>
          </rPr>
          <t>23.16418_Spectrum_Freq 5133176400Hz Time: 4:39:46 PM 6/12/2016</t>
        </r>
      </text>
    </comment>
    <comment ref="CB8" authorId="0" shapeId="0">
      <text>
        <r>
          <rPr>
            <sz val="9"/>
            <color indexed="81"/>
            <rFont val="Tahoma"/>
            <family val="2"/>
          </rPr>
          <t>23.84113_Spectrum_Freq 5352006000Hz Time: 4:40:09 PM 6/12/2016</t>
        </r>
      </text>
    </comment>
    <comment ref="CK8" authorId="0" shapeId="0">
      <text>
        <r>
          <rPr>
            <sz val="9"/>
            <color indexed="81"/>
            <rFont val="Tahoma"/>
            <family val="2"/>
          </rPr>
          <t>22.01044_Spectrum_Freq 5138100000Hz Time: 4:40:32 PM 6/12/2016</t>
        </r>
      </text>
    </comment>
    <comment ref="CT8" authorId="0" shapeId="0">
      <text>
        <r>
          <rPr>
            <sz val="9"/>
            <color indexed="81"/>
            <rFont val="Tahoma"/>
            <family val="2"/>
          </rPr>
          <t>23.05701_Spectrum_Freq 5353200000Hz Time: 4:40:56 PM 6/12/2016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22.28799_Spectrum_Freq 6841091200Hz Time: 4:37:10 PM 6/12/2016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23.74728_Spectrum_Freq 7138984000Hz Time: 4:37:32 PM 6/12/2016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22.21017_Spectrum_Freq 6841497600Hz Time: 4:37:55 PM 6/12/2016</t>
        </r>
      </text>
    </comment>
    <comment ref="AI9" authorId="0" shapeId="0">
      <text>
        <r>
          <rPr>
            <sz val="9"/>
            <color indexed="81"/>
            <rFont val="Tahoma"/>
            <family val="2"/>
          </rPr>
          <t>23.21555_Spectrum_Freq 6981547200Hz Time: 4:38:18 PM 6/12/2016</t>
        </r>
      </text>
    </comment>
    <comment ref="AR9" authorId="0" shapeId="0">
      <text>
        <r>
          <rPr>
            <sz val="9"/>
            <color indexed="81"/>
            <rFont val="Tahoma"/>
            <family val="2"/>
          </rPr>
          <t>23.52255_Spectrum_Freq 7138763200Hz Time: 4:38:40 PM 6/12/2016</t>
        </r>
      </text>
    </comment>
    <comment ref="BA9" authorId="0" shapeId="0">
      <text>
        <r>
          <rPr>
            <sz val="9"/>
            <color indexed="81"/>
            <rFont val="Tahoma"/>
            <family val="2"/>
          </rPr>
          <t>21.48175_Spectrum_Freq 6841100000Hz Time: 4:39:02 PM 6/12/2016</t>
        </r>
      </text>
    </comment>
    <comment ref="BJ9" authorId="0" shapeId="0">
      <text>
        <r>
          <rPr>
            <sz val="9"/>
            <color indexed="81"/>
            <rFont val="Tahoma"/>
            <family val="2"/>
          </rPr>
          <t>23.00089_Spectrum_Freq 7126000000Hz Time: 4:39:25 PM 6/12/2016</t>
        </r>
      </text>
    </comment>
    <comment ref="BS9" authorId="0" shapeId="0">
      <text>
        <r>
          <rPr>
            <sz val="9"/>
            <color indexed="81"/>
            <rFont val="Tahoma"/>
            <family val="2"/>
          </rPr>
          <t>23.14621_Spectrum_Freq 6844520000Hz Time: 4:39:49 PM 6/12/2016</t>
        </r>
      </text>
    </comment>
    <comment ref="CB9" authorId="0" shapeId="0">
      <text>
        <r>
          <rPr>
            <sz val="9"/>
            <color indexed="81"/>
            <rFont val="Tahoma"/>
            <family val="2"/>
          </rPr>
          <t>24.22583_Spectrum_Freq 7135457600Hz Time: 4:40:12 PM 6/12/2016</t>
        </r>
      </text>
    </comment>
    <comment ref="CK9" authorId="0" shapeId="0">
      <text>
        <r>
          <rPr>
            <sz val="9"/>
            <color indexed="81"/>
            <rFont val="Tahoma"/>
            <family val="2"/>
          </rPr>
          <t>22.0144_Spectrum_Freq 6916400000Hz Time: 4:40:35 PM 6/12/2016</t>
        </r>
      </text>
    </comment>
    <comment ref="CT9" authorId="0" shapeId="0">
      <text>
        <r>
          <rPr>
            <sz val="9"/>
            <color indexed="81"/>
            <rFont val="Tahoma"/>
            <family val="2"/>
          </rPr>
          <t>23.05383_Spectrum_Freq 7113600000Hz Time: 4:40:59 PM 6/12/2016</t>
        </r>
      </text>
    </comment>
    <comment ref="H10" authorId="0" shapeId="0">
      <text>
        <r>
          <rPr>
            <sz val="9"/>
            <color indexed="81"/>
            <rFont val="Tahoma"/>
            <family val="2"/>
          </rPr>
          <t>22.44012_Spectrum_Freq 8551290000Hz Time: 4:37:13 PM 6/12/2016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>0_Spectrum_Freq 8923634000Hz Time: 4:37:34 PM 6/12/2016</t>
        </r>
      </text>
    </comment>
    <comment ref="Z10" authorId="0" shapeId="0">
      <text>
        <r>
          <rPr>
            <sz val="9"/>
            <color indexed="81"/>
            <rFont val="Tahoma"/>
            <family val="2"/>
          </rPr>
          <t>22.20755_Spectrum_Freq 8551658000Hz Time: 4:37:58 PM 6/12/2016</t>
        </r>
      </text>
    </comment>
    <comment ref="AI10" authorId="0" shapeId="0">
      <text>
        <r>
          <rPr>
            <sz val="9"/>
            <color indexed="81"/>
            <rFont val="Tahoma"/>
            <family val="2"/>
          </rPr>
          <t>23.30847_Spectrum_Freq 8726828000Hz Time: 4:38:20 PM 6/12/2016</t>
        </r>
      </text>
    </comment>
    <comment ref="AR10" authorId="0" shapeId="0">
      <text>
        <r>
          <rPr>
            <sz val="9"/>
            <color indexed="81"/>
            <rFont val="Tahoma"/>
            <family val="2"/>
          </rPr>
          <t>23.68729_Spectrum_Freq 8923176000Hz Time: 4:38:42 PM 6/12/2016</t>
        </r>
      </text>
    </comment>
    <comment ref="BA10" authorId="0" shapeId="0">
      <text>
        <r>
          <rPr>
            <sz val="9"/>
            <color indexed="81"/>
            <rFont val="Tahoma"/>
            <family val="2"/>
          </rPr>
          <t>21.48727_Spectrum_Freq 8562775000Hz Time: 4:39:05 PM 6/12/2016</t>
        </r>
      </text>
    </comment>
    <comment ref="BJ10" authorId="0" shapeId="0">
      <text>
        <r>
          <rPr>
            <sz val="9"/>
            <color indexed="81"/>
            <rFont val="Tahoma"/>
            <family val="2"/>
          </rPr>
          <t>22.99414_Spectrum_Freq 8912350000Hz Time: 4:39:27 PM 6/12/2016</t>
        </r>
      </text>
    </comment>
    <comment ref="BS10" authorId="0" shapeId="0">
      <text>
        <r>
          <rPr>
            <sz val="9"/>
            <color indexed="81"/>
            <rFont val="Tahoma"/>
            <family val="2"/>
          </rPr>
          <t>23.31619_Spectrum_Freq 8555310000Hz Time: 4:39:52 PM 6/12/2016</t>
        </r>
      </text>
    </comment>
    <comment ref="CB10" authorId="0" shapeId="0">
      <text>
        <r>
          <rPr>
            <sz val="9"/>
            <color indexed="81"/>
            <rFont val="Tahoma"/>
            <family val="2"/>
          </rPr>
          <t>23.04877_Spectrum_Freq 8919576000Hz Time: 4:40:15 PM 6/12/2016</t>
        </r>
      </text>
    </comment>
    <comment ref="CK10" authorId="0" shapeId="0">
      <text>
        <r>
          <rPr>
            <sz val="9"/>
            <color indexed="81"/>
            <rFont val="Tahoma"/>
            <family val="2"/>
          </rPr>
          <t>21.99512_Spectrum_Freq 8589600000Hz Time: 4:40:38 PM 6/12/2016</t>
        </r>
      </text>
    </comment>
    <comment ref="CT10" authorId="0" shapeId="0">
      <text>
        <r>
          <rPr>
            <sz val="9"/>
            <color indexed="81"/>
            <rFont val="Tahoma"/>
            <family val="2"/>
          </rPr>
          <t>23.03748_Spectrum_Freq 8920900000Hz Time: 4:41:02 PM 6/12/2016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22.43823_Spectrum_Freq 10261488000Hz Time: 4:37:16 PM 6/12/2016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>0_Spectrum_Freq 10708584000Hz Time: 4:37:37 PM 6/12/2016</t>
        </r>
      </text>
    </comment>
    <comment ref="Z11" authorId="0" shapeId="0">
      <text>
        <r>
          <rPr>
            <sz val="9"/>
            <color indexed="81"/>
            <rFont val="Tahoma"/>
            <family val="2"/>
          </rPr>
          <t>22.29871_Spectrum_Freq 10263124800Hz Time: 4:38:01 PM 6/12/2016</t>
        </r>
      </text>
    </comment>
    <comment ref="AI11" authorId="0" shapeId="0">
      <text>
        <r>
          <rPr>
            <sz val="9"/>
            <color indexed="81"/>
            <rFont val="Tahoma"/>
            <family val="2"/>
          </rPr>
          <t>23.19373_Spectrum_Freq 10472402400Hz Time: 4:38:23 PM 6/12/2016</t>
        </r>
      </text>
    </comment>
    <comment ref="AR11" authorId="0" shapeId="0">
      <text>
        <r>
          <rPr>
            <sz val="9"/>
            <color indexed="81"/>
            <rFont val="Tahoma"/>
            <family val="2"/>
          </rPr>
          <t>23.43701_Spectrum_Freq 10708010400Hz Time: 4:38:45 PM 6/12/2016</t>
        </r>
      </text>
    </comment>
    <comment ref="BA11" authorId="0" shapeId="0">
      <text>
        <r>
          <rPr>
            <sz val="9"/>
            <color indexed="81"/>
            <rFont val="Tahoma"/>
            <family val="2"/>
          </rPr>
          <t>21.59341_Spectrum_Freq 10265100000Hz Time: 4:39:08 PM 6/12/2016</t>
        </r>
      </text>
    </comment>
    <comment ref="BJ11" authorId="0" shapeId="0">
      <text>
        <r>
          <rPr>
            <sz val="9"/>
            <color indexed="81"/>
            <rFont val="Tahoma"/>
            <family val="2"/>
          </rPr>
          <t>22.992_Spectrum_Freq 10701420000Hz Time: 4:39:30 PM 6/12/2016</t>
        </r>
      </text>
    </comment>
    <comment ref="BS11" authorId="0" shapeId="0">
      <text>
        <r>
          <rPr>
            <sz val="9"/>
            <color indexed="81"/>
            <rFont val="Tahoma"/>
            <family val="2"/>
          </rPr>
          <t>23.71954_Spectrum_Freq 10267144800Hz Time: 4:39:55 PM 6/12/2016</t>
        </r>
      </text>
    </comment>
    <comment ref="CB11" authorId="0" shapeId="0">
      <text>
        <r>
          <rPr>
            <sz val="9"/>
            <color indexed="81"/>
            <rFont val="Tahoma"/>
            <family val="2"/>
          </rPr>
          <t>23.02319_Spectrum_Freq 10702440000Hz Time: 4:40:18 PM 6/12/2016</t>
        </r>
      </text>
    </comment>
    <comment ref="CK11" authorId="0" shapeId="0">
      <text>
        <r>
          <rPr>
            <sz val="9"/>
            <color indexed="81"/>
            <rFont val="Tahoma"/>
            <family val="2"/>
          </rPr>
          <t>21.98441_Spectrum_Freq 10266840000Hz Time: 4:40:42 PM 6/12/2016</t>
        </r>
      </text>
    </comment>
    <comment ref="CT11" authorId="0" shapeId="0">
      <text>
        <r>
          <rPr>
            <sz val="9"/>
            <color indexed="81"/>
            <rFont val="Tahoma"/>
            <family val="2"/>
          </rPr>
          <t>23.03809_Spectrum_Freq 10707360000Hz Time: 4:41:05 PM 6/12/2016</t>
        </r>
      </text>
    </comment>
    <comment ref="H12" authorId="0" shapeId="0">
      <text>
        <r>
          <rPr>
            <sz val="9"/>
            <color indexed="81"/>
            <rFont val="Tahoma"/>
            <family val="2"/>
          </rPr>
          <t>22.33258_Spectrum_Freq 11970714000Hz Time: 4:37:18 PM 6/12/2016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>0_Spectrum_Freq 12493171600Hz Time: 4:37:40 PM 6/12/2016</t>
        </r>
      </text>
    </comment>
    <comment ref="Z12" authorId="0" shapeId="0">
      <text>
        <r>
          <rPr>
            <sz val="9"/>
            <color indexed="81"/>
            <rFont val="Tahoma"/>
            <family val="2"/>
          </rPr>
          <t>22.20035_Spectrum_Freq 11972287600Hz Time: 4:38:04 PM 6/12/2016</t>
        </r>
      </text>
    </comment>
    <comment ref="AI12" authorId="0" shapeId="0">
      <text>
        <r>
          <rPr>
            <sz val="9"/>
            <color indexed="81"/>
            <rFont val="Tahoma"/>
            <family val="2"/>
          </rPr>
          <t>23.12439_Spectrum_Freq 12217536800Hz Time: 4:38:26 PM 6/12/2016</t>
        </r>
      </text>
    </comment>
    <comment ref="AR12" authorId="0" shapeId="0">
      <text>
        <r>
          <rPr>
            <sz val="9"/>
            <color indexed="81"/>
            <rFont val="Tahoma"/>
            <family val="2"/>
          </rPr>
          <t>23.47073_Spectrum_Freq 12492684400Hz Time: 4:38:48 PM 6/12/2016</t>
        </r>
      </text>
    </comment>
    <comment ref="BA12" authorId="0" shapeId="0">
      <text>
        <r>
          <rPr>
            <sz val="9"/>
            <color indexed="81"/>
            <rFont val="Tahoma"/>
            <family val="2"/>
          </rPr>
          <t>21.48328_Spectrum_Freq 11990405000Hz Time: 4:39:11 PM 6/12/2016</t>
        </r>
      </text>
    </comment>
    <comment ref="BJ12" authorId="0" shapeId="0">
      <text>
        <r>
          <rPr>
            <sz val="9"/>
            <color indexed="81"/>
            <rFont val="Tahoma"/>
            <family val="2"/>
          </rPr>
          <t>22.98218_Spectrum_Freq 12494825000Hz Time: 4:39:33 PM 6/12/2016</t>
        </r>
      </text>
    </comment>
    <comment ref="BS12" authorId="0" shapeId="0">
      <text>
        <r>
          <rPr>
            <sz val="9"/>
            <color indexed="81"/>
            <rFont val="Tahoma"/>
            <family val="2"/>
          </rPr>
          <t>23.8548_Spectrum_Freq 11977618800Hz Time: 4:39:58 PM 6/12/2016</t>
        </r>
      </text>
    </comment>
    <comment ref="CB12" authorId="0" shapeId="0">
      <text>
        <r>
          <rPr>
            <sz val="9"/>
            <color indexed="81"/>
            <rFont val="Tahoma"/>
            <family val="2"/>
          </rPr>
          <t>23.01541_Spectrum_Freq 12487140400Hz Time: 4:40:21 PM 6/12/2016</t>
        </r>
      </text>
    </comment>
    <comment ref="CK12" authorId="0" shapeId="0">
      <text>
        <r>
          <rPr>
            <sz val="9"/>
            <color indexed="81"/>
            <rFont val="Tahoma"/>
            <family val="2"/>
          </rPr>
          <t>21.97687_Spectrum_Freq 11990020000Hz Time: 4:40:45 PM 6/12/2016</t>
        </r>
      </text>
    </comment>
    <comment ref="CT12" authorId="0" shapeId="0">
      <text>
        <r>
          <rPr>
            <sz val="9"/>
            <color indexed="81"/>
            <rFont val="Tahoma"/>
            <family val="2"/>
          </rPr>
          <t>23.04105_Spectrum_Freq 12476520000Hz Time: 4:41:09 PM 6/12/2016</t>
        </r>
      </text>
    </comment>
  </commentList>
</comments>
</file>

<file path=xl/comments5.xml><?xml version="1.0" encoding="utf-8"?>
<comments xmlns="http://schemas.openxmlformats.org/spreadsheetml/2006/main">
  <authors>
    <author>Long, WANG (HW-NB-TCT)</author>
  </authors>
  <commentList>
    <comment ref="H7" authorId="0" shapeId="0">
      <text>
        <r>
          <rPr>
            <sz val="9"/>
            <color indexed="81"/>
            <rFont val="Tahoma"/>
            <family val="2"/>
          </rPr>
          <t>22.3649_Spectrum_Freq 3420448000Hz Time: 4:41:29 PM 6/12/2016</t>
        </r>
      </text>
    </comment>
    <comment ref="Q7" authorId="0" shapeId="0">
      <text>
        <r>
          <rPr>
            <sz val="9"/>
            <color indexed="81"/>
            <rFont val="Tahoma"/>
            <family val="2"/>
          </rPr>
          <t>22.99295_Spectrum_Freq 3509513600Hz Time: 4:41:51 PM 6/12/2016</t>
        </r>
      </text>
    </comment>
    <comment ref="Z7" authorId="0" shapeId="0">
      <text>
        <r>
          <rPr>
            <sz val="9"/>
            <color indexed="81"/>
            <rFont val="Tahoma"/>
            <family val="2"/>
          </rPr>
          <t>22.54395_Spectrum_Freq 3420706400Hz Time: 4:42:24 PM 6/12/2016</t>
        </r>
      </text>
    </comment>
    <comment ref="AI7" authorId="0" shapeId="0">
      <text>
        <r>
          <rPr>
            <sz val="9"/>
            <color indexed="81"/>
            <rFont val="Tahoma"/>
            <family val="2"/>
          </rPr>
          <t>22.78931_Spectrum_Freq 3460733600Hz Time: 4:42:46 PM 6/12/2016</t>
        </r>
      </text>
    </comment>
    <comment ref="AR7" authorId="0" shapeId="0">
      <text>
        <r>
          <rPr>
            <sz val="9"/>
            <color indexed="81"/>
            <rFont val="Tahoma"/>
            <family val="2"/>
          </rPr>
          <t>22.9823_Spectrum_Freq 3509292000Hz Time: 4:43:08 PM 6/12/2016</t>
        </r>
      </text>
    </comment>
    <comment ref="BA7" authorId="0" shapeId="0">
      <text>
        <r>
          <rPr>
            <sz val="9"/>
            <color indexed="81"/>
            <rFont val="Tahoma"/>
            <family val="2"/>
          </rPr>
          <t>21.48544_Spectrum_Freq 3425240000Hz Time: 4:43:30 PM 6/12/2016</t>
        </r>
      </text>
    </comment>
    <comment ref="BJ7" authorId="0" shapeId="0">
      <text>
        <r>
          <rPr>
            <sz val="9"/>
            <color indexed="81"/>
            <rFont val="Tahoma"/>
            <family val="2"/>
          </rPr>
          <t>22.07205_Spectrum_Freq 3507410000Hz Time: 4:43:53 PM 6/12/2016</t>
        </r>
      </text>
    </comment>
    <comment ref="BS7" authorId="0" shapeId="0">
      <text>
        <r>
          <rPr>
            <sz val="9"/>
            <color indexed="81"/>
            <rFont val="Tahoma"/>
            <family val="2"/>
          </rPr>
          <t>23.42239_Spectrum_Freq 3422196000Hz Time: 4:44:26 PM 6/12/2016</t>
        </r>
      </text>
    </comment>
    <comment ref="CB7" authorId="0" shapeId="0">
      <text>
        <r>
          <rPr>
            <sz val="9"/>
            <color indexed="81"/>
            <rFont val="Tahoma"/>
            <family val="2"/>
          </rPr>
          <t>23.53857_Spectrum_Freq 3507809600Hz Time: 4:44:49 PM 6/12/2016</t>
        </r>
      </text>
    </comment>
    <comment ref="CK7" authorId="0" shapeId="0">
      <text>
        <r>
          <rPr>
            <sz val="9"/>
            <color indexed="81"/>
            <rFont val="Tahoma"/>
            <family val="2"/>
          </rPr>
          <t>21.87726_Spectrum_Freq 3441240000Hz Time: 4:45:12 PM 6/12/2016</t>
        </r>
      </text>
    </comment>
    <comment ref="CT7" authorId="0" shapeId="0">
      <text>
        <r>
          <rPr>
            <sz val="9"/>
            <color indexed="81"/>
            <rFont val="Tahoma"/>
            <family val="2"/>
          </rPr>
          <t>22.4502_Spectrum_Freq 3500960000Hz Time: 4:45:37 PM 6/12/2016</t>
        </r>
      </text>
    </comment>
    <comment ref="H8" authorId="0" shapeId="0">
      <text>
        <r>
          <rPr>
            <sz val="9"/>
            <color indexed="81"/>
            <rFont val="Tahoma"/>
            <family val="2"/>
          </rPr>
          <t>22.43143_Spectrum_Freq 5130150005.83Hz Time: 4:41:32 PM 6/12/2016</t>
        </r>
      </text>
    </comment>
    <comment ref="Q8" authorId="0" shapeId="0">
      <text>
        <r>
          <rPr>
            <sz val="9"/>
            <color indexed="81"/>
            <rFont val="Tahoma"/>
            <family val="2"/>
          </rPr>
          <t>23.06418_Spectrum_Freq 5264313600Hz Time: 4:41:54 PM 6/12/2016</t>
        </r>
      </text>
    </comment>
    <comment ref="Z8" authorId="0" shapeId="0">
      <text>
        <r>
          <rPr>
            <sz val="9"/>
            <color indexed="81"/>
            <rFont val="Tahoma"/>
            <family val="2"/>
          </rPr>
          <t>22.45096_Spectrum_Freq 5130889200Hz Time: 4:42:27 PM 6/12/2016</t>
        </r>
      </text>
    </comment>
    <comment ref="AI8" authorId="0" shapeId="0">
      <text>
        <r>
          <rPr>
            <sz val="9"/>
            <color indexed="81"/>
            <rFont val="Tahoma"/>
            <family val="2"/>
          </rPr>
          <t>22.86032_Spectrum_Freq 5191260000Hz Time: 4:42:49 PM 6/12/2016</t>
        </r>
      </text>
    </comment>
    <comment ref="AR8" authorId="0" shapeId="0">
      <text>
        <r>
          <rPr>
            <sz val="9"/>
            <color indexed="81"/>
            <rFont val="Tahoma"/>
            <family val="2"/>
          </rPr>
          <t>23.22891_Spectrum_Freq 5264157600Hz Time: 4:43:11 PM 6/12/2016</t>
        </r>
      </text>
    </comment>
    <comment ref="BA8" authorId="0" shapeId="0">
      <text>
        <r>
          <rPr>
            <sz val="9"/>
            <color indexed="81"/>
            <rFont val="Tahoma"/>
            <family val="2"/>
          </rPr>
          <t>21.50052_Spectrum_Freq 5144310000Hz Time: 4:43:33 PM 6/12/2016</t>
        </r>
      </text>
    </comment>
    <comment ref="BJ8" authorId="0" shapeId="0">
      <text>
        <r>
          <rPr>
            <sz val="9"/>
            <color indexed="81"/>
            <rFont val="Tahoma"/>
            <family val="2"/>
          </rPr>
          <t>22.21252_Spectrum_Freq 5255025000Hz Time: 4:43:56 PM 6/12/2016</t>
        </r>
      </text>
    </comment>
    <comment ref="BS8" authorId="0" shapeId="0">
      <text>
        <r>
          <rPr>
            <sz val="9"/>
            <color indexed="81"/>
            <rFont val="Tahoma"/>
            <family val="2"/>
          </rPr>
          <t>24.03256_Spectrum_Freq 5133442800Hz Time: 4:44:29 PM 6/12/2016</t>
        </r>
      </text>
    </comment>
    <comment ref="CB8" authorId="0" shapeId="0">
      <text>
        <r>
          <rPr>
            <sz val="9"/>
            <color indexed="81"/>
            <rFont val="Tahoma"/>
            <family val="2"/>
          </rPr>
          <t>23.83865_Spectrum_Freq 5262123600Hz Time: 4:44:52 PM 6/12/2016</t>
        </r>
      </text>
    </comment>
    <comment ref="CK8" authorId="0" shapeId="0">
      <text>
        <r>
          <rPr>
            <sz val="9"/>
            <color indexed="81"/>
            <rFont val="Tahoma"/>
            <family val="2"/>
          </rPr>
          <t>21.94562_Spectrum_Freq 5133060000Hz Time: 4:45:15 PM 6/12/2016</t>
        </r>
      </text>
    </comment>
    <comment ref="CT8" authorId="0" shapeId="0">
      <text>
        <r>
          <rPr>
            <sz val="9"/>
            <color indexed="81"/>
            <rFont val="Tahoma"/>
            <family val="2"/>
          </rPr>
          <t>22.52527_Spectrum_Freq 5205120000Hz Time: 4:45:40 PM 6/12/2016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22.4313_Spectrum_Freq 6841438400Hz Time: 4:41:35 PM 6/12/2016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23.04428_Spectrum_Freq 7018940800Hz Time: 4:41:57 PM 6/12/2016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22.59579_Spectrum_Freq 6841041600Hz Time: 4:42:30 PM 6/12/2016</t>
        </r>
      </text>
    </comment>
    <comment ref="AI9" authorId="0" shapeId="0">
      <text>
        <r>
          <rPr>
            <sz val="9"/>
            <color indexed="81"/>
            <rFont val="Tahoma"/>
            <family val="2"/>
          </rPr>
          <t>22.70139_Spectrum_Freq 6921038400Hz Time: 4:42:52 PM 6/12/2016</t>
        </r>
      </text>
    </comment>
    <comment ref="AR9" authorId="0" shapeId="0">
      <text>
        <r>
          <rPr>
            <sz val="9"/>
            <color indexed="81"/>
            <rFont val="Tahoma"/>
            <family val="2"/>
          </rPr>
          <t>23.14551_Spectrum_Freq 7018678400Hz Time: 4:43:14 PM 6/12/2016</t>
        </r>
      </text>
    </comment>
    <comment ref="BA9" authorId="0" shapeId="0">
      <text>
        <r>
          <rPr>
            <sz val="9"/>
            <color indexed="81"/>
            <rFont val="Tahoma"/>
            <family val="2"/>
          </rPr>
          <t>21.64789_Spectrum_Freq 6840860000Hz Time: 4:43:36 PM 6/12/2016</t>
        </r>
      </text>
    </comment>
    <comment ref="BJ9" authorId="0" shapeId="0">
      <text>
        <r>
          <rPr>
            <sz val="9"/>
            <color indexed="81"/>
            <rFont val="Tahoma"/>
            <family val="2"/>
          </rPr>
          <t>22.20706_Spectrum_Freq 7019260000Hz Time: 4:43:59 PM 6/12/2016</t>
        </r>
      </text>
    </comment>
    <comment ref="BS9" authorId="0" shapeId="0">
      <text>
        <r>
          <rPr>
            <sz val="9"/>
            <color indexed="81"/>
            <rFont val="Tahoma"/>
            <family val="2"/>
          </rPr>
          <t>23.4538_Spectrum_Freq 6844256000Hz Time: 4:44:32 PM 6/12/2016</t>
        </r>
      </text>
    </comment>
    <comment ref="CB9" authorId="0" shapeId="0">
      <text>
        <r>
          <rPr>
            <sz val="9"/>
            <color indexed="81"/>
            <rFont val="Tahoma"/>
            <family val="2"/>
          </rPr>
          <t>23.69476_Spectrum_Freq 7015747200Hz Time: 4:44:55 PM 6/12/2016</t>
        </r>
      </text>
    </comment>
    <comment ref="CK9" authorId="0" shapeId="0">
      <text>
        <r>
          <rPr>
            <sz val="9"/>
            <color indexed="81"/>
            <rFont val="Tahoma"/>
            <family val="2"/>
          </rPr>
          <t>22.03204_Spectrum_Freq 6918880000Hz Time: 4:45:18 PM 6/12/2016</t>
        </r>
      </text>
    </comment>
    <comment ref="CT9" authorId="0" shapeId="0">
      <text>
        <r>
          <rPr>
            <sz val="9"/>
            <color indexed="81"/>
            <rFont val="Tahoma"/>
            <family val="2"/>
          </rPr>
          <t>22.51593_Spectrum_Freq 7009200000Hz Time: 4:45:43 PM 6/12/2016</t>
        </r>
      </text>
    </comment>
    <comment ref="H10" authorId="0" shapeId="0">
      <text>
        <r>
          <rPr>
            <sz val="9"/>
            <color indexed="81"/>
            <rFont val="Tahoma"/>
            <family val="2"/>
          </rPr>
          <t>22.43353_Spectrum_Freq 8551218000Hz Time: 4:41:37 PM 6/12/2016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>23.12265_Spectrum_Freq 8773810000Hz Time: 4:41:59 PM 6/12/2016</t>
        </r>
      </text>
    </comment>
    <comment ref="Z10" authorId="0" shapeId="0">
      <text>
        <r>
          <rPr>
            <sz val="9"/>
            <color indexed="81"/>
            <rFont val="Tahoma"/>
            <family val="2"/>
          </rPr>
          <t>22.37643_Spectrum_Freq 8551830000Hz Time: 4:42:33 PM 6/12/2016</t>
        </r>
      </text>
    </comment>
    <comment ref="AI10" authorId="0" shapeId="0">
      <text>
        <r>
          <rPr>
            <sz val="9"/>
            <color indexed="81"/>
            <rFont val="Tahoma"/>
            <family val="2"/>
          </rPr>
          <t>22.52463_Spectrum_Freq 8651674000Hz Time: 4:42:54 PM 6/12/2016</t>
        </r>
      </text>
    </comment>
    <comment ref="AR10" authorId="0" shapeId="0">
      <text>
        <r>
          <rPr>
            <sz val="9"/>
            <color indexed="81"/>
            <rFont val="Tahoma"/>
            <family val="2"/>
          </rPr>
          <t>23.12848_Spectrum_Freq 8773274000Hz Time: 4:43:16 PM 6/12/2016</t>
        </r>
      </text>
    </comment>
    <comment ref="BA10" authorId="0" shapeId="0">
      <text>
        <r>
          <rPr>
            <sz val="9"/>
            <color indexed="81"/>
            <rFont val="Tahoma"/>
            <family val="2"/>
          </rPr>
          <t>21.49756_Spectrum_Freq 8568275000Hz Time: 4:43:39 PM 6/12/2016</t>
        </r>
      </text>
    </comment>
    <comment ref="BJ10" authorId="0" shapeId="0">
      <text>
        <r>
          <rPr>
            <sz val="9"/>
            <color indexed="81"/>
            <rFont val="Tahoma"/>
            <family val="2"/>
          </rPr>
          <t>22.19193_Spectrum_Freq 8756925000Hz Time: 4:44:01 PM 6/12/2016</t>
        </r>
      </text>
    </comment>
    <comment ref="BS10" authorId="0" shapeId="0">
      <text>
        <r>
          <rPr>
            <sz val="9"/>
            <color indexed="81"/>
            <rFont val="Tahoma"/>
            <family val="2"/>
          </rPr>
          <t>23.28284_Spectrum_Freq 8555482000Hz Time: 4:44:35 PM 6/12/2016</t>
        </r>
      </text>
    </comment>
    <comment ref="CB10" authorId="0" shapeId="0">
      <text>
        <r>
          <rPr>
            <sz val="9"/>
            <color indexed="81"/>
            <rFont val="Tahoma"/>
            <family val="2"/>
          </rPr>
          <t>23.60379_Spectrum_Freq 8769486000Hz Time: 4:44:58 PM 6/12/2016</t>
        </r>
      </text>
    </comment>
    <comment ref="CK10" authorId="0" shapeId="0">
      <text>
        <r>
          <rPr>
            <sz val="9"/>
            <color indexed="81"/>
            <rFont val="Tahoma"/>
            <family val="2"/>
          </rPr>
          <t>21.86432_Spectrum_Freq 8601100000Hz Time: 4:45:21 PM 6/12/2016</t>
        </r>
      </text>
    </comment>
    <comment ref="CT10" authorId="0" shapeId="0">
      <text>
        <r>
          <rPr>
            <sz val="9"/>
            <color indexed="81"/>
            <rFont val="Tahoma"/>
            <family val="2"/>
          </rPr>
          <t>22.51669_Spectrum_Freq 8677700000Hz Time: 4:45:47 PM 6/12/2016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22.43045_Spectrum_Freq 10261608000Hz Time: 4:41:40 PM 6/12/2016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>23.10962_Spectrum_Freq 10529568000Hz Time: 4:42:02 PM 6/12/2016</t>
        </r>
      </text>
    </comment>
    <comment ref="Z11" authorId="0" shapeId="0">
      <text>
        <r>
          <rPr>
            <sz val="9"/>
            <color indexed="81"/>
            <rFont val="Tahoma"/>
            <family val="2"/>
          </rPr>
          <t>22.51535_Spectrum_Freq 10263187200Hz Time: 4:42:35 PM 6/12/2016</t>
        </r>
      </text>
    </comment>
    <comment ref="AI11" authorId="0" shapeId="0">
      <text>
        <r>
          <rPr>
            <sz val="9"/>
            <color indexed="81"/>
            <rFont val="Tahoma"/>
            <family val="2"/>
          </rPr>
          <t>22.43454_Spectrum_Freq 10382236800Hz Time: 4:42:57 PM 6/12/2016</t>
        </r>
      </text>
    </comment>
    <comment ref="AR11" authorId="0" shapeId="0">
      <text>
        <r>
          <rPr>
            <sz val="9"/>
            <color indexed="81"/>
            <rFont val="Tahoma"/>
            <family val="2"/>
          </rPr>
          <t>23.1217_Spectrum_Freq 10527230400Hz Time: 4:43:19 PM 6/12/2016</t>
        </r>
      </text>
    </comment>
    <comment ref="BA11" authorId="0" shapeId="0">
      <text>
        <r>
          <rPr>
            <sz val="9"/>
            <color indexed="81"/>
            <rFont val="Tahoma"/>
            <family val="2"/>
          </rPr>
          <t>21.49661_Spectrum_Freq 10280370000Hz Time: 4:43:42 PM 6/12/2016</t>
        </r>
      </text>
    </comment>
    <comment ref="BJ11" authorId="0" shapeId="0">
      <text>
        <r>
          <rPr>
            <sz val="9"/>
            <color indexed="81"/>
            <rFont val="Tahoma"/>
            <family val="2"/>
          </rPr>
          <t>22.19119_Spectrum_Freq 10526940000Hz Time: 4:44:04 PM 6/12/2016</t>
        </r>
      </text>
    </comment>
    <comment ref="BS11" authorId="0" shapeId="0">
      <text>
        <r>
          <rPr>
            <sz val="9"/>
            <color indexed="81"/>
            <rFont val="Tahoma"/>
            <family val="2"/>
          </rPr>
          <t>23.78818_Spectrum_Freq 10266146400Hz Time: 4:44:38 PM 6/12/2016</t>
        </r>
      </text>
    </comment>
    <comment ref="CB11" authorId="0" shapeId="0">
      <text>
        <r>
          <rPr>
            <sz val="9"/>
            <color indexed="81"/>
            <rFont val="Tahoma"/>
            <family val="2"/>
          </rPr>
          <t>23.8432_Spectrum_Freq 10522692000Hz Time: 4:45:01 PM 6/12/2016</t>
        </r>
      </text>
    </comment>
    <comment ref="CK11" authorId="0" shapeId="0">
      <text>
        <r>
          <rPr>
            <sz val="9"/>
            <color indexed="81"/>
            <rFont val="Tahoma"/>
            <family val="2"/>
          </rPr>
          <t>22.03351_Spectrum_Freq 10277880000Hz Time: 4:45:24 PM 6/12/2016</t>
        </r>
      </text>
    </comment>
    <comment ref="CT11" authorId="0" shapeId="0">
      <text>
        <r>
          <rPr>
            <sz val="9"/>
            <color indexed="81"/>
            <rFont val="Tahoma"/>
            <family val="2"/>
          </rPr>
          <t>22.59238_Spectrum_Freq 10512600000Hz Time: 4:45:50 PM 6/12/2016</t>
        </r>
      </text>
    </comment>
    <comment ref="H12" authorId="0" shapeId="0">
      <text>
        <r>
          <rPr>
            <sz val="9"/>
            <color indexed="81"/>
            <rFont val="Tahoma"/>
            <family val="2"/>
          </rPr>
          <t>22.34903_Spectrum_Freq 11970666400Hz Time: 4:41:43 PM 6/12/2016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>23.01013_Spectrum_Freq 12283611200Hz Time: 4:42:05 PM 6/12/2016</t>
        </r>
      </text>
    </comment>
    <comment ref="Z12" authorId="0" shapeId="0">
      <text>
        <r>
          <rPr>
            <sz val="9"/>
            <color indexed="81"/>
            <rFont val="Tahoma"/>
            <family val="2"/>
          </rPr>
          <t>22.51407_Spectrum_Freq 11971688400Hz Time: 4:42:38 PM 6/12/2016</t>
        </r>
      </text>
    </comment>
    <comment ref="AI12" authorId="0" shapeId="0">
      <text>
        <r>
          <rPr>
            <sz val="9"/>
            <color indexed="81"/>
            <rFont val="Tahoma"/>
            <family val="2"/>
          </rPr>
          <t>22.47595_Spectrum_Freq 12112724400Hz Time: 4:43:00 PM 6/12/2016</t>
        </r>
      </text>
    </comment>
    <comment ref="AR12" authorId="0" shapeId="0">
      <text>
        <r>
          <rPr>
            <sz val="9"/>
            <color indexed="81"/>
            <rFont val="Tahoma"/>
            <family val="2"/>
          </rPr>
          <t>23.04889_Spectrum_Freq 12283658800Hz Time: 4:43:22 PM 6/12/2016</t>
        </r>
      </text>
    </comment>
    <comment ref="BA12" authorId="0" shapeId="0">
      <text>
        <r>
          <rPr>
            <sz val="9"/>
            <color indexed="81"/>
            <rFont val="Tahoma"/>
            <family val="2"/>
          </rPr>
          <t>21.65384_Spectrum_Freq 11995165000Hz Time: 4:43:45 PM 6/12/2016</t>
        </r>
      </text>
    </comment>
    <comment ref="BJ12" authorId="0" shapeId="0">
      <text>
        <r>
          <rPr>
            <sz val="9"/>
            <color indexed="81"/>
            <rFont val="Tahoma"/>
            <family val="2"/>
          </rPr>
          <t>22.19028_Spectrum_Freq 12274500000Hz Time: 4:44:07 PM 6/12/2016</t>
        </r>
      </text>
    </comment>
    <comment ref="BS12" authorId="0" shapeId="0">
      <text>
        <r>
          <rPr>
            <sz val="9"/>
            <color indexed="81"/>
            <rFont val="Tahoma"/>
            <family val="2"/>
          </rPr>
          <t>23.5939_Spectrum_Freq 11977176400Hz Time: 4:44:41 PM 6/12/2016</t>
        </r>
      </text>
    </comment>
    <comment ref="CB12" authorId="0" shapeId="0">
      <text>
        <r>
          <rPr>
            <sz val="9"/>
            <color indexed="81"/>
            <rFont val="Tahoma"/>
            <family val="2"/>
          </rPr>
          <t>23.61221_Spectrum_Freq 12278347200Hz Time: 4:45:04 PM 6/12/2016</t>
        </r>
      </text>
    </comment>
    <comment ref="CK12" authorId="0" shapeId="0">
      <text>
        <r>
          <rPr>
            <sz val="9"/>
            <color indexed="81"/>
            <rFont val="Tahoma"/>
            <family val="2"/>
          </rPr>
          <t>21.86581_Spectrum_Freq 11984140000Hz Time: 4:45:29 PM 6/12/2016</t>
        </r>
      </text>
    </comment>
    <comment ref="CT12" authorId="0" shapeId="0">
      <text>
        <r>
          <rPr>
            <sz val="9"/>
            <color indexed="81"/>
            <rFont val="Tahoma"/>
            <family val="2"/>
          </rPr>
          <t>22.51056_Spectrum_Freq 12147520000Hz Time: 4:45:53 PM 6/12/2016</t>
        </r>
      </text>
    </comment>
  </commentList>
</comments>
</file>

<file path=xl/comments6.xml><?xml version="1.0" encoding="utf-8"?>
<comments xmlns="http://schemas.openxmlformats.org/spreadsheetml/2006/main">
  <authors>
    <author>Long, WANG (HW-NB-TCT)</author>
  </authors>
  <commentList>
    <comment ref="H7" authorId="0" shapeId="0">
      <text>
        <r>
          <rPr>
            <sz val="9"/>
            <color indexed="81"/>
            <rFont val="Tahoma"/>
            <family val="2"/>
          </rPr>
          <t>23.36859_Spectrum_Freq 1648472800Hz</t>
        </r>
      </text>
    </comment>
    <comment ref="Q7" authorId="0" shapeId="0">
      <text>
        <r>
          <rPr>
            <sz val="9"/>
            <color indexed="81"/>
            <rFont val="Tahoma"/>
            <family val="2"/>
          </rPr>
          <t>23.99512_Spectrum_Freq 1695548800Hz</t>
        </r>
      </text>
    </comment>
    <comment ref="Z7" authorId="0" shapeId="0">
      <text>
        <r>
          <rPr>
            <sz val="9"/>
            <color indexed="81"/>
            <rFont val="Tahoma"/>
            <family val="2"/>
          </rPr>
          <t>23.6441_Spectrum_Freq 1648780000Hz</t>
        </r>
      </text>
    </comment>
    <comment ref="AI7" authorId="0" shapeId="0">
      <text>
        <r>
          <rPr>
            <sz val="9"/>
            <color indexed="81"/>
            <rFont val="Tahoma"/>
            <family val="2"/>
          </rPr>
          <t>23.6713_Spectrum_Freq 1668741600Hz</t>
        </r>
      </text>
    </comment>
    <comment ref="AR7" authorId="0" shapeId="0">
      <text>
        <r>
          <rPr>
            <sz val="9"/>
            <color indexed="81"/>
            <rFont val="Tahoma"/>
            <family val="2"/>
          </rPr>
          <t>24.02438_Spectrum_Freq 1697316800Hz</t>
        </r>
      </text>
    </comment>
    <comment ref="BA7" authorId="0" shapeId="0">
      <text>
        <r>
          <rPr>
            <sz val="9"/>
            <color indexed="81"/>
            <rFont val="Tahoma"/>
            <family val="2"/>
          </rPr>
          <t>22.48862_Spectrum_Freq 1655150000Hz</t>
        </r>
      </text>
    </comment>
    <comment ref="BJ7" authorId="0" shapeId="0">
      <text>
        <r>
          <rPr>
            <sz val="9"/>
            <color indexed="81"/>
            <rFont val="Tahoma"/>
            <family val="2"/>
          </rPr>
          <t>22.95282_Spectrum_Freq 1691180000Hz</t>
        </r>
      </text>
    </comment>
    <comment ref="BS7" authorId="0" shapeId="0">
      <text>
        <r>
          <rPr>
            <sz val="9"/>
            <color indexed="81"/>
            <rFont val="Tahoma"/>
            <family val="2"/>
          </rPr>
          <t>23.44635_Spectrum_Freq 1649272800Hz</t>
        </r>
      </text>
    </comment>
    <comment ref="CB7" authorId="0" shapeId="0">
      <text>
        <r>
          <rPr>
            <sz val="9"/>
            <color indexed="81"/>
            <rFont val="Tahoma"/>
            <family val="2"/>
          </rPr>
          <t>23.85834_Spectrum_Freq 1696807200Hz</t>
        </r>
      </text>
    </comment>
    <comment ref="CK7" authorId="0" shapeId="0">
      <text>
        <r>
          <rPr>
            <sz val="9"/>
            <color indexed="81"/>
            <rFont val="Tahoma"/>
            <family val="2"/>
          </rPr>
          <t>22.59821_Spectrum_Freq 1661660000Hz</t>
        </r>
      </text>
    </comment>
    <comment ref="CT7" authorId="0" shapeId="0">
      <text>
        <r>
          <rPr>
            <sz val="9"/>
            <color indexed="81"/>
            <rFont val="Tahoma"/>
            <family val="2"/>
          </rPr>
          <t>22.96603_Spectrum_Freq 1688760000Hz</t>
        </r>
      </text>
    </comment>
    <comment ref="H8" authorId="0" shapeId="0">
      <text>
        <r>
          <rPr>
            <sz val="9"/>
            <color indexed="81"/>
            <rFont val="Tahoma"/>
            <family val="2"/>
          </rPr>
          <t>23.35892_Spectrum_Freq 2472150001.44Hz</t>
        </r>
      </text>
    </comment>
    <comment ref="Q8" authorId="0" shapeId="0">
      <text>
        <r>
          <rPr>
            <sz val="9"/>
            <color indexed="81"/>
            <rFont val="Tahoma"/>
            <family val="2"/>
          </rPr>
          <t>23.78418_Spectrum_Freq 2542950005.94Hz</t>
        </r>
      </text>
    </comment>
    <comment ref="Z8" authorId="0" shapeId="0">
      <text>
        <r>
          <rPr>
            <sz val="9"/>
            <color indexed="81"/>
            <rFont val="Tahoma"/>
            <family val="2"/>
          </rPr>
          <t>23.69601_Spectrum_Freq 2473004400Hz</t>
        </r>
      </text>
    </comment>
    <comment ref="AI8" authorId="0" shapeId="0">
      <text>
        <r>
          <rPr>
            <sz val="9"/>
            <color indexed="81"/>
            <rFont val="Tahoma"/>
            <family val="2"/>
          </rPr>
          <t>23.77692_Spectrum_Freq 2502886800Hz</t>
        </r>
      </text>
    </comment>
    <comment ref="AR8" authorId="0" shapeId="0">
      <text>
        <r>
          <rPr>
            <sz val="9"/>
            <color indexed="81"/>
            <rFont val="Tahoma"/>
            <family val="2"/>
          </rPr>
          <t>23.83783_Spectrum_Freq 2546046000Hz</t>
        </r>
      </text>
    </comment>
    <comment ref="BA8" authorId="0" shapeId="0">
      <text>
        <r>
          <rPr>
            <sz val="9"/>
            <color indexed="81"/>
            <rFont val="Tahoma"/>
            <family val="2"/>
          </rPr>
          <t>22.39572_Spectrum_Freq 2479665000Hz</t>
        </r>
      </text>
    </comment>
    <comment ref="BJ8" authorId="0" shapeId="0">
      <text>
        <r>
          <rPr>
            <sz val="9"/>
            <color indexed="81"/>
            <rFont val="Tahoma"/>
            <family val="2"/>
          </rPr>
          <t>22.94971_Spectrum_Freq 2543355000Hz</t>
        </r>
      </text>
    </comment>
    <comment ref="BS8" authorId="0" shapeId="0">
      <text>
        <r>
          <rPr>
            <sz val="9"/>
            <color indexed="81"/>
            <rFont val="Tahoma"/>
            <family val="2"/>
          </rPr>
          <t>23.57101_Spectrum_Freq 2473864800Hz</t>
        </r>
      </text>
    </comment>
    <comment ref="CB8" authorId="0" shapeId="0">
      <text>
        <r>
          <rPr>
            <sz val="9"/>
            <color indexed="81"/>
            <rFont val="Tahoma"/>
            <family val="2"/>
          </rPr>
          <t>23.57257_Spectrum_Freq 2545251600Hz</t>
        </r>
      </text>
    </comment>
    <comment ref="CK8" authorId="0" shapeId="0">
      <text>
        <r>
          <rPr>
            <sz val="9"/>
            <color indexed="81"/>
            <rFont val="Tahoma"/>
            <family val="2"/>
          </rPr>
          <t>22.59326_Spectrum_Freq 2487750000Hz</t>
        </r>
      </text>
    </comment>
    <comment ref="CT8" authorId="0" shapeId="0">
      <text>
        <r>
          <rPr>
            <sz val="9"/>
            <color indexed="81"/>
            <rFont val="Tahoma"/>
            <family val="2"/>
          </rPr>
          <t>23.05945_Spectrum_Freq 2540580000Hz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23.33493_Spectrum_Freq 3296984000Hz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24.07458_Spectrum_Freq 3391083200Hz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23.73953_Spectrum_Freq 3297430400Hz</t>
        </r>
      </text>
    </comment>
    <comment ref="AI9" authorId="0" shapeId="0">
      <text>
        <r>
          <rPr>
            <sz val="9"/>
            <color indexed="81"/>
            <rFont val="Tahoma"/>
            <family val="2"/>
          </rPr>
          <t>23.77646_Spectrum_Freq 3338113600Hz</t>
        </r>
      </text>
    </comment>
    <comment ref="AR9" authorId="0" shapeId="0">
      <text>
        <r>
          <rPr>
            <sz val="9"/>
            <color indexed="81"/>
            <rFont val="Tahoma"/>
            <family val="2"/>
          </rPr>
          <t>23.98193_Spectrum_Freq 3394976000Hz</t>
        </r>
      </text>
    </comment>
    <comment ref="BA9" authorId="0" shapeId="0">
      <text>
        <r>
          <rPr>
            <sz val="9"/>
            <color indexed="81"/>
            <rFont val="Tahoma"/>
            <family val="2"/>
          </rPr>
          <t>22.48746_Spectrum_Freq 3302020000Hz</t>
        </r>
      </text>
    </comment>
    <comment ref="BJ9" authorId="0" shapeId="0">
      <text>
        <r>
          <rPr>
            <sz val="9"/>
            <color indexed="81"/>
            <rFont val="Tahoma"/>
            <family val="2"/>
          </rPr>
          <t>23.0932_Spectrum_Freq 3389180000Hz</t>
        </r>
      </text>
    </comment>
    <comment ref="BS9" authorId="0" shapeId="0">
      <text>
        <r>
          <rPr>
            <sz val="9"/>
            <color indexed="81"/>
            <rFont val="Tahoma"/>
            <family val="2"/>
          </rPr>
          <t>23.4501_Spectrum_Freq 3298262400Hz</t>
        </r>
      </text>
    </comment>
    <comment ref="CB9" authorId="0" shapeId="0">
      <text>
        <r>
          <rPr>
            <sz val="9"/>
            <color indexed="81"/>
            <rFont val="Tahoma"/>
            <family val="2"/>
          </rPr>
          <t>23.86047_Spectrum_Freq 3394222400Hz</t>
        </r>
      </text>
    </comment>
    <comment ref="CK9" authorId="0" shapeId="0">
      <text>
        <r>
          <rPr>
            <sz val="9"/>
            <color indexed="81"/>
            <rFont val="Tahoma"/>
            <family val="2"/>
          </rPr>
          <t>22.60089_Spectrum_Freq 3301320000Hz</t>
        </r>
      </text>
    </comment>
    <comment ref="CT9" authorId="0" shapeId="0">
      <text>
        <r>
          <rPr>
            <sz val="9"/>
            <color indexed="81"/>
            <rFont val="Tahoma"/>
            <family val="2"/>
          </rPr>
          <t>22.95477_Spectrum_Freq 3392120000Hz</t>
        </r>
      </text>
    </comment>
    <comment ref="H10" authorId="0" shapeId="0">
      <text>
        <r>
          <rPr>
            <sz val="9"/>
            <color indexed="81"/>
            <rFont val="Tahoma"/>
            <family val="2"/>
          </rPr>
          <t>23.30933_Spectrum_Freq 4121470000Hz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>24.06638_Spectrum_Freq 4240184000Hz</t>
        </r>
      </text>
    </comment>
    <comment ref="Z10" authorId="0" shapeId="0">
      <text>
        <r>
          <rPr>
            <sz val="9"/>
            <color indexed="81"/>
            <rFont val="Tahoma"/>
            <family val="2"/>
          </rPr>
          <t>23.47769_Spectrum_Freq 4120992000Hz</t>
        </r>
      </text>
    </comment>
    <comment ref="AI10" authorId="0" shapeId="0">
      <text>
        <r>
          <rPr>
            <sz val="9"/>
            <color indexed="81"/>
            <rFont val="Tahoma"/>
            <family val="2"/>
          </rPr>
          <t>23.76855_Spectrum_Freq 4171884000Hz</t>
        </r>
      </text>
    </comment>
    <comment ref="AR10" authorId="0" shapeId="0">
      <text>
        <r>
          <rPr>
            <sz val="9"/>
            <color indexed="81"/>
            <rFont val="Tahoma"/>
            <family val="2"/>
          </rPr>
          <t>24.16373_Spectrum_Freq 4244276000Hz</t>
        </r>
      </text>
    </comment>
    <comment ref="BA10" authorId="0" shapeId="0">
      <text>
        <r>
          <rPr>
            <sz val="9"/>
            <color indexed="81"/>
            <rFont val="Tahoma"/>
            <family val="2"/>
          </rPr>
          <t>22.47577_Spectrum_Freq 4127375000Hz</t>
        </r>
      </text>
    </comment>
    <comment ref="BJ10" authorId="0" shapeId="0">
      <text>
        <r>
          <rPr>
            <sz val="9"/>
            <color indexed="81"/>
            <rFont val="Tahoma"/>
            <family val="2"/>
          </rPr>
          <t>22.94705_Spectrum_Freq 4220600000Hz</t>
        </r>
      </text>
    </comment>
    <comment ref="BS10" authorId="0" shapeId="0">
      <text>
        <r>
          <rPr>
            <sz val="9"/>
            <color indexed="81"/>
            <rFont val="Tahoma"/>
            <family val="2"/>
          </rPr>
          <t>23.37976_Spectrum_Freq 4122130000Hz</t>
        </r>
      </text>
    </comment>
    <comment ref="CB10" authorId="0" shapeId="0">
      <text>
        <r>
          <rPr>
            <sz val="9"/>
            <color indexed="81"/>
            <rFont val="Tahoma"/>
            <family val="2"/>
          </rPr>
          <t>23.68115_Spectrum_Freq 4242966000Hz</t>
        </r>
      </text>
    </comment>
    <comment ref="CK10" authorId="0" shapeId="0">
      <text>
        <r>
          <rPr>
            <sz val="9"/>
            <color indexed="81"/>
            <rFont val="Tahoma"/>
            <family val="2"/>
          </rPr>
          <t>22.60132_Spectrum_Freq 4138450000Hz</t>
        </r>
      </text>
    </comment>
    <comment ref="CT10" authorId="0" shapeId="0">
      <text>
        <r>
          <rPr>
            <sz val="9"/>
            <color indexed="81"/>
            <rFont val="Tahoma"/>
            <family val="2"/>
          </rPr>
          <t>23.05096_Spectrum_Freq 4202600000Hz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23.3494_Spectrum_Freq 4945718400Hz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>24.1272_Spectrum_Freq 5085904800Hz</t>
        </r>
      </text>
    </comment>
    <comment ref="Z11" authorId="0" shapeId="0">
      <text>
        <r>
          <rPr>
            <sz val="9"/>
            <color indexed="81"/>
            <rFont val="Tahoma"/>
            <family val="2"/>
          </rPr>
          <t>23.58893_Spectrum_Freq 4947012000Hz</t>
        </r>
      </text>
    </comment>
    <comment ref="AI11" authorId="0" shapeId="0">
      <text>
        <r>
          <rPr>
            <sz val="9"/>
            <color indexed="81"/>
            <rFont val="Tahoma"/>
            <family val="2"/>
          </rPr>
          <t>23.7742_Spectrum_Freq 5006942400Hz</t>
        </r>
      </text>
    </comment>
    <comment ref="AR11" authorId="0" shapeId="0">
      <text>
        <r>
          <rPr>
            <sz val="9"/>
            <color indexed="81"/>
            <rFont val="Tahoma"/>
            <family val="2"/>
          </rPr>
          <t>23.94327_Spectrum_Freq 5092339200Hz</t>
        </r>
      </text>
    </comment>
    <comment ref="BA11" authorId="0" shapeId="0">
      <text>
        <r>
          <rPr>
            <sz val="9"/>
            <color indexed="81"/>
            <rFont val="Tahoma"/>
            <family val="2"/>
          </rPr>
          <t>22.46265_Spectrum_Freq 4967760000Hz</t>
        </r>
      </text>
    </comment>
    <comment ref="BJ11" authorId="0" shapeId="0">
      <text>
        <r>
          <rPr>
            <sz val="9"/>
            <color indexed="81"/>
            <rFont val="Tahoma"/>
            <family val="2"/>
          </rPr>
          <t>22.94373_Spectrum_Freq 5066520000Hz</t>
        </r>
      </text>
    </comment>
    <comment ref="BS11" authorId="0" shapeId="0">
      <text>
        <r>
          <rPr>
            <sz val="9"/>
            <color indexed="81"/>
            <rFont val="Tahoma"/>
            <family val="2"/>
          </rPr>
          <t>23.36337_Spectrum_Freq 4948296000Hz</t>
        </r>
      </text>
    </comment>
    <comment ref="CB11" authorId="0" shapeId="0">
      <text>
        <r>
          <rPr>
            <sz val="9"/>
            <color indexed="81"/>
            <rFont val="Tahoma"/>
            <family val="2"/>
          </rPr>
          <t>23.99942_Spectrum_Freq 5090757600Hz</t>
        </r>
      </text>
    </comment>
    <comment ref="CK11" authorId="0" shapeId="0">
      <text>
        <r>
          <rPr>
            <sz val="9"/>
            <color indexed="81"/>
            <rFont val="Tahoma"/>
            <family val="2"/>
          </rPr>
          <t>22.59222_Spectrum_Freq 5000520000Hz</t>
        </r>
      </text>
    </comment>
    <comment ref="CT11" authorId="0" shapeId="0">
      <text>
        <r>
          <rPr>
            <sz val="9"/>
            <color indexed="81"/>
            <rFont val="Tahoma"/>
            <family val="2"/>
          </rPr>
          <t>22.95343_Spectrum_Freq 5064900000Hz</t>
        </r>
      </text>
    </comment>
    <comment ref="H12" authorId="0" shapeId="0">
      <text>
        <r>
          <rPr>
            <sz val="9"/>
            <color indexed="81"/>
            <rFont val="Tahoma"/>
            <family val="2"/>
          </rPr>
          <t>23.2153_Spectrum_Freq 5770156000Hz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>23.78369_Spectrum_Freq 5934919200Hz</t>
        </r>
      </text>
    </comment>
    <comment ref="Z12" authorId="0" shapeId="0">
      <text>
        <r>
          <rPr>
            <sz val="9"/>
            <color indexed="81"/>
            <rFont val="Tahoma"/>
            <family val="2"/>
          </rPr>
          <t>23.45135_Spectrum_Freq 5771760400Hz</t>
        </r>
      </text>
    </comment>
    <comment ref="AI12" authorId="0" shapeId="0">
      <text>
        <r>
          <rPr>
            <sz val="9"/>
            <color indexed="81"/>
            <rFont val="Tahoma"/>
            <family val="2"/>
          </rPr>
          <t>23.77261_Spectrum_Freq 5841564400Hz</t>
        </r>
      </text>
    </comment>
    <comment ref="AR12" authorId="0" shapeId="0">
      <text>
        <r>
          <rPr>
            <sz val="9"/>
            <color indexed="81"/>
            <rFont val="Tahoma"/>
            <family val="2"/>
          </rPr>
          <t>23.8219_Spectrum_Freq 5941149200Hz</t>
        </r>
      </text>
    </comment>
    <comment ref="BA12" authorId="0" shapeId="0">
      <text>
        <r>
          <rPr>
            <sz val="9"/>
            <color indexed="81"/>
            <rFont val="Tahoma"/>
            <family val="2"/>
          </rPr>
          <t>22.39816_Spectrum_Freq 5768385000Hz</t>
        </r>
      </text>
    </comment>
    <comment ref="BJ12" authorId="0" shapeId="0">
      <text>
        <r>
          <rPr>
            <sz val="9"/>
            <color indexed="81"/>
            <rFont val="Tahoma"/>
            <family val="2"/>
          </rPr>
          <t>22.94562_Spectrum_Freq 5942685000Hz</t>
        </r>
      </text>
    </comment>
    <comment ref="BS12" authorId="0" shapeId="0">
      <text>
        <r>
          <rPr>
            <sz val="9"/>
            <color indexed="81"/>
            <rFont val="Tahoma"/>
            <family val="2"/>
          </rPr>
          <t>23.37091_Spectrum_Freq 5773250000Hz</t>
        </r>
      </text>
    </comment>
    <comment ref="CB12" authorId="0" shapeId="0">
      <text>
        <r>
          <rPr>
            <sz val="9"/>
            <color indexed="81"/>
            <rFont val="Tahoma"/>
            <family val="2"/>
          </rPr>
          <t>23.99307_Spectrum_Freq 5939390800Hz</t>
        </r>
      </text>
    </comment>
    <comment ref="CK12" authorId="0" shapeId="0">
      <text>
        <r>
          <rPr>
            <sz val="9"/>
            <color indexed="81"/>
            <rFont val="Tahoma"/>
            <family val="2"/>
          </rPr>
          <t>22.59308_Spectrum_Freq 5768070000Hz</t>
        </r>
      </text>
    </comment>
    <comment ref="CT12" authorId="0" shapeId="0">
      <text>
        <r>
          <rPr>
            <sz val="9"/>
            <color indexed="81"/>
            <rFont val="Tahoma"/>
            <family val="2"/>
          </rPr>
          <t>23.04163_Spectrum_Freq 5940480000Hz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23.43433_Spectrum_Freq 6595356800Hz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23.9039_Spectrum_Freq 6783846400Hz</t>
        </r>
      </text>
    </comment>
    <comment ref="Z13" authorId="0" shapeId="0">
      <text>
        <r>
          <rPr>
            <sz val="9"/>
            <color indexed="81"/>
            <rFont val="Tahoma"/>
            <family val="2"/>
          </rPr>
          <t>23.56329_Spectrum_Freq 6595056000Hz</t>
        </r>
      </text>
    </comment>
    <comment ref="AI13" authorId="0" shapeId="0">
      <text>
        <r>
          <rPr>
            <sz val="9"/>
            <color indexed="81"/>
            <rFont val="Tahoma"/>
            <family val="2"/>
          </rPr>
          <t>23.76614_Spectrum_Freq 6673619200Hz</t>
        </r>
      </text>
    </comment>
    <comment ref="AR13" authorId="0" shapeId="0">
      <text>
        <r>
          <rPr>
            <sz val="9"/>
            <color indexed="81"/>
            <rFont val="Tahoma"/>
            <family val="2"/>
          </rPr>
          <t>24.13867_Spectrum_Freq 6790227200Hz</t>
        </r>
      </text>
    </comment>
    <comment ref="BA13" authorId="0" shapeId="0">
      <text>
        <r>
          <rPr>
            <sz val="9"/>
            <color indexed="81"/>
            <rFont val="Tahoma"/>
            <family val="2"/>
          </rPr>
          <t>22.51266_Spectrum_Freq 6626040000Hz</t>
        </r>
      </text>
    </comment>
    <comment ref="BJ13" authorId="0" shapeId="0">
      <text>
        <r>
          <rPr>
            <sz val="9"/>
            <color indexed="81"/>
            <rFont val="Tahoma"/>
            <family val="2"/>
          </rPr>
          <t>22.93912_Spectrum_Freq 6783760000Hz</t>
        </r>
      </text>
    </comment>
    <comment ref="BS13" authorId="0" shapeId="0">
      <text>
        <r>
          <rPr>
            <sz val="9"/>
            <color indexed="81"/>
            <rFont val="Tahoma"/>
            <family val="2"/>
          </rPr>
          <t>23.46722_Spectrum_Freq 6595484800Hz</t>
        </r>
      </text>
    </comment>
    <comment ref="CB13" authorId="0" shapeId="0">
      <text>
        <r>
          <rPr>
            <sz val="9"/>
            <color indexed="81"/>
            <rFont val="Tahoma"/>
            <family val="2"/>
          </rPr>
          <t>23.77725_Spectrum_Freq 6788457600Hz</t>
        </r>
      </text>
    </comment>
    <comment ref="CK13" authorId="0" shapeId="0">
      <text>
        <r>
          <rPr>
            <sz val="9"/>
            <color indexed="81"/>
            <rFont val="Tahoma"/>
            <family val="2"/>
          </rPr>
          <t>22.58173_Spectrum_Freq 6618400000Hz</t>
        </r>
      </text>
    </comment>
    <comment ref="CT13" authorId="0" shapeId="0">
      <text>
        <r>
          <rPr>
            <sz val="9"/>
            <color indexed="81"/>
            <rFont val="Tahoma"/>
            <family val="2"/>
          </rPr>
          <t>22.93948_Spectrum_Freq 6768960000Hz</t>
        </r>
      </text>
    </comment>
    <comment ref="H14" authorId="0" shapeId="0">
      <text>
        <r>
          <rPr>
            <sz val="9"/>
            <color indexed="81"/>
            <rFont val="Tahoma"/>
            <family val="2"/>
          </rPr>
          <t>23.41177_Spectrum_Freq 7416702000Hz</t>
        </r>
      </text>
    </comment>
    <comment ref="Q14" authorId="0" shapeId="0">
      <text>
        <r>
          <rPr>
            <sz val="9"/>
            <color indexed="81"/>
            <rFont val="Tahoma"/>
            <family val="2"/>
          </rPr>
          <t>24.10025_Spectrum_Freq 7629526800Hz</t>
        </r>
      </text>
    </comment>
    <comment ref="Z14" authorId="0" shapeId="0">
      <text>
        <r>
          <rPr>
            <sz val="9"/>
            <color indexed="81"/>
            <rFont val="Tahoma"/>
            <family val="2"/>
          </rPr>
          <t>23.63367_Spectrum_Freq 7420474800Hz</t>
        </r>
      </text>
    </comment>
    <comment ref="AI14" authorId="0" shapeId="0">
      <text>
        <r>
          <rPr>
            <sz val="9"/>
            <color indexed="81"/>
            <rFont val="Tahoma"/>
            <family val="2"/>
          </rPr>
          <t>23.97372_Spectrum_Freq 7508660400Hz</t>
        </r>
      </text>
    </comment>
    <comment ref="AR14" authorId="0" shapeId="0">
      <text>
        <r>
          <rPr>
            <sz val="9"/>
            <color indexed="81"/>
            <rFont val="Tahoma"/>
            <family val="2"/>
          </rPr>
          <t>23.81906_Spectrum_Freq 7636590000Hz</t>
        </r>
      </text>
    </comment>
    <comment ref="BA14" authorId="0" shapeId="0">
      <text>
        <r>
          <rPr>
            <sz val="9"/>
            <color indexed="81"/>
            <rFont val="Tahoma"/>
            <family val="2"/>
          </rPr>
          <t>22.49719_Spectrum_Freq 7452765000Hz</t>
        </r>
      </text>
    </comment>
    <comment ref="BJ14" authorId="0" shapeId="0">
      <text>
        <r>
          <rPr>
            <sz val="9"/>
            <color indexed="81"/>
            <rFont val="Tahoma"/>
            <family val="2"/>
          </rPr>
          <t>22.93967_Spectrum_Freq 7601400000Hz</t>
        </r>
      </text>
    </comment>
    <comment ref="BS14" authorId="0" shapeId="0">
      <text>
        <r>
          <rPr>
            <sz val="9"/>
            <color indexed="81"/>
            <rFont val="Tahoma"/>
            <family val="2"/>
          </rPr>
          <t>23.47433_Spectrum_Freq 7420816800Hz</t>
        </r>
      </text>
    </comment>
    <comment ref="CB14" authorId="0" shapeId="0">
      <text>
        <r>
          <rPr>
            <sz val="9"/>
            <color indexed="81"/>
            <rFont val="Tahoma"/>
            <family val="2"/>
          </rPr>
          <t>23.9906_Spectrum_Freq 7634005200Hz</t>
        </r>
      </text>
    </comment>
    <comment ref="CK14" authorId="0" shapeId="0">
      <text>
        <r>
          <rPr>
            <sz val="9"/>
            <color indexed="81"/>
            <rFont val="Tahoma"/>
            <family val="2"/>
          </rPr>
          <t>22.57401_Spectrum_Freq 7490250000Hz</t>
        </r>
      </text>
    </comment>
    <comment ref="CT14" authorId="0" shapeId="0">
      <text>
        <r>
          <rPr>
            <sz val="9"/>
            <color indexed="81"/>
            <rFont val="Tahoma"/>
            <family val="2"/>
          </rPr>
          <t>23.03882_Spectrum_Freq 7606350000Hz</t>
        </r>
      </text>
    </comment>
    <comment ref="H15" authorId="0" shapeId="0">
      <text>
        <r>
          <rPr>
            <sz val="9"/>
            <color indexed="81"/>
            <rFont val="Tahoma"/>
            <family val="2"/>
          </rPr>
          <t>23.18564_Spectrum_Freq 8242704000Hz</t>
        </r>
      </text>
    </comment>
    <comment ref="Q15" authorId="0" shapeId="0">
      <text>
        <r>
          <rPr>
            <sz val="9"/>
            <color indexed="81"/>
            <rFont val="Tahoma"/>
            <family val="2"/>
          </rPr>
          <t>23.90833_Spectrum_Freq 8480440000Hz</t>
        </r>
      </text>
    </comment>
    <comment ref="Z15" authorId="0" shapeId="0">
      <text>
        <r>
          <rPr>
            <sz val="9"/>
            <color indexed="81"/>
            <rFont val="Tahoma"/>
            <family val="2"/>
          </rPr>
          <t>23.52771_Spectrum_Freq 8244260000Hz</t>
        </r>
      </text>
    </comment>
    <comment ref="AI15" authorId="0" shapeId="0">
      <text>
        <r>
          <rPr>
            <sz val="9"/>
            <color indexed="81"/>
            <rFont val="Tahoma"/>
            <family val="2"/>
          </rPr>
          <t>23.77368_Spectrum_Freq 8345236000Hz</t>
        </r>
      </text>
    </comment>
    <comment ref="AR15" authorId="0" shapeId="0">
      <text>
        <r>
          <rPr>
            <sz val="9"/>
            <color indexed="81"/>
            <rFont val="Tahoma"/>
            <family val="2"/>
          </rPr>
          <t>23.88995_Spectrum_Freq 8487208000Hz</t>
        </r>
      </text>
    </comment>
    <comment ref="BA15" authorId="0" shapeId="0">
      <text>
        <r>
          <rPr>
            <sz val="9"/>
            <color indexed="81"/>
            <rFont val="Tahoma"/>
            <family val="2"/>
          </rPr>
          <t>22.52121_Spectrum_Freq 8259750000Hz</t>
        </r>
      </text>
    </comment>
    <comment ref="BJ15" authorId="0" shapeId="0">
      <text>
        <r>
          <rPr>
            <sz val="9"/>
            <color indexed="81"/>
            <rFont val="Tahoma"/>
            <family val="2"/>
          </rPr>
          <t>22.93896_Spectrum_Freq 8478700000Hz</t>
        </r>
      </text>
    </comment>
    <comment ref="BS15" authorId="0" shapeId="0">
      <text>
        <r>
          <rPr>
            <sz val="9"/>
            <color indexed="81"/>
            <rFont val="Tahoma"/>
            <family val="2"/>
          </rPr>
          <t>23.44965_Spectrum_Freq 8246980000Hz</t>
        </r>
      </text>
    </comment>
    <comment ref="CB15" authorId="0" shapeId="0">
      <text>
        <r>
          <rPr>
            <sz val="9"/>
            <color indexed="81"/>
            <rFont val="Tahoma"/>
            <family val="2"/>
          </rPr>
          <t>23.97501_Spectrum_Freq 8484284000Hz</t>
        </r>
      </text>
    </comment>
    <comment ref="CK15" authorId="0" shapeId="0">
      <text>
        <r>
          <rPr>
            <sz val="9"/>
            <color indexed="81"/>
            <rFont val="Tahoma"/>
            <family val="2"/>
          </rPr>
          <t>22.57391_Spectrum_Freq 8246400000Hz</t>
        </r>
      </text>
    </comment>
    <comment ref="CT15" authorId="0" shapeId="0">
      <text>
        <r>
          <rPr>
            <sz val="9"/>
            <color indexed="81"/>
            <rFont val="Tahoma"/>
            <family val="2"/>
          </rPr>
          <t>23.03049_Spectrum_Freq 8486700000Hz</t>
        </r>
      </text>
    </comment>
    <comment ref="H16" authorId="0" shapeId="0">
      <text>
        <r>
          <rPr>
            <sz val="9"/>
            <color indexed="81"/>
            <rFont val="Tahoma"/>
            <family val="2"/>
          </rPr>
          <t>23.18549_Spectrum_Freq 9065350800Hz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23.77969_Spectrum_Freq 9327577600Hz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23.52481_Spectrum_Freq 9292669560Hz</t>
        </r>
      </text>
    </comment>
    <comment ref="AI16" authorId="0" shapeId="0">
      <text>
        <r>
          <rPr>
            <sz val="9"/>
            <color indexed="81"/>
            <rFont val="Tahoma"/>
            <family val="2"/>
          </rPr>
          <t>23.75317_Spectrum_Freq 9178219600Hz</t>
        </r>
      </text>
    </comment>
    <comment ref="AR16" authorId="0" shapeId="0">
      <text>
        <r>
          <rPr>
            <sz val="9"/>
            <color indexed="81"/>
            <rFont val="Tahoma"/>
            <family val="2"/>
          </rPr>
          <t>23.8035_Spectrum_Freq 9336738400Hz</t>
        </r>
      </text>
    </comment>
    <comment ref="BA16" authorId="0" shapeId="0">
      <text>
        <r>
          <rPr>
            <sz val="9"/>
            <color indexed="81"/>
            <rFont val="Tahoma"/>
            <family val="2"/>
          </rPr>
          <t>22.37747_Spectrum_Freq 9113665000Hz</t>
        </r>
      </text>
    </comment>
    <comment ref="BJ16" authorId="0" shapeId="0">
      <text>
        <r>
          <rPr>
            <sz val="9"/>
            <color indexed="81"/>
            <rFont val="Tahoma"/>
            <family val="2"/>
          </rPr>
          <t>22.93698_Spectrum_Freq 9298960000Hz</t>
        </r>
      </text>
    </comment>
    <comment ref="BS16" authorId="0" shapeId="0">
      <text>
        <r>
          <rPr>
            <sz val="9"/>
            <color indexed="81"/>
            <rFont val="Tahoma"/>
            <family val="2"/>
          </rPr>
          <t>23.35101_Spectrum_Freq 9070177600Hz</t>
        </r>
      </text>
    </comment>
    <comment ref="CB16" authorId="0" shapeId="0">
      <text>
        <r>
          <rPr>
            <sz val="9"/>
            <color indexed="81"/>
            <rFont val="Tahoma"/>
            <family val="2"/>
          </rPr>
          <t>23.97479_Spectrum_Freq 9333940000Hz</t>
        </r>
      </text>
    </comment>
    <comment ref="CK16" authorId="0" shapeId="0">
      <text>
        <r>
          <rPr>
            <sz val="9"/>
            <color indexed="81"/>
            <rFont val="Tahoma"/>
            <family val="2"/>
          </rPr>
          <t>22.56891_Spectrum_Freq 9158380000Hz</t>
        </r>
      </text>
    </comment>
    <comment ref="CT16" authorId="0" shapeId="0">
      <text>
        <r>
          <rPr>
            <sz val="9"/>
            <color indexed="81"/>
            <rFont val="Tahoma"/>
            <family val="2"/>
          </rPr>
          <t>23.04349_Spectrum_Freq 9301490000Hz</t>
        </r>
      </text>
    </comment>
    <comment ref="H17" authorId="0" shapeId="0">
      <text>
        <r>
          <rPr>
            <sz val="9"/>
            <color indexed="81"/>
            <rFont val="Tahoma"/>
            <family val="2"/>
          </rPr>
          <t>23.2811_Spectrum_Freq 9892612800Hz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>24.09424_Spectrum_Freq 10175904000Hz</t>
        </r>
      </text>
    </comment>
    <comment ref="Z17" authorId="0" shapeId="0">
      <text>
        <r>
          <rPr>
            <sz val="9"/>
            <color indexed="81"/>
            <rFont val="Tahoma"/>
            <family val="2"/>
          </rPr>
          <t>23.49625_Spectrum_Freq 11455607560Hz</t>
        </r>
      </text>
    </comment>
    <comment ref="AI17" authorId="0" shapeId="0">
      <text>
        <r>
          <rPr>
            <sz val="9"/>
            <color indexed="81"/>
            <rFont val="Tahoma"/>
            <family val="2"/>
          </rPr>
          <t>23.63492_Spectrum_Freq 10009862400Hz</t>
        </r>
      </text>
    </comment>
    <comment ref="AR17" authorId="0" shapeId="0">
      <text>
        <r>
          <rPr>
            <sz val="9"/>
            <color indexed="81"/>
            <rFont val="Tahoma"/>
            <family val="2"/>
          </rPr>
          <t>23.93738_Spectrum_Freq 10185288000Hz</t>
        </r>
      </text>
    </comment>
    <comment ref="BA17" authorId="0" shapeId="0">
      <text>
        <r>
          <rPr>
            <sz val="9"/>
            <color indexed="81"/>
            <rFont val="Tahoma"/>
            <family val="2"/>
          </rPr>
          <t>22.38458_Spectrum_Freq 9938520000Hz</t>
        </r>
      </text>
    </comment>
    <comment ref="BJ17" authorId="0" shapeId="0">
      <text>
        <r>
          <rPr>
            <sz val="9"/>
            <color indexed="81"/>
            <rFont val="Tahoma"/>
            <family val="2"/>
          </rPr>
          <t>22.93521_Spectrum_Freq 10179360000Hz</t>
        </r>
      </text>
    </comment>
    <comment ref="BS17" authorId="0" shapeId="0">
      <text>
        <r>
          <rPr>
            <sz val="9"/>
            <color indexed="81"/>
            <rFont val="Tahoma"/>
            <family val="2"/>
          </rPr>
          <t>23.44028_Spectrum_Freq 9896121600Hz</t>
        </r>
      </text>
    </comment>
    <comment ref="CB17" authorId="0" shapeId="0">
      <text>
        <r>
          <rPr>
            <sz val="9"/>
            <color indexed="81"/>
            <rFont val="Tahoma"/>
            <family val="2"/>
          </rPr>
          <t>23.7803_Spectrum_Freq 10179230400Hz</t>
        </r>
      </text>
    </comment>
    <comment ref="CK17" authorId="0" shapeId="0">
      <text>
        <r>
          <rPr>
            <sz val="9"/>
            <color indexed="81"/>
            <rFont val="Tahoma"/>
            <family val="2"/>
          </rPr>
          <t>22.69791_Spectrum_Freq 10007520000Hz</t>
        </r>
      </text>
    </comment>
    <comment ref="CT17" authorId="0" shapeId="0">
      <text>
        <r>
          <rPr>
            <sz val="9"/>
            <color indexed="81"/>
            <rFont val="Tahoma"/>
            <family val="2"/>
          </rPr>
          <t>23.03473_Spectrum_Freq 10116600000Hz</t>
        </r>
      </text>
    </comment>
    <comment ref="H18" authorId="0" shapeId="0">
      <text>
        <r>
          <rPr>
            <sz val="9"/>
            <color indexed="81"/>
            <rFont val="Tahoma"/>
            <family val="2"/>
          </rPr>
          <t>23.35452_Spectrum_Freq 10715478800Hz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>23.8808_Spectrum_Freq 11022055200Hz</t>
        </r>
      </text>
    </comment>
    <comment ref="Z18" authorId="0" shapeId="0">
      <text>
        <r>
          <rPr>
            <sz val="9"/>
            <color indexed="81"/>
            <rFont val="Tahoma"/>
            <family val="2"/>
          </rPr>
          <t>23.6925_Spectrum_Freq 10718401200Hz</t>
        </r>
      </text>
    </comment>
    <comment ref="AI18" authorId="0" shapeId="0">
      <text>
        <r>
          <rPr>
            <sz val="9"/>
            <color indexed="81"/>
            <rFont val="Tahoma"/>
            <family val="2"/>
          </rPr>
          <t>23.74362_Spectrum_Freq 10844080000Hz</t>
        </r>
      </text>
    </comment>
    <comment ref="AR18" authorId="0" shapeId="0">
      <text>
        <r>
          <rPr>
            <sz val="9"/>
            <color indexed="81"/>
            <rFont val="Tahoma"/>
            <family val="2"/>
          </rPr>
          <t>23.93036_Spectrum_Freq 11031274800Hz</t>
        </r>
      </text>
    </comment>
    <comment ref="BA18" authorId="0" shapeId="0">
      <text>
        <r>
          <rPr>
            <sz val="9"/>
            <color indexed="81"/>
            <rFont val="Tahoma"/>
            <family val="2"/>
          </rPr>
          <t>22.50143_Spectrum_Freq 10717720000Hz</t>
        </r>
      </text>
    </comment>
    <comment ref="BJ18" authorId="0" shapeId="0">
      <text>
        <r>
          <rPr>
            <sz val="9"/>
            <color indexed="81"/>
            <rFont val="Tahoma"/>
            <family val="2"/>
          </rPr>
          <t>22.94339_Spectrum_Freq 11016070000Hz</t>
        </r>
      </text>
    </comment>
    <comment ref="BS18" authorId="0" shapeId="0">
      <text>
        <r>
          <rPr>
            <sz val="9"/>
            <color indexed="81"/>
            <rFont val="Tahoma"/>
            <family val="2"/>
          </rPr>
          <t>23.43909_Spectrum_Freq 10718848400Hz</t>
        </r>
      </text>
    </comment>
    <comment ref="CB18" authorId="0" shapeId="0">
      <text>
        <r>
          <rPr>
            <sz val="9"/>
            <color indexed="81"/>
            <rFont val="Tahoma"/>
            <family val="2"/>
          </rPr>
          <t>23.77582_Spectrum_Freq 11031774000Hz</t>
        </r>
      </text>
    </comment>
    <comment ref="CK18" authorId="0" shapeId="0">
      <text>
        <r>
          <rPr>
            <sz val="9"/>
            <color indexed="81"/>
            <rFont val="Tahoma"/>
            <family val="2"/>
          </rPr>
          <t>22.56931_Spectrum_Freq 10713430000Hz</t>
        </r>
      </text>
    </comment>
    <comment ref="CT18" authorId="0" shapeId="0">
      <text>
        <r>
          <rPr>
            <sz val="9"/>
            <color indexed="81"/>
            <rFont val="Tahoma"/>
            <family val="2"/>
          </rPr>
          <t>23.03555_Spectrum_Freq 11024390000Hz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23.37009_Spectrum_Freq 11538380000Hz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>23.76288_Spectrum_Freq 11872168000Hz</t>
        </r>
      </text>
    </comment>
    <comment ref="Z19" authorId="0" shapeId="0">
      <text>
        <r>
          <rPr>
            <sz val="9"/>
            <color indexed="81"/>
            <rFont val="Tahoma"/>
            <family val="2"/>
          </rPr>
          <t>23.57199_Spectrum_Freq 11538296000Hz</t>
        </r>
      </text>
    </comment>
    <comment ref="AI19" authorId="0" shapeId="0">
      <text>
        <r>
          <rPr>
            <sz val="9"/>
            <color indexed="81"/>
            <rFont val="Tahoma"/>
            <family val="2"/>
          </rPr>
          <t>23.63556_Spectrum_Freq 11678116800Hz</t>
        </r>
      </text>
    </comment>
    <comment ref="AR19" authorId="0" shapeId="0">
      <text>
        <r>
          <rPr>
            <sz val="9"/>
            <color indexed="81"/>
            <rFont val="Tahoma"/>
            <family val="2"/>
          </rPr>
          <t>23.93375_Spectrum_Freq 11881693600Hz</t>
        </r>
      </text>
    </comment>
    <comment ref="BA19" authorId="0" shapeId="0">
      <text>
        <r>
          <rPr>
            <sz val="9"/>
            <color indexed="81"/>
            <rFont val="Tahoma"/>
            <family val="2"/>
          </rPr>
          <t>22.49194_Spectrum_Freq 11543210000Hz</t>
        </r>
      </text>
    </comment>
    <comment ref="BJ19" authorId="0" shapeId="0">
      <text>
        <r>
          <rPr>
            <sz val="9"/>
            <color indexed="81"/>
            <rFont val="Tahoma"/>
            <family val="2"/>
          </rPr>
          <t>22.93628_Spectrum_Freq 11886000000Hz</t>
        </r>
      </text>
    </comment>
    <comment ref="BS19" authorId="0" shapeId="0">
      <text>
        <r>
          <rPr>
            <sz val="9"/>
            <color indexed="81"/>
            <rFont val="Tahoma"/>
            <family val="2"/>
          </rPr>
          <t>23.54959_Spectrum_Freq 11544870400Hz</t>
        </r>
      </text>
    </comment>
    <comment ref="CB19" authorId="0" shapeId="0">
      <text>
        <r>
          <rPr>
            <sz val="9"/>
            <color indexed="81"/>
            <rFont val="Tahoma"/>
            <family val="2"/>
          </rPr>
          <t>23.97928_Spectrum_Freq 11880064000Hz</t>
        </r>
      </text>
    </comment>
    <comment ref="CK19" authorId="0" shapeId="0">
      <text>
        <r>
          <rPr>
            <sz val="9"/>
            <color indexed="81"/>
            <rFont val="Tahoma"/>
            <family val="2"/>
          </rPr>
          <t>22.57449_Spectrum_Freq 11539360000Hz</t>
        </r>
      </text>
    </comment>
    <comment ref="CT19" authorId="0" shapeId="0">
      <text>
        <r>
          <rPr>
            <sz val="9"/>
            <color indexed="81"/>
            <rFont val="Tahoma"/>
            <family val="2"/>
          </rPr>
          <t>23.03055_Spectrum_Freq 11884180000Hz</t>
        </r>
      </text>
    </comment>
  </commentList>
</comments>
</file>

<file path=xl/comments7.xml><?xml version="1.0" encoding="utf-8"?>
<comments xmlns="http://schemas.openxmlformats.org/spreadsheetml/2006/main">
  <authors>
    <author>Long, WANG (HW-NB-TCT)</author>
  </authors>
  <commentList>
    <comment ref="H7" authorId="0" shapeId="0">
      <text>
        <r>
          <rPr>
            <sz val="9"/>
            <color indexed="81"/>
            <rFont val="Tahoma"/>
            <family val="2"/>
          </rPr>
          <t>24.61664_Spectrum_Freq 5000604000Hz</t>
        </r>
      </text>
    </comment>
    <comment ref="Q7" authorId="0" shapeId="0">
      <text>
        <r>
          <rPr>
            <sz val="9"/>
            <color indexed="81"/>
            <rFont val="Tahoma"/>
            <family val="2"/>
          </rPr>
          <t>23.82678_Spectrum_Freq 5065684000Hz</t>
        </r>
      </text>
    </comment>
    <comment ref="Z7" authorId="0" shapeId="0">
      <text>
        <r>
          <rPr>
            <sz val="9"/>
            <color indexed="81"/>
            <rFont val="Tahoma"/>
            <family val="2"/>
          </rPr>
          <t>23.3519_Spectrum_Freq 5139316000Hz</t>
        </r>
      </text>
    </comment>
    <comment ref="AI7" authorId="0" shapeId="0">
      <text>
        <r>
          <rPr>
            <sz val="9"/>
            <color indexed="81"/>
            <rFont val="Tahoma"/>
            <family val="2"/>
          </rPr>
          <t>23.15396_Spectrum_Freq 5004920000Hz</t>
        </r>
      </text>
    </comment>
    <comment ref="AR7" authorId="0" shapeId="0">
      <text>
        <r>
          <rPr>
            <sz val="9"/>
            <color indexed="81"/>
            <rFont val="Tahoma"/>
            <family val="2"/>
          </rPr>
          <t>23.07004_Spectrum_Freq 5134980000Hz</t>
        </r>
      </text>
    </comment>
    <comment ref="BA7" authorId="0" shapeId="0">
      <text>
        <r>
          <rPr>
            <sz val="9"/>
            <color indexed="81"/>
            <rFont val="Tahoma"/>
            <family val="2"/>
          </rPr>
          <t>24.43744_Spectrum_Freq 5002051200Hz</t>
        </r>
      </text>
    </comment>
    <comment ref="BJ7" authorId="0" shapeId="0">
      <text>
        <r>
          <rPr>
            <sz val="9"/>
            <color indexed="81"/>
            <rFont val="Tahoma"/>
            <family val="2"/>
          </rPr>
          <t>23.43057_Spectrum_Freq 5137796800Hz</t>
        </r>
      </text>
    </comment>
    <comment ref="BS7" authorId="0" shapeId="0">
      <text>
        <r>
          <rPr>
            <sz val="9"/>
            <color indexed="81"/>
            <rFont val="Tahoma"/>
            <family val="2"/>
          </rPr>
          <t>23.3855_Spectrum_Freq 5029280000Hz</t>
        </r>
      </text>
    </comment>
    <comment ref="CB7" authorId="0" shapeId="0">
      <text>
        <r>
          <rPr>
            <sz val="9"/>
            <color indexed="81"/>
            <rFont val="Tahoma"/>
            <family val="2"/>
          </rPr>
          <t>23.03604_Spectrum_Freq 5130200000Hz</t>
        </r>
      </text>
    </comment>
    <comment ref="H8" authorId="0" shapeId="0">
      <text>
        <r>
          <rPr>
            <sz val="9"/>
            <color indexed="81"/>
            <rFont val="Tahoma"/>
            <family val="2"/>
          </rPr>
          <t>24.54083_Spectrum_Freq 7501257600Hz</t>
        </r>
      </text>
    </comment>
    <comment ref="Q8" authorId="0" shapeId="0">
      <text>
        <r>
          <rPr>
            <sz val="9"/>
            <color indexed="81"/>
            <rFont val="Tahoma"/>
            <family val="2"/>
          </rPr>
          <t>23.86066_Spectrum_Freq 7598400000Hz</t>
        </r>
      </text>
    </comment>
    <comment ref="Z8" authorId="0" shapeId="0">
      <text>
        <r>
          <rPr>
            <sz val="9"/>
            <color indexed="81"/>
            <rFont val="Tahoma"/>
            <family val="2"/>
          </rPr>
          <t>23.28503_Spectrum_Freq 7708910400Hz</t>
        </r>
      </text>
    </comment>
    <comment ref="AI8" authorId="0" shapeId="0">
      <text>
        <r>
          <rPr>
            <sz val="9"/>
            <color indexed="81"/>
            <rFont val="Tahoma"/>
            <family val="2"/>
          </rPr>
          <t>23.20663_Spectrum_Freq 7513575000Hz</t>
        </r>
      </text>
    </comment>
    <comment ref="AR8" authorId="0" shapeId="0">
      <text>
        <r>
          <rPr>
            <sz val="9"/>
            <color indexed="81"/>
            <rFont val="Tahoma"/>
            <family val="2"/>
          </rPr>
          <t>23.03873_Spectrum_Freq 7702785000Hz</t>
        </r>
      </text>
    </comment>
    <comment ref="BA8" authorId="0" shapeId="0">
      <text>
        <r>
          <rPr>
            <sz val="9"/>
            <color indexed="81"/>
            <rFont val="Tahoma"/>
            <family val="2"/>
          </rPr>
          <t>24.59558_Spectrum_Freq 7503302400Hz</t>
        </r>
      </text>
    </comment>
    <comment ref="BJ8" authorId="0" shapeId="0">
      <text>
        <r>
          <rPr>
            <sz val="9"/>
            <color indexed="81"/>
            <rFont val="Tahoma"/>
            <family val="2"/>
          </rPr>
          <t>23.38333_Spectrum_Freq 7706743200Hz</t>
        </r>
      </text>
    </comment>
    <comment ref="BS8" authorId="0" shapeId="0">
      <text>
        <r>
          <rPr>
            <sz val="9"/>
            <color indexed="81"/>
            <rFont val="Tahoma"/>
            <family val="2"/>
          </rPr>
          <t>23.37286_Spectrum_Freq 7559220000Hz</t>
        </r>
      </text>
    </comment>
    <comment ref="CB8" authorId="0" shapeId="0">
      <text>
        <r>
          <rPr>
            <sz val="9"/>
            <color indexed="81"/>
            <rFont val="Tahoma"/>
            <family val="2"/>
          </rPr>
          <t>22.52713_Spectrum_Freq 7661460000Hz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24.45822_Spectrum_Freq 10001392000Hz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24.05301_Spectrum_Freq 10131390400Hz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23.23883_Spectrum_Freq 10279424000Hz</t>
        </r>
      </text>
    </comment>
    <comment ref="AI9" authorId="0" shapeId="0">
      <text>
        <r>
          <rPr>
            <sz val="9"/>
            <color indexed="81"/>
            <rFont val="Tahoma"/>
            <family val="2"/>
          </rPr>
          <t>23.19794_Spectrum_Freq 10012100000Hz</t>
        </r>
      </text>
    </comment>
    <comment ref="AR9" authorId="0" shapeId="0">
      <text>
        <r>
          <rPr>
            <sz val="9"/>
            <color indexed="81"/>
            <rFont val="Tahoma"/>
            <family val="2"/>
          </rPr>
          <t>22.49521_Spectrum_Freq 10262920000Hz</t>
        </r>
      </text>
    </comment>
    <comment ref="BA9" authorId="0" shapeId="0">
      <text>
        <r>
          <rPr>
            <sz val="9"/>
            <color indexed="81"/>
            <rFont val="Tahoma"/>
            <family val="2"/>
          </rPr>
          <t>24.43573_Spectrum_Freq 10004792000Hz</t>
        </r>
      </text>
    </comment>
    <comment ref="BJ9" authorId="0" shapeId="0">
      <text>
        <r>
          <rPr>
            <sz val="9"/>
            <color indexed="81"/>
            <rFont val="Tahoma"/>
            <family val="2"/>
          </rPr>
          <t>23.36163_Spectrum_Freq 10275430400Hz</t>
        </r>
      </text>
    </comment>
    <comment ref="BS9" authorId="0" shapeId="0">
      <text>
        <r>
          <rPr>
            <sz val="9"/>
            <color indexed="81"/>
            <rFont val="Tahoma"/>
            <family val="2"/>
          </rPr>
          <t>23.19321_Spectrum_Freq 10021760000Hz</t>
        </r>
      </text>
    </comment>
    <comment ref="CB9" authorId="0" shapeId="0">
      <text>
        <r>
          <rPr>
            <sz val="9"/>
            <color indexed="81"/>
            <rFont val="Tahoma"/>
            <family val="2"/>
          </rPr>
          <t>22.51611_Spectrum_Freq 10204560000Hz</t>
        </r>
      </text>
    </comment>
  </commentList>
</comments>
</file>

<file path=xl/comments8.xml><?xml version="1.0" encoding="utf-8"?>
<comments xmlns="http://schemas.openxmlformats.org/spreadsheetml/2006/main">
  <authors>
    <author>Long, WANG (HW-NB-TCT)</author>
  </authors>
  <commentList>
    <comment ref="H7" authorId="0" shapeId="0">
      <text>
        <r>
          <rPr>
            <sz val="9"/>
            <color indexed="81"/>
            <rFont val="Tahoma"/>
            <family val="2"/>
          </rPr>
          <t>24.27649_Spectrum_Freq 1760560000Hz</t>
        </r>
      </text>
    </comment>
    <comment ref="Q7" authorId="0" shapeId="0">
      <text>
        <r>
          <rPr>
            <sz val="9"/>
            <color indexed="81"/>
            <rFont val="Tahoma"/>
            <family val="2"/>
          </rPr>
          <t>24.57495_Spectrum_Freq 1827944000Hz</t>
        </r>
      </text>
    </comment>
    <comment ref="Z7" authorId="0" shapeId="0">
      <text>
        <r>
          <rPr>
            <sz val="9"/>
            <color indexed="81"/>
            <rFont val="Tahoma"/>
            <family val="2"/>
          </rPr>
          <t>24.31958_Spectrum_Freq 1760620800Hz</t>
        </r>
      </text>
    </comment>
    <comment ref="AI7" authorId="0" shapeId="0">
      <text>
        <r>
          <rPr>
            <sz val="9"/>
            <color indexed="81"/>
            <rFont val="Tahoma"/>
            <family val="2"/>
          </rPr>
          <t>24.28546_Spectrum_Freq 1790717600Hz</t>
        </r>
      </text>
    </comment>
    <comment ref="AR7" authorId="0" shapeId="0">
      <text>
        <r>
          <rPr>
            <sz val="9"/>
            <color indexed="81"/>
            <rFont val="Tahoma"/>
            <family val="2"/>
          </rPr>
          <t>24.31824_Spectrum_Freq 1829254400Hz</t>
        </r>
      </text>
    </comment>
    <comment ref="BA7" authorId="0" shapeId="0">
      <text>
        <r>
          <rPr>
            <sz val="9"/>
            <color indexed="81"/>
            <rFont val="Tahoma"/>
            <family val="2"/>
          </rPr>
          <t>23.2937_Spectrum_Freq 1764810000Hz</t>
        </r>
      </text>
    </comment>
    <comment ref="BJ7" authorId="0" shapeId="0">
      <text>
        <r>
          <rPr>
            <sz val="9"/>
            <color indexed="81"/>
            <rFont val="Tahoma"/>
            <family val="2"/>
          </rPr>
          <t>23.53482_Spectrum_Freq 1825000000Hz</t>
        </r>
      </text>
    </comment>
    <comment ref="BS7" authorId="0" shapeId="0">
      <text>
        <r>
          <rPr>
            <sz val="9"/>
            <color indexed="81"/>
            <rFont val="Tahoma"/>
            <family val="2"/>
          </rPr>
          <t>24.23688_Spectrum_Freq 1761083200Hz</t>
        </r>
      </text>
    </comment>
    <comment ref="CB7" authorId="0" shapeId="0">
      <text>
        <r>
          <rPr>
            <sz val="9"/>
            <color indexed="81"/>
            <rFont val="Tahoma"/>
            <family val="2"/>
          </rPr>
          <t>24.29703_Spectrum_Freq 1828896800Hz</t>
        </r>
      </text>
    </comment>
    <comment ref="CK7" authorId="0" shapeId="0">
      <text>
        <r>
          <rPr>
            <sz val="9"/>
            <color indexed="81"/>
            <rFont val="Tahoma"/>
            <family val="2"/>
          </rPr>
          <t>23.3757_Spectrum_Freq 1776720000Hz</t>
        </r>
      </text>
    </comment>
    <comment ref="CT7" authorId="0" shapeId="0">
      <text>
        <r>
          <rPr>
            <sz val="9"/>
            <color indexed="81"/>
            <rFont val="Tahoma"/>
            <family val="2"/>
          </rPr>
          <t>23.64774_Spectrum_Freq 1810080000Hz</t>
        </r>
      </text>
    </comment>
    <comment ref="H8" authorId="0" shapeId="0">
      <text>
        <r>
          <rPr>
            <sz val="9"/>
            <color indexed="81"/>
            <rFont val="Tahoma"/>
            <family val="2"/>
          </rPr>
          <t>24.32523_Spectrum_Freq 2640150000.28Hz</t>
        </r>
      </text>
    </comment>
    <comment ref="Q8" authorId="0" shapeId="0">
      <text>
        <r>
          <rPr>
            <sz val="9"/>
            <color indexed="81"/>
            <rFont val="Tahoma"/>
            <family val="2"/>
          </rPr>
          <t>24.61865_Spectrum_Freq 2740950009.61Hz</t>
        </r>
      </text>
    </comment>
    <comment ref="Z8" authorId="0" shapeId="0">
      <text>
        <r>
          <rPr>
            <sz val="9"/>
            <color indexed="81"/>
            <rFont val="Tahoma"/>
            <family val="2"/>
          </rPr>
          <t>24.31003_Spectrum_Freq 2640650400Hz</t>
        </r>
      </text>
    </comment>
    <comment ref="AI8" authorId="0" shapeId="0">
      <text>
        <r>
          <rPr>
            <sz val="9"/>
            <color indexed="81"/>
            <rFont val="Tahoma"/>
            <family val="2"/>
          </rPr>
          <t>24.28552_Spectrum_Freq 2686273200Hz</t>
        </r>
      </text>
    </comment>
    <comment ref="AR8" authorId="0" shapeId="0">
      <text>
        <r>
          <rPr>
            <sz val="9"/>
            <color indexed="81"/>
            <rFont val="Tahoma"/>
            <family val="2"/>
          </rPr>
          <t>24.30521_Spectrum_Freq 2744302800Hz</t>
        </r>
      </text>
    </comment>
    <comment ref="BA8" authorId="0" shapeId="0">
      <text>
        <r>
          <rPr>
            <sz val="9"/>
            <color indexed="81"/>
            <rFont val="Tahoma"/>
            <family val="2"/>
          </rPr>
          <t>23.29773_Spectrum_Freq 2646330000Hz</t>
        </r>
      </text>
    </comment>
    <comment ref="BJ8" authorId="0" shapeId="0">
      <text>
        <r>
          <rPr>
            <sz val="9"/>
            <color indexed="81"/>
            <rFont val="Tahoma"/>
            <family val="2"/>
          </rPr>
          <t>23.52701_Spectrum_Freq 2733060000Hz</t>
        </r>
      </text>
    </comment>
    <comment ref="BS8" authorId="0" shapeId="0">
      <text>
        <r>
          <rPr>
            <sz val="9"/>
            <color indexed="81"/>
            <rFont val="Tahoma"/>
            <family val="2"/>
          </rPr>
          <t>23.85507_Spectrum_Freq 2641390800Hz</t>
        </r>
      </text>
    </comment>
    <comment ref="CB8" authorId="0" shapeId="0">
      <text>
        <r>
          <rPr>
            <sz val="9"/>
            <color indexed="81"/>
            <rFont val="Tahoma"/>
            <family val="2"/>
          </rPr>
          <t>24.28018_Spectrum_Freq 2743124400Hz</t>
        </r>
      </text>
    </comment>
    <comment ref="CK8" authorId="0" shapeId="0">
      <text>
        <r>
          <rPr>
            <sz val="9"/>
            <color indexed="81"/>
            <rFont val="Tahoma"/>
            <family val="2"/>
          </rPr>
          <t>23.40781_Spectrum_Freq 2668950000Hz</t>
        </r>
      </text>
    </comment>
    <comment ref="CT8" authorId="0" shapeId="0">
      <text>
        <r>
          <rPr>
            <sz val="9"/>
            <color indexed="81"/>
            <rFont val="Tahoma"/>
            <family val="2"/>
          </rPr>
          <t>23.5416_Spectrum_Freq 2717460000Hz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23.96564_Spectrum_Freq 3520259200Hz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24.14038_Spectrum_Freq 3655454400Hz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24.32056_Spectrum_Freq 3521662400Hz</t>
        </r>
      </text>
    </comment>
    <comment ref="AI9" authorId="0" shapeId="0">
      <text>
        <r>
          <rPr>
            <sz val="9"/>
            <color indexed="81"/>
            <rFont val="Tahoma"/>
            <family val="2"/>
          </rPr>
          <t>24.18451_Spectrum_Freq 3580833600Hz</t>
        </r>
      </text>
    </comment>
    <comment ref="AR9" authorId="0" shapeId="0">
      <text>
        <r>
          <rPr>
            <sz val="9"/>
            <color indexed="81"/>
            <rFont val="Tahoma"/>
            <family val="2"/>
          </rPr>
          <t>24.35779_Spectrum_Freq 3658592000Hz</t>
        </r>
      </text>
    </comment>
    <comment ref="BA9" authorId="0" shapeId="0">
      <text>
        <r>
          <rPr>
            <sz val="9"/>
            <color indexed="81"/>
            <rFont val="Tahoma"/>
            <family val="2"/>
          </rPr>
          <t>23.29947_Spectrum_Freq 3522140000Hz</t>
        </r>
      </text>
    </comment>
    <comment ref="BJ9" authorId="0" shapeId="0">
      <text>
        <r>
          <rPr>
            <sz val="9"/>
            <color indexed="81"/>
            <rFont val="Tahoma"/>
            <family val="2"/>
          </rPr>
          <t>23.53467_Spectrum_Freq 3644460000Hz</t>
        </r>
      </text>
    </comment>
    <comment ref="BS9" authorId="0" shapeId="0">
      <text>
        <r>
          <rPr>
            <sz val="9"/>
            <color indexed="81"/>
            <rFont val="Tahoma"/>
            <family val="2"/>
          </rPr>
          <t>23.97391_Spectrum_Freq 3522624000Hz</t>
        </r>
      </text>
    </comment>
    <comment ref="CB9" authorId="0" shapeId="0">
      <text>
        <r>
          <rPr>
            <sz val="9"/>
            <color indexed="81"/>
            <rFont val="Tahoma"/>
            <family val="2"/>
          </rPr>
          <t>24.59036_Spectrum_Freq 3657404800Hz</t>
        </r>
      </text>
    </comment>
    <comment ref="CK9" authorId="0" shapeId="0">
      <text>
        <r>
          <rPr>
            <sz val="9"/>
            <color indexed="81"/>
            <rFont val="Tahoma"/>
            <family val="2"/>
          </rPr>
          <t>23.38681_Spectrum_Freq 3558120000Hz</t>
        </r>
      </text>
    </comment>
    <comment ref="CT9" authorId="0" shapeId="0">
      <text>
        <r>
          <rPr>
            <sz val="9"/>
            <color indexed="81"/>
            <rFont val="Tahoma"/>
            <family val="2"/>
          </rPr>
          <t>23.53406_Spectrum_Freq 3627720000Hz</t>
        </r>
      </text>
    </comment>
    <comment ref="H10" authorId="0" shapeId="0">
      <text>
        <r>
          <rPr>
            <sz val="9"/>
            <color indexed="81"/>
            <rFont val="Tahoma"/>
            <family val="2"/>
          </rPr>
          <t>23.97122_Spectrum_Freq 4401752000Hz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>24.12579_Spectrum_Freq 4568260000Hz</t>
        </r>
      </text>
    </comment>
    <comment ref="Z10" authorId="0" shapeId="0">
      <text>
        <r>
          <rPr>
            <sz val="9"/>
            <color indexed="81"/>
            <rFont val="Tahoma"/>
            <family val="2"/>
          </rPr>
          <t>23.98422_Spectrum_Freq 4402294000Hz</t>
        </r>
      </text>
    </comment>
    <comment ref="AI10" authorId="0" shapeId="0">
      <text>
        <r>
          <rPr>
            <sz val="9"/>
            <color indexed="81"/>
            <rFont val="Tahoma"/>
            <family val="2"/>
          </rPr>
          <t>24.27243_Spectrum_Freq 4475752000Hz</t>
        </r>
      </text>
    </comment>
    <comment ref="AR10" authorId="0" shapeId="0">
      <text>
        <r>
          <rPr>
            <sz val="9"/>
            <color indexed="81"/>
            <rFont val="Tahoma"/>
            <family val="2"/>
          </rPr>
          <t>24.6799_Spectrum_Freq 4573710000Hz</t>
        </r>
      </text>
    </comment>
    <comment ref="BA10" authorId="0" shapeId="0">
      <text>
        <r>
          <rPr>
            <sz val="9"/>
            <color indexed="81"/>
            <rFont val="Tahoma"/>
            <family val="2"/>
          </rPr>
          <t>23.3092_Spectrum_Freq 4417550000Hz</t>
        </r>
      </text>
    </comment>
    <comment ref="BJ10" authorId="0" shapeId="0">
      <text>
        <r>
          <rPr>
            <sz val="9"/>
            <color indexed="81"/>
            <rFont val="Tahoma"/>
            <family val="2"/>
          </rPr>
          <t>23.50232_Spectrum_Freq 4563775000Hz</t>
        </r>
      </text>
    </comment>
    <comment ref="BS10" authorId="0" shapeId="0">
      <text>
        <r>
          <rPr>
            <sz val="9"/>
            <color indexed="81"/>
            <rFont val="Tahoma"/>
            <family val="2"/>
          </rPr>
          <t>23.84372_Spectrum_Freq 4403700000Hz</t>
        </r>
      </text>
    </comment>
    <comment ref="CB10" authorId="0" shapeId="0">
      <text>
        <r>
          <rPr>
            <sz val="9"/>
            <color indexed="81"/>
            <rFont val="Tahoma"/>
            <family val="2"/>
          </rPr>
          <t>24.24478_Spectrum_Freq 4571386000Hz</t>
        </r>
      </text>
    </comment>
    <comment ref="CK10" authorId="0" shapeId="0">
      <text>
        <r>
          <rPr>
            <sz val="9"/>
            <color indexed="81"/>
            <rFont val="Tahoma"/>
            <family val="2"/>
          </rPr>
          <t>23.38873_Spectrum_Freq 4448100000Hz</t>
        </r>
      </text>
    </comment>
    <comment ref="CT10" authorId="0" shapeId="0">
      <text>
        <r>
          <rPr>
            <sz val="9"/>
            <color indexed="81"/>
            <rFont val="Tahoma"/>
            <family val="2"/>
          </rPr>
          <t>23.52042_Spectrum_Freq 4559200000Hz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23.95499_Spectrum_Freq 5281509600Hz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>24.67175_Spectrum_Freq 5482425600Hz</t>
        </r>
      </text>
    </comment>
    <comment ref="Z11" authorId="0" shapeId="0">
      <text>
        <r>
          <rPr>
            <sz val="9"/>
            <color indexed="81"/>
            <rFont val="Tahoma"/>
            <family val="2"/>
          </rPr>
          <t>24.30353_Spectrum_Freq 5283009600Hz</t>
        </r>
      </text>
    </comment>
    <comment ref="AI11" authorId="0" shapeId="0">
      <text>
        <r>
          <rPr>
            <sz val="9"/>
            <color indexed="81"/>
            <rFont val="Tahoma"/>
            <family val="2"/>
          </rPr>
          <t>24.37759_Spectrum_Freq 5371116000Hz</t>
        </r>
      </text>
    </comment>
    <comment ref="AR11" authorId="0" shapeId="0">
      <text>
        <r>
          <rPr>
            <sz val="9"/>
            <color indexed="81"/>
            <rFont val="Tahoma"/>
            <family val="2"/>
          </rPr>
          <t>24.21542_Spectrum_Freq 5487832800Hz</t>
        </r>
      </text>
    </comment>
    <comment ref="BA11" authorId="0" shapeId="0">
      <text>
        <r>
          <rPr>
            <sz val="9"/>
            <color indexed="81"/>
            <rFont val="Tahoma"/>
            <family val="2"/>
          </rPr>
          <t>23.31677_Spectrum_Freq 5293560000Hz</t>
        </r>
      </text>
    </comment>
    <comment ref="BJ11" authorId="0" shapeId="0">
      <text>
        <r>
          <rPr>
            <sz val="9"/>
            <color indexed="81"/>
            <rFont val="Tahoma"/>
            <family val="2"/>
          </rPr>
          <t>23.50052_Spectrum_Freq 5489400000Hz</t>
        </r>
      </text>
    </comment>
    <comment ref="BS11" authorId="0" shapeId="0">
      <text>
        <r>
          <rPr>
            <sz val="9"/>
            <color indexed="81"/>
            <rFont val="Tahoma"/>
            <family val="2"/>
          </rPr>
          <t>23.97275_Spectrum_Freq 5283204000Hz</t>
        </r>
      </text>
    </comment>
    <comment ref="CB11" authorId="0" shapeId="0">
      <text>
        <r>
          <rPr>
            <sz val="9"/>
            <color indexed="81"/>
            <rFont val="Tahoma"/>
            <family val="2"/>
          </rPr>
          <t>24.12924_Spectrum_Freq 5487600000Hz</t>
        </r>
      </text>
    </comment>
    <comment ref="CK11" authorId="0" shapeId="0">
      <text>
        <r>
          <rPr>
            <sz val="9"/>
            <color indexed="81"/>
            <rFont val="Tahoma"/>
            <family val="2"/>
          </rPr>
          <t>23.41663_Spectrum_Freq 5334420000Hz</t>
        </r>
      </text>
    </comment>
    <comment ref="CT11" authorId="0" shapeId="0">
      <text>
        <r>
          <rPr>
            <sz val="9"/>
            <color indexed="81"/>
            <rFont val="Tahoma"/>
            <family val="2"/>
          </rPr>
          <t>23.53348_Spectrum_Freq 5489280000Hz</t>
        </r>
      </text>
    </comment>
    <comment ref="H12" authorId="0" shapeId="0">
      <text>
        <r>
          <rPr>
            <sz val="9"/>
            <color indexed="81"/>
            <rFont val="Tahoma"/>
            <family val="2"/>
          </rPr>
          <t>24.21576_Spectrum_Freq 6162766400Hz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>24.6496_Spectrum_Freq 6397888000Hz</t>
        </r>
      </text>
    </comment>
    <comment ref="Z12" authorId="0" shapeId="0">
      <text>
        <r>
          <rPr>
            <sz val="9"/>
            <color indexed="81"/>
            <rFont val="Tahoma"/>
            <family val="2"/>
          </rPr>
          <t>24.30997_Spectrum_Freq 6161778000Hz</t>
        </r>
      </text>
    </comment>
    <comment ref="AI12" authorId="0" shapeId="0">
      <text>
        <r>
          <rPr>
            <sz val="9"/>
            <color indexed="81"/>
            <rFont val="Tahoma"/>
            <family val="2"/>
          </rPr>
          <t>24.3685_Spectrum_Freq 6266710800Hz</t>
        </r>
      </text>
    </comment>
    <comment ref="AR12" authorId="0" shapeId="0">
      <text>
        <r>
          <rPr>
            <sz val="9"/>
            <color indexed="81"/>
            <rFont val="Tahoma"/>
            <family val="2"/>
          </rPr>
          <t>24.19247_Spectrum_Freq 6403947200Hz</t>
        </r>
      </text>
    </comment>
    <comment ref="BA12" authorId="0" shapeId="0">
      <text>
        <r>
          <rPr>
            <sz val="9"/>
            <color indexed="81"/>
            <rFont val="Tahoma"/>
            <family val="2"/>
          </rPr>
          <t>23.3067_Spectrum_Freq 6165005000Hz</t>
        </r>
      </text>
    </comment>
    <comment ref="BJ12" authorId="0" shapeId="0">
      <text>
        <r>
          <rPr>
            <sz val="9"/>
            <color indexed="81"/>
            <rFont val="Tahoma"/>
            <family val="2"/>
          </rPr>
          <t>23.51071_Spectrum_Freq 6402480000Hz</t>
        </r>
      </text>
    </comment>
    <comment ref="BS12" authorId="0" shapeId="0">
      <text>
        <r>
          <rPr>
            <sz val="9"/>
            <color indexed="81"/>
            <rFont val="Tahoma"/>
            <family val="2"/>
          </rPr>
          <t>23.84302_Spectrum_Freq 6162881200Hz</t>
        </r>
      </text>
    </comment>
    <comment ref="CB12" authorId="0" shapeId="0">
      <text>
        <r>
          <rPr>
            <sz val="9"/>
            <color indexed="81"/>
            <rFont val="Tahoma"/>
            <family val="2"/>
          </rPr>
          <t>24.12164_Spectrum_Freq 6401441200Hz</t>
        </r>
      </text>
    </comment>
    <comment ref="CK12" authorId="0" shapeId="0">
      <text>
        <r>
          <rPr>
            <sz val="9"/>
            <color indexed="81"/>
            <rFont val="Tahoma"/>
            <family val="2"/>
          </rPr>
          <t>23.42142_Spectrum_Freq 6160070000Hz</t>
        </r>
      </text>
    </comment>
    <comment ref="CT12" authorId="0" shapeId="0">
      <text>
        <r>
          <rPr>
            <sz val="9"/>
            <color indexed="81"/>
            <rFont val="Tahoma"/>
            <family val="2"/>
          </rPr>
          <t>23.52176_Spectrum_Freq 6337030000Hz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24.28235_Spectrum_Freq 7043177600Hz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24.642_Spectrum_Freq 7310032000Hz</t>
        </r>
      </text>
    </comment>
    <comment ref="Z13" authorId="0" shapeId="0">
      <text>
        <r>
          <rPr>
            <sz val="9"/>
            <color indexed="81"/>
            <rFont val="Tahoma"/>
            <family val="2"/>
          </rPr>
          <t>23.98303_Spectrum_Freq 7042176000Hz</t>
        </r>
      </text>
    </comment>
    <comment ref="AI13" authorId="0" shapeId="0">
      <text>
        <r>
          <rPr>
            <sz val="9"/>
            <color indexed="81"/>
            <rFont val="Tahoma"/>
            <family val="2"/>
          </rPr>
          <t>24.19177_Spectrum_Freq 7161254400Hz</t>
        </r>
      </text>
    </comment>
    <comment ref="AR13" authorId="0" shapeId="0">
      <text>
        <r>
          <rPr>
            <sz val="9"/>
            <color indexed="81"/>
            <rFont val="Tahoma"/>
            <family val="2"/>
          </rPr>
          <t>24.19882_Spectrum_Freq 7318627200Hz</t>
        </r>
      </text>
    </comment>
    <comment ref="BA13" authorId="0" shapeId="0">
      <text>
        <r>
          <rPr>
            <sz val="9"/>
            <color indexed="81"/>
            <rFont val="Tahoma"/>
            <family val="2"/>
          </rPr>
          <t>23.17313_Spectrum_Freq 7073080000Hz</t>
        </r>
      </text>
    </comment>
    <comment ref="BJ13" authorId="0" shapeId="0">
      <text>
        <r>
          <rPr>
            <sz val="9"/>
            <color indexed="81"/>
            <rFont val="Tahoma"/>
            <family val="2"/>
          </rPr>
          <t>23.49701_Spectrum_Freq 7285320000Hz</t>
        </r>
      </text>
    </comment>
    <comment ref="BS13" authorId="0" shapeId="0">
      <text>
        <r>
          <rPr>
            <sz val="9"/>
            <color indexed="81"/>
            <rFont val="Tahoma"/>
            <family val="2"/>
          </rPr>
          <t>23.8461_Spectrum_Freq 7045660800Hz</t>
        </r>
      </text>
    </comment>
    <comment ref="CB13" authorId="0" shapeId="0">
      <text>
        <r>
          <rPr>
            <sz val="9"/>
            <color indexed="81"/>
            <rFont val="Tahoma"/>
            <family val="2"/>
          </rPr>
          <t>24.11102_Spectrum_Freq 7316713600Hz</t>
        </r>
      </text>
    </comment>
    <comment ref="CK13" authorId="0" shapeId="0">
      <text>
        <r>
          <rPr>
            <sz val="9"/>
            <color indexed="81"/>
            <rFont val="Tahoma"/>
            <family val="2"/>
          </rPr>
          <t>23.41125_Spectrum_Freq 7098560000Hz</t>
        </r>
      </text>
    </comment>
    <comment ref="CT13" authorId="0" shapeId="0">
      <text>
        <r>
          <rPr>
            <sz val="9"/>
            <color indexed="81"/>
            <rFont val="Tahoma"/>
            <family val="2"/>
          </rPr>
          <t>23.61868_Spectrum_Freq 7252400000Hz</t>
        </r>
      </text>
    </comment>
    <comment ref="H14" authorId="0" shapeId="0">
      <text>
        <r>
          <rPr>
            <sz val="9"/>
            <color indexed="81"/>
            <rFont val="Tahoma"/>
            <family val="2"/>
          </rPr>
          <t>24.28836_Spectrum_Freq 7922790000Hz</t>
        </r>
      </text>
    </comment>
    <comment ref="Q14" authorId="0" shapeId="0">
      <text>
        <r>
          <rPr>
            <sz val="9"/>
            <color indexed="81"/>
            <rFont val="Tahoma"/>
            <family val="2"/>
          </rPr>
          <t>24.64896_Spectrum_Freq 8226334800Hz</t>
        </r>
      </text>
    </comment>
    <comment ref="Z14" authorId="0" shapeId="0">
      <text>
        <r>
          <rPr>
            <sz val="9"/>
            <color indexed="81"/>
            <rFont val="Tahoma"/>
            <family val="2"/>
          </rPr>
          <t>23.98376_Spectrum_Freq 7923913200Hz</t>
        </r>
      </text>
    </comment>
    <comment ref="AI14" authorId="0" shapeId="0">
      <text>
        <r>
          <rPr>
            <sz val="9"/>
            <color indexed="81"/>
            <rFont val="Tahoma"/>
            <family val="2"/>
          </rPr>
          <t>24.28751_Spectrum_Freq 8057725200Hz</t>
        </r>
      </text>
    </comment>
    <comment ref="AR14" authorId="0" shapeId="0">
      <text>
        <r>
          <rPr>
            <sz val="9"/>
            <color indexed="81"/>
            <rFont val="Tahoma"/>
            <family val="2"/>
          </rPr>
          <t>24.66385_Spectrum_Freq 8231040000Hz</t>
        </r>
      </text>
    </comment>
    <comment ref="BA14" authorId="0" shapeId="0">
      <text>
        <r>
          <rPr>
            <sz val="9"/>
            <color indexed="81"/>
            <rFont val="Tahoma"/>
            <family val="2"/>
          </rPr>
          <t>23.3349_Spectrum_Freq 7951905000Hz</t>
        </r>
      </text>
    </comment>
    <comment ref="BJ14" authorId="0" shapeId="0">
      <text>
        <r>
          <rPr>
            <sz val="9"/>
            <color indexed="81"/>
            <rFont val="Tahoma"/>
            <family val="2"/>
          </rPr>
          <t>23.49994_Spectrum_Freq 8192340000Hz</t>
        </r>
      </text>
    </comment>
    <comment ref="BS14" authorId="0" shapeId="0">
      <text>
        <r>
          <rPr>
            <sz val="9"/>
            <color indexed="81"/>
            <rFont val="Tahoma"/>
            <family val="2"/>
          </rPr>
          <t>23.85324_Spectrum_Freq 7926739200Hz</t>
        </r>
      </text>
    </comment>
    <comment ref="CB14" authorId="0" shapeId="0">
      <text>
        <r>
          <rPr>
            <sz val="9"/>
            <color indexed="81"/>
            <rFont val="Tahoma"/>
            <family val="2"/>
          </rPr>
          <t>24.56863_Spectrum_Freq 8228876400Hz</t>
        </r>
      </text>
    </comment>
    <comment ref="CK14" authorId="0" shapeId="0">
      <text>
        <r>
          <rPr>
            <sz val="9"/>
            <color indexed="81"/>
            <rFont val="Tahoma"/>
            <family val="2"/>
          </rPr>
          <t>23.41339_Spectrum_Freq 7996140000Hz</t>
        </r>
      </text>
    </comment>
    <comment ref="CT14" authorId="0" shapeId="0">
      <text>
        <r>
          <rPr>
            <sz val="9"/>
            <color indexed="81"/>
            <rFont val="Tahoma"/>
            <family val="2"/>
          </rPr>
          <t>23.62628_Spectrum_Freq 8161560000Hz</t>
        </r>
      </text>
    </comment>
    <comment ref="H15" authorId="0" shapeId="0">
      <text>
        <r>
          <rPr>
            <sz val="9"/>
            <color indexed="81"/>
            <rFont val="Tahoma"/>
            <family val="2"/>
          </rPr>
          <t>24.30524_Spectrum_Freq 8804248000Hz</t>
        </r>
      </text>
    </comment>
    <comment ref="Q15" authorId="0" shapeId="0">
      <text>
        <r>
          <rPr>
            <sz val="9"/>
            <color indexed="81"/>
            <rFont val="Tahoma"/>
            <family val="2"/>
          </rPr>
          <t>24.65265_Spectrum_Freq 9137776000Hz</t>
        </r>
      </text>
    </comment>
    <comment ref="Z15" authorId="0" shapeId="0">
      <text>
        <r>
          <rPr>
            <sz val="9"/>
            <color indexed="81"/>
            <rFont val="Tahoma"/>
            <family val="2"/>
          </rPr>
          <t>24.24448_Spectrum_Freq 8802676000Hz</t>
        </r>
      </text>
    </comment>
    <comment ref="AI15" authorId="0" shapeId="0">
      <text>
        <r>
          <rPr>
            <sz val="9"/>
            <color indexed="81"/>
            <rFont val="Tahoma"/>
            <family val="2"/>
          </rPr>
          <t>24.28275_Spectrum_Freq 8953304000Hz</t>
        </r>
      </text>
    </comment>
    <comment ref="AR15" authorId="0" shapeId="0">
      <text>
        <r>
          <rPr>
            <sz val="9"/>
            <color indexed="81"/>
            <rFont val="Tahoma"/>
            <family val="2"/>
          </rPr>
          <t>24.65585_Spectrum_Freq 9147600000Hz</t>
        </r>
      </text>
    </comment>
    <comment ref="BA15" authorId="0" shapeId="0">
      <text>
        <r>
          <rPr>
            <sz val="9"/>
            <color indexed="81"/>
            <rFont val="Tahoma"/>
            <family val="2"/>
          </rPr>
          <t>23.18759_Spectrum_Freq 8806350000Hz</t>
        </r>
      </text>
    </comment>
    <comment ref="BJ15" authorId="0" shapeId="0">
      <text>
        <r>
          <rPr>
            <sz val="9"/>
            <color indexed="81"/>
            <rFont val="Tahoma"/>
            <family val="2"/>
          </rPr>
          <t>23.49118_Spectrum_Freq 9143250000Hz</t>
        </r>
      </text>
    </comment>
    <comment ref="BS15" authorId="0" shapeId="0">
      <text>
        <r>
          <rPr>
            <sz val="9"/>
            <color indexed="81"/>
            <rFont val="Tahoma"/>
            <family val="2"/>
          </rPr>
          <t>24.21616_Spectrum_Freq 8807376000Hz</t>
        </r>
      </text>
    </comment>
    <comment ref="CB15" authorId="0" shapeId="0">
      <text>
        <r>
          <rPr>
            <sz val="9"/>
            <color indexed="81"/>
            <rFont val="Tahoma"/>
            <family val="2"/>
          </rPr>
          <t>24.58273_Spectrum_Freq 9142152000Hz</t>
        </r>
      </text>
    </comment>
    <comment ref="CK15" authorId="0" shapeId="0">
      <text>
        <r>
          <rPr>
            <sz val="9"/>
            <color indexed="81"/>
            <rFont val="Tahoma"/>
            <family val="2"/>
          </rPr>
          <t>23.42853_Spectrum_Freq 8886500000Hz</t>
        </r>
      </text>
    </comment>
    <comment ref="CT15" authorId="0" shapeId="0">
      <text>
        <r>
          <rPr>
            <sz val="9"/>
            <color indexed="81"/>
            <rFont val="Tahoma"/>
            <family val="2"/>
          </rPr>
          <t>23.61319_Spectrum_Freq 9137800000Hz</t>
        </r>
      </text>
    </comment>
    <comment ref="H16" authorId="0" shapeId="0">
      <text>
        <r>
          <rPr>
            <sz val="9"/>
            <color indexed="81"/>
            <rFont val="Tahoma"/>
            <family val="2"/>
          </rPr>
          <t>23.9444_Spectrum_Freq 9682081200Hz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24.65427_Spectrum_Freq 10050911200Hz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24.31894_Spectrum_Freq 10162947360Hz</t>
        </r>
      </text>
    </comment>
    <comment ref="AI16" authorId="0" shapeId="0">
      <text>
        <r>
          <rPr>
            <sz val="9"/>
            <color indexed="81"/>
            <rFont val="Tahoma"/>
            <family val="2"/>
          </rPr>
          <t>24.28253_Spectrum_Freq 9850825600Hz</t>
        </r>
      </text>
    </comment>
    <comment ref="AR16" authorId="0" shapeId="0">
      <text>
        <r>
          <rPr>
            <sz val="9"/>
            <color indexed="81"/>
            <rFont val="Tahoma"/>
            <family val="2"/>
          </rPr>
          <t>24.63702_Spectrum_Freq 10062144400Hz</t>
        </r>
      </text>
    </comment>
    <comment ref="BA16" authorId="0" shapeId="0">
      <text>
        <r>
          <rPr>
            <sz val="9"/>
            <color indexed="81"/>
            <rFont val="Tahoma"/>
            <family val="2"/>
          </rPr>
          <t>23.17465_Spectrum_Freq 9680165000Hz</t>
        </r>
      </text>
    </comment>
    <comment ref="BJ16" authorId="0" shapeId="0">
      <text>
        <r>
          <rPr>
            <sz val="9"/>
            <color indexed="81"/>
            <rFont val="Tahoma"/>
            <family val="2"/>
          </rPr>
          <t>23.4863_Spectrum_Freq 10043880000Hz</t>
        </r>
      </text>
    </comment>
    <comment ref="BS16" authorId="0" shapeId="0">
      <text>
        <r>
          <rPr>
            <sz val="9"/>
            <color indexed="81"/>
            <rFont val="Tahoma"/>
            <family val="2"/>
          </rPr>
          <t>23.84738_Spectrum_Freq 9684994000Hz</t>
        </r>
      </text>
    </comment>
    <comment ref="CB16" authorId="0" shapeId="0">
      <text>
        <r>
          <rPr>
            <sz val="9"/>
            <color indexed="81"/>
            <rFont val="Tahoma"/>
            <family val="2"/>
          </rPr>
          <t>24.23328_Spectrum_Freq 10057159200Hz</t>
        </r>
      </text>
    </comment>
    <comment ref="CK16" authorId="0" shapeId="0">
      <text>
        <r>
          <rPr>
            <sz val="9"/>
            <color indexed="81"/>
            <rFont val="Tahoma"/>
            <family val="2"/>
          </rPr>
          <t>23.4361_Spectrum_Freq 9680220000Hz</t>
        </r>
      </text>
    </comment>
    <comment ref="CT16" authorId="0" shapeId="0">
      <text>
        <r>
          <rPr>
            <sz val="9"/>
            <color indexed="81"/>
            <rFont val="Tahoma"/>
            <family val="2"/>
          </rPr>
          <t>23.51242_Spectrum_Freq 10016930000Hz</t>
        </r>
      </text>
    </comment>
    <comment ref="H17" authorId="0" shapeId="0">
      <text>
        <r>
          <rPr>
            <sz val="9"/>
            <color indexed="81"/>
            <rFont val="Tahoma"/>
            <family val="2"/>
          </rPr>
          <t>24.21027_Spectrum_Freq 10561204800Hz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>24.64975_Spectrum_Freq 10964913600Hz</t>
        </r>
      </text>
    </comment>
    <comment ref="Z17" authorId="0" shapeId="0">
      <text>
        <r>
          <rPr>
            <sz val="9"/>
            <color indexed="81"/>
            <rFont val="Tahoma"/>
            <family val="2"/>
          </rPr>
          <t>23.98364_Spectrum_Freq 12032608580Hz</t>
        </r>
      </text>
    </comment>
    <comment ref="AI17" authorId="0" shapeId="0">
      <text>
        <r>
          <rPr>
            <sz val="9"/>
            <color indexed="81"/>
            <rFont val="Tahoma"/>
            <family val="2"/>
          </rPr>
          <t>24.28668_Spectrum_Freq 10742779200Hz</t>
        </r>
      </text>
    </comment>
    <comment ref="AR17" authorId="0" shapeId="0">
      <text>
        <r>
          <rPr>
            <sz val="9"/>
            <color indexed="81"/>
            <rFont val="Tahoma"/>
            <family val="2"/>
          </rPr>
          <t>24.63907_Spectrum_Freq 10973884800Hz</t>
        </r>
      </text>
    </comment>
    <comment ref="BA17" authorId="0" shapeId="0">
      <text>
        <r>
          <rPr>
            <sz val="9"/>
            <color indexed="81"/>
            <rFont val="Tahoma"/>
            <family val="2"/>
          </rPr>
          <t>23.34106_Spectrum_Freq 10598940000Hz</t>
        </r>
      </text>
    </comment>
    <comment ref="BJ17" authorId="0" shapeId="0">
      <text>
        <r>
          <rPr>
            <sz val="9"/>
            <color indexed="81"/>
            <rFont val="Tahoma"/>
            <family val="2"/>
          </rPr>
          <t>23.4863_Spectrum_Freq 10924200000Hz</t>
        </r>
      </text>
    </comment>
    <comment ref="BS17" authorId="0" shapeId="0">
      <text>
        <r>
          <rPr>
            <sz val="9"/>
            <color indexed="81"/>
            <rFont val="Tahoma"/>
            <family val="2"/>
          </rPr>
          <t>23.96005_Spectrum_Freq 10568683200Hz</t>
        </r>
      </text>
    </comment>
    <comment ref="CB17" authorId="0" shapeId="0">
      <text>
        <r>
          <rPr>
            <sz val="9"/>
            <color indexed="81"/>
            <rFont val="Tahoma"/>
            <family val="2"/>
          </rPr>
          <t>24.09995_Spectrum_Freq 10971859200Hz</t>
        </r>
      </text>
    </comment>
    <comment ref="CK17" authorId="0" shapeId="0">
      <text>
        <r>
          <rPr>
            <sz val="9"/>
            <color indexed="81"/>
            <rFont val="Tahoma"/>
            <family val="2"/>
          </rPr>
          <t>23.43005_Spectrum_Freq 10667880000Hz</t>
        </r>
      </text>
    </comment>
    <comment ref="CT17" authorId="0" shapeId="0">
      <text>
        <r>
          <rPr>
            <sz val="9"/>
            <color indexed="81"/>
            <rFont val="Tahoma"/>
            <family val="2"/>
          </rPr>
          <t>23.61234_Spectrum_Freq 10860840000Hz</t>
        </r>
      </text>
    </comment>
    <comment ref="H18" authorId="0" shapeId="0">
      <text>
        <r>
          <rPr>
            <sz val="9"/>
            <color indexed="81"/>
            <rFont val="Tahoma"/>
            <family val="2"/>
          </rPr>
          <t>24.20917_Spectrum_Freq 11445278000Hz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>24.21545_Spectrum_Freq 11878744800Hz</t>
        </r>
      </text>
    </comment>
    <comment ref="Z18" authorId="0" shapeId="0">
      <text>
        <r>
          <rPr>
            <sz val="9"/>
            <color indexed="81"/>
            <rFont val="Tahoma"/>
            <family val="2"/>
          </rPr>
          <t>24.30002_Spectrum_Freq 11444326400Hz</t>
        </r>
      </text>
    </comment>
    <comment ref="AI18" authorId="0" shapeId="0">
      <text>
        <r>
          <rPr>
            <sz val="9"/>
            <color indexed="81"/>
            <rFont val="Tahoma"/>
            <family val="2"/>
          </rPr>
          <t>24.27994_Spectrum_Freq 11639108000Hz</t>
        </r>
      </text>
    </comment>
    <comment ref="AR18" authorId="0" shapeId="0">
      <text>
        <r>
          <rPr>
            <sz val="9"/>
            <color indexed="81"/>
            <rFont val="Tahoma"/>
            <family val="2"/>
          </rPr>
          <t>24.17435_Spectrum_Freq 11892530000Hz</t>
        </r>
      </text>
    </comment>
    <comment ref="BA18" authorId="0" shapeId="0">
      <text>
        <r>
          <rPr>
            <sz val="9"/>
            <color indexed="81"/>
            <rFont val="Tahoma"/>
            <family val="2"/>
          </rPr>
          <t>23.17963_Spectrum_Freq 11473475000Hz</t>
        </r>
      </text>
    </comment>
    <comment ref="BJ18" authorId="0" shapeId="0">
      <text>
        <r>
          <rPr>
            <sz val="9"/>
            <color indexed="81"/>
            <rFont val="Tahoma"/>
            <family val="2"/>
          </rPr>
          <t>23.49347_Spectrum_Freq 11890840000Hz</t>
        </r>
      </text>
    </comment>
    <comment ref="BS18" authorId="0" shapeId="0">
      <text>
        <r>
          <rPr>
            <sz val="9"/>
            <color indexed="81"/>
            <rFont val="Tahoma"/>
            <family val="2"/>
          </rPr>
          <t>23.95908_Spectrum_Freq 11448720400Hz</t>
        </r>
      </text>
    </comment>
    <comment ref="CB18" authorId="0" shapeId="0">
      <text>
        <r>
          <rPr>
            <sz val="9"/>
            <color indexed="81"/>
            <rFont val="Tahoma"/>
            <family val="2"/>
          </rPr>
          <t>24.10086_Spectrum_Freq 11888624800Hz</t>
        </r>
      </text>
    </comment>
    <comment ref="CK18" authorId="0" shapeId="0">
      <text>
        <r>
          <rPr>
            <sz val="9"/>
            <color indexed="81"/>
            <rFont val="Tahoma"/>
            <family val="2"/>
          </rPr>
          <t>23.44687_Spectrum_Freq 11471850000Hz</t>
        </r>
      </text>
    </comment>
    <comment ref="CT18" authorId="0" shapeId="0">
      <text>
        <r>
          <rPr>
            <sz val="9"/>
            <color indexed="81"/>
            <rFont val="Tahoma"/>
            <family val="2"/>
          </rPr>
          <t>23.49796_Spectrum_Freq 11893960000Hz</t>
        </r>
      </text>
    </comment>
  </commentList>
</comments>
</file>

<file path=xl/comments9.xml><?xml version="1.0" encoding="utf-8"?>
<comments xmlns="http://schemas.openxmlformats.org/spreadsheetml/2006/main">
  <authors>
    <author>Long, WANG (HW-NB-TCT)</author>
  </authors>
  <commentList>
    <comment ref="H7" authorId="0" shapeId="0">
      <text>
        <r>
          <rPr>
            <sz val="9"/>
            <color indexed="81"/>
            <rFont val="Tahoma"/>
            <family val="2"/>
          </rPr>
          <t>21.98978_Spectrum_Freq 1398453600Hz</t>
        </r>
      </text>
    </comment>
    <comment ref="Q7" authorId="0" shapeId="0">
      <text>
        <r>
          <rPr>
            <sz val="9"/>
            <color indexed="81"/>
            <rFont val="Tahoma"/>
            <family val="2"/>
          </rPr>
          <t>21.83609_Spectrum_Freq 1429603200Hz</t>
        </r>
      </text>
    </comment>
    <comment ref="Z7" authorId="0" shapeId="0">
      <text>
        <r>
          <rPr>
            <sz val="9"/>
            <color indexed="81"/>
            <rFont val="Tahoma"/>
            <family val="2"/>
          </rPr>
          <t>22.22977_Spectrum_Freq 1398608800Hz</t>
        </r>
      </text>
    </comment>
    <comment ref="AI7" authorId="0" shapeId="0">
      <text>
        <r>
          <rPr>
            <sz val="9"/>
            <color indexed="81"/>
            <rFont val="Tahoma"/>
            <family val="2"/>
          </rPr>
          <t>22.10922_Spectrum_Freq 1410727200Hz</t>
        </r>
      </text>
    </comment>
    <comment ref="AR7" authorId="0" shapeId="0">
      <text>
        <r>
          <rPr>
            <sz val="9"/>
            <color indexed="81"/>
            <rFont val="Tahoma"/>
            <family val="2"/>
          </rPr>
          <t>21.79675_Spectrum_Freq 1431112000Hz</t>
        </r>
      </text>
    </comment>
    <comment ref="BA7" authorId="0" shapeId="0">
      <text>
        <r>
          <rPr>
            <sz val="9"/>
            <color indexed="81"/>
            <rFont val="Tahoma"/>
            <family val="2"/>
          </rPr>
          <t>21.16541_Spectrum_Freq 1401410000Hz</t>
        </r>
      </text>
    </comment>
    <comment ref="BJ7" authorId="0" shapeId="0">
      <text>
        <r>
          <rPr>
            <sz val="9"/>
            <color indexed="81"/>
            <rFont val="Tahoma"/>
            <family val="2"/>
          </rPr>
          <t>21.09387_Spectrum_Freq 1426080000Hz</t>
        </r>
      </text>
    </comment>
    <comment ref="BS7" authorId="0" shapeId="0">
      <text>
        <r>
          <rPr>
            <sz val="9"/>
            <color indexed="81"/>
            <rFont val="Tahoma"/>
            <family val="2"/>
          </rPr>
          <t>22.14212_Spectrum_Freq 1399172000Hz</t>
        </r>
      </text>
    </comment>
    <comment ref="CB7" authorId="0" shapeId="0">
      <text>
        <r>
          <rPr>
            <sz val="9"/>
            <color indexed="81"/>
            <rFont val="Tahoma"/>
            <family val="2"/>
          </rPr>
          <t>21.54861_Spectrum_Freq 1430712000Hz</t>
        </r>
      </text>
    </comment>
    <comment ref="CK7" authorId="0" shapeId="0">
      <text>
        <r>
          <rPr>
            <sz val="9"/>
            <color indexed="81"/>
            <rFont val="Tahoma"/>
            <family val="2"/>
          </rPr>
          <t>21.14804_Spectrum_Freq 1414300000Hz</t>
        </r>
      </text>
    </comment>
    <comment ref="CT7" authorId="0" shapeId="0">
      <text>
        <r>
          <rPr>
            <sz val="9"/>
            <color indexed="81"/>
            <rFont val="Tahoma"/>
            <family val="2"/>
          </rPr>
          <t>21.03754_Spectrum_Freq 1422260000Hz</t>
        </r>
      </text>
    </comment>
    <comment ref="H8" authorId="0" shapeId="0">
      <text>
        <r>
          <rPr>
            <sz val="9"/>
            <color indexed="81"/>
            <rFont val="Tahoma"/>
            <family val="2"/>
          </rPr>
          <t>22.39474_Spectrum_Freq 2097150006.19Hz</t>
        </r>
      </text>
    </comment>
    <comment ref="Q8" authorId="0" shapeId="0">
      <text>
        <r>
          <rPr>
            <sz val="9"/>
            <color indexed="81"/>
            <rFont val="Tahoma"/>
            <family val="2"/>
          </rPr>
          <t>21.9205_Spectrum_Freq 2143950008.45Hz</t>
        </r>
      </text>
    </comment>
    <comment ref="Z8" authorId="0" shapeId="0">
      <text>
        <r>
          <rPr>
            <sz val="9"/>
            <color indexed="81"/>
            <rFont val="Tahoma"/>
            <family val="2"/>
          </rPr>
          <t>22.14105_Spectrum_Freq 2098340400Hz</t>
        </r>
      </text>
    </comment>
    <comment ref="AI8" authorId="0" shapeId="0">
      <text>
        <r>
          <rPr>
            <sz val="9"/>
            <color indexed="81"/>
            <rFont val="Tahoma"/>
            <family val="2"/>
          </rPr>
          <t>21.93011_Spectrum_Freq 2115956400Hz</t>
        </r>
      </text>
    </comment>
    <comment ref="AR8" authorId="0" shapeId="0">
      <text>
        <r>
          <rPr>
            <sz val="9"/>
            <color indexed="81"/>
            <rFont val="Tahoma"/>
            <family val="2"/>
          </rPr>
          <t>21.71051_Spectrum_Freq 2147200800Hz</t>
        </r>
      </text>
    </comment>
    <comment ref="BA8" authorId="0" shapeId="0">
      <text>
        <r>
          <rPr>
            <sz val="9"/>
            <color indexed="81"/>
            <rFont val="Tahoma"/>
            <family val="2"/>
          </rPr>
          <t>21.056_Spectrum_Freq 2106720000Hz</t>
        </r>
      </text>
    </comment>
    <comment ref="BJ8" authorId="0" shapeId="0">
      <text>
        <r>
          <rPr>
            <sz val="9"/>
            <color indexed="81"/>
            <rFont val="Tahoma"/>
            <family val="2"/>
          </rPr>
          <t>21.08759_Spectrum_Freq 2138280000Hz</t>
        </r>
      </text>
    </comment>
    <comment ref="BS8" authorId="0" shapeId="0">
      <text>
        <r>
          <rPr>
            <sz val="9"/>
            <color indexed="81"/>
            <rFont val="Tahoma"/>
            <family val="2"/>
          </rPr>
          <t>22.08679_Spectrum_Freq 2098386000Hz</t>
        </r>
      </text>
    </comment>
    <comment ref="CB8" authorId="0" shapeId="0">
      <text>
        <r>
          <rPr>
            <sz val="9"/>
            <color indexed="81"/>
            <rFont val="Tahoma"/>
            <family val="2"/>
          </rPr>
          <t>21.60248_Spectrum_Freq 2146220400Hz</t>
        </r>
      </text>
    </comment>
    <comment ref="CK8" authorId="0" shapeId="0">
      <text>
        <r>
          <rPr>
            <sz val="9"/>
            <color indexed="81"/>
            <rFont val="Tahoma"/>
            <family val="2"/>
          </rPr>
          <t>21.22922_Spectrum_Freq 2108400000Hz</t>
        </r>
      </text>
    </comment>
    <comment ref="CT8" authorId="0" shapeId="0">
      <text>
        <r>
          <rPr>
            <sz val="9"/>
            <color indexed="81"/>
            <rFont val="Tahoma"/>
            <family val="2"/>
          </rPr>
          <t>21.03094_Spectrum_Freq 2129700000Hz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21.94653_Spectrum_Freq 2796785600Hz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21.92279_Spectrum_Freq 2859780800Hz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22.27493_Spectrum_Freq 2797300800Hz</t>
        </r>
      </text>
    </comment>
    <comment ref="AI9" authorId="0" shapeId="0">
      <text>
        <r>
          <rPr>
            <sz val="9"/>
            <color indexed="81"/>
            <rFont val="Tahoma"/>
            <family val="2"/>
          </rPr>
          <t>21.99686_Spectrum_Freq 2821392000Hz</t>
        </r>
      </text>
    </comment>
    <comment ref="AR9" authorId="0" shapeId="0">
      <text>
        <r>
          <rPr>
            <sz val="9"/>
            <color indexed="81"/>
            <rFont val="Tahoma"/>
            <family val="2"/>
          </rPr>
          <t>21.79449_Spectrum_Freq 2862617600Hz</t>
        </r>
      </text>
    </comment>
    <comment ref="BA9" authorId="0" shapeId="0">
      <text>
        <r>
          <rPr>
            <sz val="9"/>
            <color indexed="81"/>
            <rFont val="Tahoma"/>
            <family val="2"/>
          </rPr>
          <t>21.16092_Spectrum_Freq 2804740000Hz</t>
        </r>
      </text>
    </comment>
    <comment ref="BJ9" authorId="0" shapeId="0">
      <text>
        <r>
          <rPr>
            <sz val="9"/>
            <color indexed="81"/>
            <rFont val="Tahoma"/>
            <family val="2"/>
          </rPr>
          <t>21.08743_Spectrum_Freq 2844840000Hz</t>
        </r>
      </text>
    </comment>
    <comment ref="BS9" authorId="0" shapeId="0">
      <text>
        <r>
          <rPr>
            <sz val="9"/>
            <color indexed="81"/>
            <rFont val="Tahoma"/>
            <family val="2"/>
          </rPr>
          <t>21.71469_Spectrum_Freq 2798358400Hz</t>
        </r>
      </text>
    </comment>
    <comment ref="CB9" authorId="0" shapeId="0">
      <text>
        <r>
          <rPr>
            <sz val="9"/>
            <color indexed="81"/>
            <rFont val="Tahoma"/>
            <family val="2"/>
          </rPr>
          <t>21.76089_Spectrum_Freq 2861707200Hz</t>
        </r>
      </text>
    </comment>
    <comment ref="CK9" authorId="0" shapeId="0">
      <text>
        <r>
          <rPr>
            <sz val="9"/>
            <color indexed="81"/>
            <rFont val="Tahoma"/>
            <family val="2"/>
          </rPr>
          <t>21.14603_Spectrum_Freq 2803120000Hz</t>
        </r>
      </text>
    </comment>
    <comment ref="CT9" authorId="0" shapeId="0">
      <text>
        <r>
          <rPr>
            <sz val="9"/>
            <color indexed="81"/>
            <rFont val="Tahoma"/>
            <family val="2"/>
          </rPr>
          <t>21.03693_Spectrum_Freq 2824080000Hz</t>
        </r>
      </text>
    </comment>
    <comment ref="H10" authorId="0" shapeId="0">
      <text>
        <r>
          <rPr>
            <sz val="9"/>
            <color indexed="81"/>
            <rFont val="Tahoma"/>
            <family val="2"/>
          </rPr>
          <t>22.37473_Spectrum_Freq 3497064000Hz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>21.82968_Spectrum_Freq 3573958000Hz</t>
        </r>
      </text>
    </comment>
    <comment ref="Z10" authorId="0" shapeId="0">
      <text>
        <r>
          <rPr>
            <sz val="9"/>
            <color indexed="81"/>
            <rFont val="Tahoma"/>
            <family val="2"/>
          </rPr>
          <t>22.20557_Spectrum_Freq 3496812000Hz</t>
        </r>
      </text>
    </comment>
    <comment ref="AI10" authorId="0" shapeId="0">
      <text>
        <r>
          <rPr>
            <sz val="9"/>
            <color indexed="81"/>
            <rFont val="Tahoma"/>
            <family val="2"/>
          </rPr>
          <t>22.04468_Spectrum_Freq 3527416000Hz</t>
        </r>
      </text>
    </comment>
    <comment ref="AR10" authorId="0" shapeId="0">
      <text>
        <r>
          <rPr>
            <sz val="9"/>
            <color indexed="81"/>
            <rFont val="Tahoma"/>
            <family val="2"/>
          </rPr>
          <t>21.7049_Spectrum_Freq 3578002000Hz</t>
        </r>
      </text>
    </comment>
    <comment ref="BA10" authorId="0" shapeId="0">
      <text>
        <r>
          <rPr>
            <sz val="9"/>
            <color indexed="81"/>
            <rFont val="Tahoma"/>
            <family val="2"/>
          </rPr>
          <t>21.16638_Spectrum_Freq 3514725000Hz</t>
        </r>
      </text>
    </comment>
    <comment ref="BJ10" authorId="0" shapeId="0">
      <text>
        <r>
          <rPr>
            <sz val="9"/>
            <color indexed="81"/>
            <rFont val="Tahoma"/>
            <family val="2"/>
          </rPr>
          <t>20.76175_Spectrum_Freq 3579950000Hz</t>
        </r>
      </text>
    </comment>
    <comment ref="BS10" authorId="0" shapeId="0">
      <text>
        <r>
          <rPr>
            <sz val="9"/>
            <color indexed="81"/>
            <rFont val="Tahoma"/>
            <family val="2"/>
          </rPr>
          <t>22.08249_Spectrum_Freq 3497660000Hz</t>
        </r>
      </text>
    </comment>
    <comment ref="CB10" authorId="0" shapeId="0">
      <text>
        <r>
          <rPr>
            <sz val="9"/>
            <color indexed="81"/>
            <rFont val="Tahoma"/>
            <family val="2"/>
          </rPr>
          <t>21.5401_Spectrum_Freq 3577448000Hz</t>
        </r>
      </text>
    </comment>
    <comment ref="CK10" authorId="0" shapeId="0">
      <text>
        <r>
          <rPr>
            <sz val="9"/>
            <color indexed="81"/>
            <rFont val="Tahoma"/>
            <family val="2"/>
          </rPr>
          <t>21.14624_Spectrum_Freq 3522550000Hz</t>
        </r>
      </text>
    </comment>
    <comment ref="CT10" authorId="0" shapeId="0">
      <text>
        <r>
          <rPr>
            <sz val="9"/>
            <color indexed="81"/>
            <rFont val="Tahoma"/>
            <family val="2"/>
          </rPr>
          <t>21.01898_Spectrum_Freq 3579950000Hz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21.92325_Spectrum_Freq 4195620000Hz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>21.88956_Spectrum_Freq 4290127200Hz</t>
        </r>
      </text>
    </comment>
    <comment ref="Z11" authorId="0" shapeId="0">
      <text>
        <r>
          <rPr>
            <sz val="9"/>
            <color indexed="81"/>
            <rFont val="Tahoma"/>
            <family val="2"/>
          </rPr>
          <t>22.12335_Spectrum_Freq 4196997600Hz</t>
        </r>
      </text>
    </comment>
    <comment ref="AI11" authorId="0" shapeId="0">
      <text>
        <r>
          <rPr>
            <sz val="9"/>
            <color indexed="81"/>
            <rFont val="Tahoma"/>
            <family val="2"/>
          </rPr>
          <t>21.88968_Spectrum_Freq 4233098400Hz</t>
        </r>
      </text>
    </comment>
    <comment ref="AR11" authorId="0" shapeId="0">
      <text>
        <r>
          <rPr>
            <sz val="9"/>
            <color indexed="81"/>
            <rFont val="Tahoma"/>
            <family val="2"/>
          </rPr>
          <t>21.79028_Spectrum_Freq 4293146400Hz</t>
        </r>
      </text>
    </comment>
    <comment ref="BA11" authorId="0" shapeId="0">
      <text>
        <r>
          <rPr>
            <sz val="9"/>
            <color indexed="81"/>
            <rFont val="Tahoma"/>
            <family val="2"/>
          </rPr>
          <t>21.16721_Spectrum_Freq 4201140000Hz</t>
        </r>
      </text>
    </comment>
    <comment ref="BJ11" authorId="0" shapeId="0">
      <text>
        <r>
          <rPr>
            <sz val="9"/>
            <color indexed="81"/>
            <rFont val="Tahoma"/>
            <family val="2"/>
          </rPr>
          <t>20.75674_Spectrum_Freq 4295850000Hz</t>
        </r>
      </text>
    </comment>
    <comment ref="BS11" authorId="0" shapeId="0">
      <text>
        <r>
          <rPr>
            <sz val="9"/>
            <color indexed="81"/>
            <rFont val="Tahoma"/>
            <family val="2"/>
          </rPr>
          <t>21.70187_Spectrum_Freq 4196536800Hz</t>
        </r>
      </text>
    </comment>
    <comment ref="CB11" authorId="0" shapeId="0">
      <text>
        <r>
          <rPr>
            <sz val="9"/>
            <color indexed="81"/>
            <rFont val="Tahoma"/>
            <family val="2"/>
          </rPr>
          <t>21.74521_Spectrum_Freq 4293249600Hz</t>
        </r>
      </text>
    </comment>
    <comment ref="CK11" authorId="0" shapeId="0">
      <text>
        <r>
          <rPr>
            <sz val="9"/>
            <color indexed="81"/>
            <rFont val="Tahoma"/>
            <family val="2"/>
          </rPr>
          <t>21.14352_Spectrum_Freq 4212120000Hz</t>
        </r>
      </text>
    </comment>
    <comment ref="CT11" authorId="0" shapeId="0">
      <text>
        <r>
          <rPr>
            <sz val="9"/>
            <color indexed="81"/>
            <rFont val="Tahoma"/>
            <family val="2"/>
          </rPr>
          <t>21.01669_Spectrum_Freq 4292760000Hz</t>
        </r>
      </text>
    </comment>
    <comment ref="H12" authorId="0" shapeId="0">
      <text>
        <r>
          <rPr>
            <sz val="9"/>
            <color indexed="81"/>
            <rFont val="Tahoma"/>
            <family val="2"/>
          </rPr>
          <t>22.27182_Spectrum_Freq 4895060800Hz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>21.88452_Spectrum_Freq 5004854400Hz</t>
        </r>
      </text>
    </comment>
    <comment ref="Z12" authorId="0" shapeId="0">
      <text>
        <r>
          <rPr>
            <sz val="9"/>
            <color indexed="81"/>
            <rFont val="Tahoma"/>
            <family val="2"/>
          </rPr>
          <t>22.19934_Spectrum_Freq 4896519600Hz</t>
        </r>
      </text>
    </comment>
    <comment ref="AI12" authorId="0" shapeId="0">
      <text>
        <r>
          <rPr>
            <sz val="9"/>
            <color indexed="81"/>
            <rFont val="Tahoma"/>
            <family val="2"/>
          </rPr>
          <t>21.88327_Spectrum_Freq 4936576400Hz</t>
        </r>
      </text>
    </comment>
    <comment ref="AR12" authorId="0" shapeId="0">
      <text>
        <r>
          <rPr>
            <sz val="9"/>
            <color indexed="81"/>
            <rFont val="Tahoma"/>
            <family val="2"/>
          </rPr>
          <t>21.69449_Spectrum_Freq 5008486000Hz</t>
        </r>
      </text>
    </comment>
    <comment ref="BA12" authorId="0" shapeId="0">
      <text>
        <r>
          <rPr>
            <sz val="9"/>
            <color indexed="81"/>
            <rFont val="Tahoma"/>
            <family val="2"/>
          </rPr>
          <t>21.16458_Spectrum_Freq 4924780000Hz</t>
        </r>
      </text>
    </comment>
    <comment ref="BJ12" authorId="0" shapeId="0">
      <text>
        <r>
          <rPr>
            <sz val="9"/>
            <color indexed="81"/>
            <rFont val="Tahoma"/>
            <family val="2"/>
          </rPr>
          <t>21.08188_Spectrum_Freq 5006330000Hz</t>
        </r>
      </text>
    </comment>
    <comment ref="BS12" authorId="0" shapeId="0">
      <text>
        <r>
          <rPr>
            <sz val="9"/>
            <color indexed="81"/>
            <rFont val="Tahoma"/>
            <family val="2"/>
          </rPr>
          <t>22.06161_Spectrum_Freq 4896491600Hz</t>
        </r>
      </text>
    </comment>
    <comment ref="CB12" authorId="0" shapeId="0">
      <text>
        <r>
          <rPr>
            <sz val="9"/>
            <color indexed="81"/>
            <rFont val="Tahoma"/>
            <family val="2"/>
          </rPr>
          <t>21.49304_Spectrum_Freq 5008004400Hz</t>
        </r>
      </text>
    </comment>
    <comment ref="CK12" authorId="0" shapeId="0">
      <text>
        <r>
          <rPr>
            <sz val="9"/>
            <color indexed="81"/>
            <rFont val="Tahoma"/>
            <family val="2"/>
          </rPr>
          <t>21.15018_Spectrum_Freq 4960480000Hz</t>
        </r>
      </text>
    </comment>
    <comment ref="CT12" authorId="0" shapeId="0">
      <text>
        <r>
          <rPr>
            <sz val="9"/>
            <color indexed="81"/>
            <rFont val="Tahoma"/>
            <family val="2"/>
          </rPr>
          <t>21.0278_Spectrum_Freq 5000380000Hz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21.90744_Spectrum_Freq 5594412800Hz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21.88702_Spectrum_Freq 5719491200Hz</t>
        </r>
      </text>
    </comment>
    <comment ref="Z13" authorId="0" shapeId="0">
      <text>
        <r>
          <rPr>
            <sz val="9"/>
            <color indexed="81"/>
            <rFont val="Tahoma"/>
            <family val="2"/>
          </rPr>
          <t>21.85773_Spectrum_Freq 5594604800Hz</t>
        </r>
      </text>
    </comment>
    <comment ref="AI13" authorId="0" shapeId="0">
      <text>
        <r>
          <rPr>
            <sz val="9"/>
            <color indexed="81"/>
            <rFont val="Tahoma"/>
            <family val="2"/>
          </rPr>
          <t>21.96887_Spectrum_Freq 5643660800Hz</t>
        </r>
      </text>
    </comment>
    <comment ref="AR13" authorId="0" shapeId="0">
      <text>
        <r>
          <rPr>
            <sz val="9"/>
            <color indexed="81"/>
            <rFont val="Tahoma"/>
            <family val="2"/>
          </rPr>
          <t>21.33588_Spectrum_Freq 5723683200Hz</t>
        </r>
      </text>
    </comment>
    <comment ref="BA13" authorId="0" shapeId="0">
      <text>
        <r>
          <rPr>
            <sz val="9"/>
            <color indexed="81"/>
            <rFont val="Tahoma"/>
            <family val="2"/>
          </rPr>
          <t>21.1701_Spectrum_Freq 5620200000Hz</t>
        </r>
      </text>
    </comment>
    <comment ref="BJ13" authorId="0" shapeId="0">
      <text>
        <r>
          <rPr>
            <sz val="9"/>
            <color indexed="81"/>
            <rFont val="Tahoma"/>
            <family val="2"/>
          </rPr>
          <t>20.75201_Spectrum_Freq 5691240000Hz</t>
        </r>
      </text>
    </comment>
    <comment ref="BS13" authorId="0" shapeId="0">
      <text>
        <r>
          <rPr>
            <sz val="9"/>
            <color indexed="81"/>
            <rFont val="Tahoma"/>
            <family val="2"/>
          </rPr>
          <t>21.6972_Spectrum_Freq 5596438400Hz</t>
        </r>
      </text>
    </comment>
    <comment ref="CB13" authorId="0" shapeId="0">
      <text>
        <r>
          <rPr>
            <sz val="9"/>
            <color indexed="81"/>
            <rFont val="Tahoma"/>
            <family val="2"/>
          </rPr>
          <t>21.71957_Spectrum_Freq 5723139200Hz</t>
        </r>
      </text>
    </comment>
    <comment ref="CK13" authorId="0" shapeId="0">
      <text>
        <r>
          <rPr>
            <sz val="9"/>
            <color indexed="81"/>
            <rFont val="Tahoma"/>
            <family val="2"/>
          </rPr>
          <t>21.14038_Spectrum_Freq 5626640000Hz</t>
        </r>
      </text>
    </comment>
    <comment ref="CT13" authorId="0" shapeId="0">
      <text>
        <r>
          <rPr>
            <sz val="9"/>
            <color indexed="81"/>
            <rFont val="Tahoma"/>
            <family val="2"/>
          </rPr>
          <t>21.03421_Spectrum_Freq 5649360000Hz</t>
        </r>
      </text>
    </comment>
    <comment ref="H14" authorId="0" shapeId="0">
      <text>
        <r>
          <rPr>
            <sz val="9"/>
            <color indexed="81"/>
            <rFont val="Tahoma"/>
            <family val="2"/>
          </rPr>
          <t>21.90747_Spectrum_Freq 6295039200Hz</t>
        </r>
      </text>
    </comment>
    <comment ref="Q14" authorId="0" shapeId="0">
      <text>
        <r>
          <rPr>
            <sz val="9"/>
            <color indexed="81"/>
            <rFont val="Tahoma"/>
            <family val="2"/>
          </rPr>
          <t>21.89059_Spectrum_Freq 6434467200Hz</t>
        </r>
      </text>
    </comment>
    <comment ref="Z14" authorId="0" shapeId="0">
      <text>
        <r>
          <rPr>
            <sz val="9"/>
            <color indexed="81"/>
            <rFont val="Tahoma"/>
            <family val="2"/>
          </rPr>
          <t>21.76035_Spectrum_Freq 6295190400Hz</t>
        </r>
      </text>
    </comment>
    <comment ref="AI14" authorId="0" shapeId="0">
      <text>
        <r>
          <rPr>
            <sz val="9"/>
            <color indexed="81"/>
            <rFont val="Tahoma"/>
            <family val="2"/>
          </rPr>
          <t>21.89313_Spectrum_Freq 6348927600Hz</t>
        </r>
      </text>
    </comment>
    <comment ref="AR14" authorId="0" shapeId="0">
      <text>
        <r>
          <rPr>
            <sz val="9"/>
            <color indexed="81"/>
            <rFont val="Tahoma"/>
            <family val="2"/>
          </rPr>
          <t>21.69708_Spectrum_Freq 6442383600Hz</t>
        </r>
      </text>
    </comment>
    <comment ref="BA14" authorId="0" shapeId="0">
      <text>
        <r>
          <rPr>
            <sz val="9"/>
            <color indexed="81"/>
            <rFont val="Tahoma"/>
            <family val="2"/>
          </rPr>
          <t>21.0575_Spectrum_Freq 6297930000Hz</t>
        </r>
      </text>
    </comment>
    <comment ref="BJ14" authorId="0" shapeId="0">
      <text>
        <r>
          <rPr>
            <sz val="9"/>
            <color indexed="81"/>
            <rFont val="Tahoma"/>
            <family val="2"/>
          </rPr>
          <t>20.98468_Spectrum_Freq 6441210000Hz</t>
        </r>
      </text>
    </comment>
    <comment ref="BS14" authorId="0" shapeId="0">
      <text>
        <r>
          <rPr>
            <sz val="9"/>
            <color indexed="81"/>
            <rFont val="Tahoma"/>
            <family val="2"/>
          </rPr>
          <t>22.147_Spectrum_Freq 6298102800Hz</t>
        </r>
      </text>
    </comment>
    <comment ref="CB14" authorId="0" shapeId="0">
      <text>
        <r>
          <rPr>
            <sz val="9"/>
            <color indexed="81"/>
            <rFont val="Tahoma"/>
            <family val="2"/>
          </rPr>
          <t>21.63373_Spectrum_Freq 6439492800Hz</t>
        </r>
      </text>
    </comment>
    <comment ref="CK14" authorId="0" shapeId="0">
      <text>
        <r>
          <rPr>
            <sz val="9"/>
            <color indexed="81"/>
            <rFont val="Tahoma"/>
            <family val="2"/>
          </rPr>
          <t>21.14249_Spectrum_Freq 6300990000Hz</t>
        </r>
      </text>
    </comment>
    <comment ref="CT14" authorId="0" shapeId="0">
      <text>
        <r>
          <rPr>
            <sz val="9"/>
            <color indexed="81"/>
            <rFont val="Tahoma"/>
            <family val="2"/>
          </rPr>
          <t>21.0199_Spectrum_Freq 6434550000Hz</t>
        </r>
      </text>
    </comment>
    <comment ref="H15" authorId="0" shapeId="0">
      <text>
        <r>
          <rPr>
            <sz val="9"/>
            <color indexed="81"/>
            <rFont val="Tahoma"/>
            <family val="2"/>
          </rPr>
          <t>22.255_Spectrum_Freq 6990540000Hz</t>
        </r>
      </text>
    </comment>
    <comment ref="Q15" authorId="0" shapeId="0">
      <text>
        <r>
          <rPr>
            <sz val="9"/>
            <color indexed="81"/>
            <rFont val="Tahoma"/>
            <family val="2"/>
          </rPr>
          <t>21.8168_Spectrum_Freq 7148548000Hz</t>
        </r>
      </text>
    </comment>
    <comment ref="Z15" authorId="0" shapeId="0">
      <text>
        <r>
          <rPr>
            <sz val="9"/>
            <color indexed="81"/>
            <rFont val="Tahoma"/>
            <family val="2"/>
          </rPr>
          <t>22.22455_Spectrum_Freq 6994792000Hz</t>
        </r>
      </text>
    </comment>
    <comment ref="AI15" authorId="0" shapeId="0">
      <text>
        <r>
          <rPr>
            <sz val="9"/>
            <color indexed="81"/>
            <rFont val="Tahoma"/>
            <family val="2"/>
          </rPr>
          <t>21.89081_Spectrum_Freq 7053024000Hz</t>
        </r>
      </text>
    </comment>
    <comment ref="AR15" authorId="0" shapeId="0">
      <text>
        <r>
          <rPr>
            <sz val="9"/>
            <color indexed="81"/>
            <rFont val="Tahoma"/>
            <family val="2"/>
          </rPr>
          <t>21.33255_Spectrum_Freq 7157328000Hz</t>
        </r>
      </text>
    </comment>
    <comment ref="BA15" authorId="0" shapeId="0">
      <text>
        <r>
          <rPr>
            <sz val="9"/>
            <color indexed="81"/>
            <rFont val="Tahoma"/>
            <family val="2"/>
          </rPr>
          <t>21.16357_Spectrum_Freq 7039550000Hz</t>
        </r>
      </text>
    </comment>
    <comment ref="BJ15" authorId="0" shapeId="0">
      <text>
        <r>
          <rPr>
            <sz val="9"/>
            <color indexed="81"/>
            <rFont val="Tahoma"/>
            <family val="2"/>
          </rPr>
          <t>20.75674_Spectrum_Freq 7122450000Hz</t>
        </r>
      </text>
    </comment>
    <comment ref="BS15" authorId="0" shapeId="0">
      <text>
        <r>
          <rPr>
            <sz val="9"/>
            <color indexed="81"/>
            <rFont val="Tahoma"/>
            <family val="2"/>
          </rPr>
          <t>22.14844_Spectrum_Freq 6994416000Hz</t>
        </r>
      </text>
    </comment>
    <comment ref="CB15" authorId="0" shapeId="0">
      <text>
        <r>
          <rPr>
            <sz val="9"/>
            <color indexed="81"/>
            <rFont val="Tahoma"/>
            <family val="2"/>
          </rPr>
          <t>21.71686_Spectrum_Freq 7153424000Hz</t>
        </r>
      </text>
    </comment>
    <comment ref="CK15" authorId="0" shapeId="0">
      <text>
        <r>
          <rPr>
            <sz val="9"/>
            <color indexed="81"/>
            <rFont val="Tahoma"/>
            <family val="2"/>
          </rPr>
          <t>21.15192_Spectrum_Freq 7086700000Hz</t>
        </r>
      </text>
    </comment>
    <comment ref="CT15" authorId="0" shapeId="0">
      <text>
        <r>
          <rPr>
            <sz val="9"/>
            <color indexed="81"/>
            <rFont val="Tahoma"/>
            <family val="2"/>
          </rPr>
          <t>21.01846_Spectrum_Freq 7094300000Hz</t>
        </r>
      </text>
    </comment>
    <comment ref="H16" authorId="0" shapeId="0">
      <text>
        <r>
          <rPr>
            <sz val="9"/>
            <color indexed="81"/>
            <rFont val="Tahoma"/>
            <family val="2"/>
          </rPr>
          <t>22.24686_Spectrum_Freq 7689620400Hz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21.88785_Spectrum_Freq 7865457600Hz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22.30133_Spectrum_Freq 7690540000Hz</t>
        </r>
      </text>
    </comment>
    <comment ref="AI16" authorId="0" shapeId="0">
      <text>
        <r>
          <rPr>
            <sz val="9"/>
            <color indexed="81"/>
            <rFont val="Tahoma"/>
            <family val="2"/>
          </rPr>
          <t>21.88818_Spectrum_Freq 7759888400Hz</t>
        </r>
      </text>
    </comment>
    <comment ref="AR16" authorId="0" shapeId="0">
      <text>
        <r>
          <rPr>
            <sz val="9"/>
            <color indexed="81"/>
            <rFont val="Tahoma"/>
            <family val="2"/>
          </rPr>
          <t>21.78784_Spectrum_Freq 7871877200Hz</t>
        </r>
      </text>
    </comment>
    <comment ref="BA16" authorId="0" shapeId="0">
      <text>
        <r>
          <rPr>
            <sz val="9"/>
            <color indexed="81"/>
            <rFont val="Tahoma"/>
            <family val="2"/>
          </rPr>
          <t>21.16547_Spectrum_Freq 7695545000Hz</t>
        </r>
      </text>
    </comment>
    <comment ref="BJ16" authorId="0" shapeId="0">
      <text>
        <r>
          <rPr>
            <sz val="9"/>
            <color indexed="81"/>
            <rFont val="Tahoma"/>
            <family val="2"/>
          </rPr>
          <t>20.98361_Spectrum_Freq 7861095000Hz</t>
        </r>
      </text>
    </comment>
    <comment ref="BS16" authorId="0" shapeId="0">
      <text>
        <r>
          <rPr>
            <sz val="9"/>
            <color indexed="81"/>
            <rFont val="Tahoma"/>
            <family val="2"/>
          </rPr>
          <t>22.1431_Spectrum_Freq 7695019200Hz</t>
        </r>
      </text>
    </comment>
    <comment ref="CB16" authorId="0" shapeId="0">
      <text>
        <r>
          <rPr>
            <sz val="9"/>
            <color indexed="81"/>
            <rFont val="Tahoma"/>
            <family val="2"/>
          </rPr>
          <t>21.78671_Spectrum_Freq 7868731200Hz</t>
        </r>
      </text>
    </comment>
    <comment ref="CK16" authorId="0" shapeId="0">
      <text>
        <r>
          <rPr>
            <sz val="9"/>
            <color indexed="81"/>
            <rFont val="Tahoma"/>
            <family val="2"/>
          </rPr>
          <t>21.15302_Spectrum_Freq 7689000000Hz</t>
        </r>
      </text>
    </comment>
    <comment ref="CT16" authorId="0" shapeId="0">
      <text>
        <r>
          <rPr>
            <sz val="9"/>
            <color indexed="81"/>
            <rFont val="Tahoma"/>
            <family val="2"/>
          </rPr>
          <t>21.01767_Spectrum_Freq 7773040000Hz</t>
        </r>
      </text>
    </comment>
    <comment ref="H17" authorId="0" shapeId="0">
      <text>
        <r>
          <rPr>
            <sz val="9"/>
            <color indexed="81"/>
            <rFont val="Tahoma"/>
            <family val="2"/>
          </rPr>
          <t>22.242_Spectrum_Freq 8393020800Hz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>21.89929_Spectrum_Freq 8575804800Hz</t>
        </r>
      </text>
    </comment>
    <comment ref="Z17" authorId="0" shapeId="0">
      <text>
        <r>
          <rPr>
            <sz val="9"/>
            <color indexed="81"/>
            <rFont val="Tahoma"/>
            <family val="2"/>
          </rPr>
          <t>21.7467_Spectrum_Freq 9287556680Hz</t>
        </r>
      </text>
    </comment>
    <comment ref="AI17" authorId="0" shapeId="0">
      <text>
        <r>
          <rPr>
            <sz val="9"/>
            <color indexed="81"/>
            <rFont val="Tahoma"/>
            <family val="2"/>
          </rPr>
          <t>21.97092_Spectrum_Freq 8465448000Hz</t>
        </r>
      </text>
    </comment>
    <comment ref="AR17" authorId="0" shapeId="0">
      <text>
        <r>
          <rPr>
            <sz val="9"/>
            <color indexed="81"/>
            <rFont val="Tahoma"/>
            <family val="2"/>
          </rPr>
          <t>21.7789_Spectrum_Freq 8587670400Hz</t>
        </r>
      </text>
    </comment>
    <comment ref="BA17" authorId="0" shapeId="0">
      <text>
        <r>
          <rPr>
            <sz val="9"/>
            <color indexed="81"/>
            <rFont val="Tahoma"/>
            <family val="2"/>
          </rPr>
          <t>21.17807_Spectrum_Freq 8445780000Hz</t>
        </r>
      </text>
    </comment>
    <comment ref="BJ17" authorId="0" shapeId="0">
      <text>
        <r>
          <rPr>
            <sz val="9"/>
            <color indexed="81"/>
            <rFont val="Tahoma"/>
            <family val="2"/>
          </rPr>
          <t>20.98016_Spectrum_Freq 8565300000Hz</t>
        </r>
      </text>
    </comment>
    <comment ref="BS17" authorId="0" shapeId="0">
      <text>
        <r>
          <rPr>
            <sz val="9"/>
            <color indexed="81"/>
            <rFont val="Tahoma"/>
            <family val="2"/>
          </rPr>
          <t>21.68884_Spectrum_Freq 8396812800Hz</t>
        </r>
      </text>
    </comment>
    <comment ref="CB17" authorId="0" shapeId="0">
      <text>
        <r>
          <rPr>
            <sz val="9"/>
            <color indexed="81"/>
            <rFont val="Tahoma"/>
            <family val="2"/>
          </rPr>
          <t>21.5654_Spectrum_Freq 8586619200Hz</t>
        </r>
      </text>
    </comment>
    <comment ref="CK17" authorId="0" shapeId="0">
      <text>
        <r>
          <rPr>
            <sz val="9"/>
            <color indexed="81"/>
            <rFont val="Tahoma"/>
            <family val="2"/>
          </rPr>
          <t>21.14899_Spectrum_Freq 8451720000Hz</t>
        </r>
      </text>
    </comment>
    <comment ref="CT17" authorId="0" shapeId="0">
      <text>
        <r>
          <rPr>
            <sz val="9"/>
            <color indexed="81"/>
            <rFont val="Tahoma"/>
            <family val="2"/>
          </rPr>
          <t>21.02148_Spectrum_Freq 8568960000Hz</t>
        </r>
      </text>
    </comment>
    <comment ref="H18" authorId="0" shapeId="0">
      <text>
        <r>
          <rPr>
            <sz val="9"/>
            <color indexed="81"/>
            <rFont val="Tahoma"/>
            <family val="2"/>
          </rPr>
          <t>22.24011_Spectrum_Freq 9092127200Hz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>21.8244_Spectrum_Freq 9294485200Hz</t>
        </r>
      </text>
    </comment>
    <comment ref="Z18" authorId="0" shapeId="0">
      <text>
        <r>
          <rPr>
            <sz val="9"/>
            <color indexed="81"/>
            <rFont val="Tahoma"/>
            <family val="2"/>
          </rPr>
          <t>22.19827_Spectrum_Freq 9091544800Hz</t>
        </r>
      </text>
    </comment>
    <comment ref="AI18" authorId="0" shapeId="0">
      <text>
        <r>
          <rPr>
            <sz val="9"/>
            <color indexed="81"/>
            <rFont val="Tahoma"/>
            <family val="2"/>
          </rPr>
          <t>22.03421_Spectrum_Freq 9169524000Hz</t>
        </r>
      </text>
    </comment>
    <comment ref="AR18" authorId="0" shapeId="0">
      <text>
        <r>
          <rPr>
            <sz val="9"/>
            <color indexed="81"/>
            <rFont val="Tahoma"/>
            <family val="2"/>
          </rPr>
          <t>21.78027_Spectrum_Freq 9303798400Hz</t>
        </r>
      </text>
    </comment>
    <comment ref="BA18" authorId="0" shapeId="0">
      <text>
        <r>
          <rPr>
            <sz val="9"/>
            <color indexed="81"/>
            <rFont val="Tahoma"/>
            <family val="2"/>
          </rPr>
          <t>21.05978_Spectrum_Freq 9145045000Hz</t>
        </r>
      </text>
    </comment>
    <comment ref="BJ18" authorId="0" shapeId="0">
      <text>
        <r>
          <rPr>
            <sz val="9"/>
            <color indexed="81"/>
            <rFont val="Tahoma"/>
            <family val="2"/>
          </rPr>
          <t>20.97955_Spectrum_Freq 9284665000Hz</t>
        </r>
      </text>
    </comment>
    <comment ref="BS18" authorId="0" shapeId="0">
      <text>
        <r>
          <rPr>
            <sz val="9"/>
            <color indexed="81"/>
            <rFont val="Tahoma"/>
            <family val="2"/>
          </rPr>
          <t>22.14124_Spectrum_Freq 9097192000Hz</t>
        </r>
      </text>
    </comment>
    <comment ref="CB18" authorId="0" shapeId="0">
      <text>
        <r>
          <rPr>
            <sz val="9"/>
            <color indexed="81"/>
            <rFont val="Tahoma"/>
            <family val="2"/>
          </rPr>
          <t>21.70511_Spectrum_Freq 9298608800Hz</t>
        </r>
      </text>
    </comment>
    <comment ref="CK18" authorId="0" shapeId="0">
      <text>
        <r>
          <rPr>
            <sz val="9"/>
            <color indexed="81"/>
            <rFont val="Tahoma"/>
            <family val="2"/>
          </rPr>
          <t>21.15497_Spectrum_Freq 9161360000Hz</t>
        </r>
      </text>
    </comment>
    <comment ref="CT18" authorId="0" shapeId="0">
      <text>
        <r>
          <rPr>
            <sz val="9"/>
            <color indexed="81"/>
            <rFont val="Tahoma"/>
            <family val="2"/>
          </rPr>
          <t>21.02472_Spectrum_Freq 9282390000Hz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22.23737_Spectrum_Freq 9791017600Hz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>21.81345_Spectrum_Freq 10009731200Hz</t>
        </r>
      </text>
    </comment>
    <comment ref="Z19" authorId="0" shapeId="0">
      <text>
        <r>
          <rPr>
            <sz val="9"/>
            <color indexed="81"/>
            <rFont val="Tahoma"/>
            <family val="2"/>
          </rPr>
          <t>21.73819_Spectrum_Freq 9789068800Hz</t>
        </r>
      </text>
    </comment>
    <comment ref="AI19" authorId="0" shapeId="0">
      <text>
        <r>
          <rPr>
            <sz val="9"/>
            <color indexed="81"/>
            <rFont val="Tahoma"/>
            <family val="2"/>
          </rPr>
          <t>22.03259_Spectrum_Freq 9872133600Hz</t>
        </r>
      </text>
    </comment>
    <comment ref="AR19" authorId="0" shapeId="0">
      <text>
        <r>
          <rPr>
            <sz val="9"/>
            <color indexed="81"/>
            <rFont val="Tahoma"/>
            <family val="2"/>
          </rPr>
          <t>21.32889_Spectrum_Freq 10017868000Hz</t>
        </r>
      </text>
    </comment>
    <comment ref="BA19" authorId="0" shapeId="0">
      <text>
        <r>
          <rPr>
            <sz val="9"/>
            <color indexed="81"/>
            <rFont val="Tahoma"/>
            <family val="2"/>
          </rPr>
          <t>21.16159_Spectrum_Freq 9851870000Hz</t>
        </r>
      </text>
    </comment>
    <comment ref="BJ19" authorId="0" shapeId="0">
      <text>
        <r>
          <rPr>
            <sz val="9"/>
            <color indexed="81"/>
            <rFont val="Tahoma"/>
            <family val="2"/>
          </rPr>
          <t>21.07391_Spectrum_Freq 10016160000Hz</t>
        </r>
      </text>
    </comment>
    <comment ref="BS19" authorId="0" shapeId="0">
      <text>
        <r>
          <rPr>
            <sz val="9"/>
            <color indexed="81"/>
            <rFont val="Tahoma"/>
            <family val="2"/>
          </rPr>
          <t>21.6868_Spectrum_Freq 9792557600Hz</t>
        </r>
      </text>
    </comment>
    <comment ref="CB19" authorId="0" shapeId="0">
      <text>
        <r>
          <rPr>
            <sz val="9"/>
            <color indexed="81"/>
            <rFont val="Tahoma"/>
            <family val="2"/>
          </rPr>
          <t>21.56885_Spectrum_Freq 10016731200Hz</t>
        </r>
      </text>
    </comment>
    <comment ref="CK19" authorId="0" shapeId="0">
      <text>
        <r>
          <rPr>
            <sz val="9"/>
            <color indexed="81"/>
            <rFont val="Tahoma"/>
            <family val="2"/>
          </rPr>
          <t>21.15652_Spectrum_Freq 9922920000Hz</t>
        </r>
      </text>
    </comment>
    <comment ref="CT19" authorId="0" shapeId="0">
      <text>
        <r>
          <rPr>
            <sz val="9"/>
            <color indexed="81"/>
            <rFont val="Tahoma"/>
            <family val="2"/>
          </rPr>
          <t>21.03839_Spectrum_Freq 10016440000Hz</t>
        </r>
      </text>
    </comment>
    <comment ref="H20" authorId="0" shapeId="0">
      <text>
        <r>
          <rPr>
            <sz val="9"/>
            <color indexed="81"/>
            <rFont val="Tahoma"/>
            <family val="2"/>
          </rPr>
          <t>22.23151_Spectrum_Freq 10487046000Hz</t>
        </r>
      </text>
    </comment>
    <comment ref="Q20" authorId="0" shapeId="0">
      <text>
        <r>
          <rPr>
            <sz val="9"/>
            <color indexed="81"/>
            <rFont val="Tahoma"/>
            <family val="2"/>
          </rPr>
          <t>21.88217_Spectrum_Freq 10720500000Hz</t>
        </r>
      </text>
    </comment>
    <comment ref="Z20" authorId="0" shapeId="0">
      <text>
        <r>
          <rPr>
            <sz val="9"/>
            <color indexed="81"/>
            <rFont val="Tahoma"/>
            <family val="2"/>
          </rPr>
          <t>22.1958_Spectrum_Freq 10489950000Hz</t>
        </r>
      </text>
    </comment>
    <comment ref="AI20" authorId="0" shapeId="0">
      <text>
        <r>
          <rPr>
            <sz val="9"/>
            <color indexed="81"/>
            <rFont val="Tahoma"/>
            <family val="2"/>
          </rPr>
          <t>21.89154_Spectrum_Freq 10579548000Hz</t>
        </r>
      </text>
    </comment>
    <comment ref="AR20" authorId="0" shapeId="0">
      <text>
        <r>
          <rPr>
            <sz val="9"/>
            <color indexed="81"/>
            <rFont val="Tahoma"/>
            <family val="2"/>
          </rPr>
          <t>21.78549_Spectrum_Freq 10736406000Hz</t>
        </r>
      </text>
    </comment>
    <comment ref="BA20" authorId="0" shapeId="0">
      <text>
        <r>
          <rPr>
            <sz val="9"/>
            <color indexed="81"/>
            <rFont val="Tahoma"/>
            <family val="2"/>
          </rPr>
          <t>21.16745_Spectrum_Freq 10555275000Hz</t>
        </r>
      </text>
    </comment>
    <comment ref="BJ20" authorId="0" shapeId="0">
      <text>
        <r>
          <rPr>
            <sz val="9"/>
            <color indexed="81"/>
            <rFont val="Tahoma"/>
            <family val="2"/>
          </rPr>
          <t>20.99789_Spectrum_Freq 10696725000Hz</t>
        </r>
      </text>
    </comment>
    <comment ref="BS20" authorId="0" shapeId="0">
      <text>
        <r>
          <rPr>
            <sz val="9"/>
            <color indexed="81"/>
            <rFont val="Tahoma"/>
            <family val="2"/>
          </rPr>
          <t>22.04181_Spectrum_Freq 10494804000Hz</t>
        </r>
      </text>
    </comment>
    <comment ref="CB20" authorId="0" shapeId="0">
      <text>
        <r>
          <rPr>
            <sz val="9"/>
            <color indexed="81"/>
            <rFont val="Tahoma"/>
            <family val="2"/>
          </rPr>
          <t>21.7009_Spectrum_Freq 10728348000Hz</t>
        </r>
      </text>
    </comment>
    <comment ref="CK20" authorId="0" shapeId="0">
      <text>
        <r>
          <rPr>
            <sz val="9"/>
            <color indexed="81"/>
            <rFont val="Tahoma"/>
            <family val="2"/>
          </rPr>
          <t>21.15674_Spectrum_Freq 10603950000Hz</t>
        </r>
      </text>
    </comment>
    <comment ref="CT20" authorId="0" shapeId="0">
      <text>
        <r>
          <rPr>
            <sz val="9"/>
            <color indexed="81"/>
            <rFont val="Tahoma"/>
            <family val="2"/>
          </rPr>
          <t>21.02542_Spectrum_Freq 10714500000Hz</t>
        </r>
      </text>
    </comment>
    <comment ref="H21" authorId="0" shapeId="0">
      <text>
        <r>
          <rPr>
            <sz val="9"/>
            <color indexed="81"/>
            <rFont val="Tahoma"/>
            <family val="2"/>
          </rPr>
          <t>22.24582_Spectrum_Freq 11188403200Hz</t>
        </r>
      </text>
    </comment>
    <comment ref="Q21" authorId="0" shapeId="0">
      <text>
        <r>
          <rPr>
            <sz val="9"/>
            <color indexed="81"/>
            <rFont val="Tahoma"/>
            <family val="2"/>
          </rPr>
          <t>21.80243_Spectrum_Freq 11437491200Hz</t>
        </r>
      </text>
    </comment>
    <comment ref="Z21" authorId="0" shapeId="0">
      <text>
        <r>
          <rPr>
            <sz val="9"/>
            <color indexed="81"/>
            <rFont val="Tahoma"/>
            <family val="2"/>
          </rPr>
          <t>22.21613_Spectrum_Freq 11189382400Hz</t>
        </r>
      </text>
    </comment>
    <comment ref="AI21" authorId="0" shapeId="0">
      <text>
        <r>
          <rPr>
            <sz val="9"/>
            <color indexed="81"/>
            <rFont val="Tahoma"/>
            <family val="2"/>
          </rPr>
          <t>22.043_Spectrum_Freq 11286188800Hz</t>
        </r>
      </text>
    </comment>
    <comment ref="AR21" authorId="0" shapeId="0">
      <text>
        <r>
          <rPr>
            <sz val="9"/>
            <color indexed="81"/>
            <rFont val="Tahoma"/>
            <family val="2"/>
          </rPr>
          <t>21.78351_Spectrum_Freq 11449472000Hz</t>
        </r>
      </text>
    </comment>
    <comment ref="BA21" authorId="0" shapeId="0">
      <text>
        <r>
          <rPr>
            <sz val="9"/>
            <color indexed="81"/>
            <rFont val="Tahoma"/>
            <family val="2"/>
          </rPr>
          <t>21.17227_Spectrum_Freq 11259440000Hz</t>
        </r>
      </text>
    </comment>
    <comment ref="BJ21" authorId="0" shapeId="0">
      <text>
        <r>
          <rPr>
            <sz val="9"/>
            <color indexed="81"/>
            <rFont val="Tahoma"/>
            <family val="2"/>
          </rPr>
          <t>20.98438_Spectrum_Freq 11433280000Hz</t>
        </r>
      </text>
    </comment>
    <comment ref="BS21" authorId="0" shapeId="0">
      <text>
        <r>
          <rPr>
            <sz val="9"/>
            <color indexed="81"/>
            <rFont val="Tahoma"/>
            <family val="2"/>
          </rPr>
          <t>22.13309_Spectrum_Freq 11190694400Hz</t>
        </r>
      </text>
    </comment>
    <comment ref="CB21" authorId="0" shapeId="0">
      <text>
        <r>
          <rPr>
            <sz val="9"/>
            <color indexed="81"/>
            <rFont val="Tahoma"/>
            <family val="2"/>
          </rPr>
          <t>21.54892_Spectrum_Freq 11449254400Hz</t>
        </r>
      </text>
    </comment>
    <comment ref="CK21" authorId="0" shapeId="0">
      <text>
        <r>
          <rPr>
            <sz val="9"/>
            <color indexed="81"/>
            <rFont val="Tahoma"/>
            <family val="2"/>
          </rPr>
          <t>21.25177_Spectrum_Freq 11341920000Hz</t>
        </r>
      </text>
    </comment>
    <comment ref="CT21" authorId="0" shapeId="0">
      <text>
        <r>
          <rPr>
            <sz val="9"/>
            <color indexed="81"/>
            <rFont val="Tahoma"/>
            <family val="2"/>
          </rPr>
          <t>21.02176_Spectrum_Freq 11420640000Hz</t>
        </r>
      </text>
    </comment>
    <comment ref="H22" authorId="0" shapeId="0">
      <text>
        <r>
          <rPr>
            <sz val="9"/>
            <color indexed="81"/>
            <rFont val="Tahoma"/>
            <family val="2"/>
          </rPr>
          <t>22.22803_Spectrum_Freq 11888644000Hz</t>
        </r>
      </text>
    </comment>
    <comment ref="Q22" authorId="0" shapeId="0">
      <text>
        <r>
          <rPr>
            <sz val="9"/>
            <color indexed="81"/>
            <rFont val="Tahoma"/>
            <family val="2"/>
          </rPr>
          <t>21.87274_Spectrum_Freq 12149580400Hz</t>
        </r>
      </text>
    </comment>
    <comment ref="Z22" authorId="0" shapeId="0">
      <text>
        <r>
          <rPr>
            <sz val="9"/>
            <color indexed="81"/>
            <rFont val="Tahoma"/>
            <family val="2"/>
          </rPr>
          <t>22.21152_Spectrum_Freq 11891602000Hz</t>
        </r>
      </text>
    </comment>
    <comment ref="AI22" authorId="0" shapeId="0">
      <text>
        <r>
          <rPr>
            <sz val="9"/>
            <color indexed="81"/>
            <rFont val="Tahoma"/>
            <family val="2"/>
          </rPr>
          <t>21.88763_Spectrum_Freq 11992520800Hz</t>
        </r>
      </text>
    </comment>
    <comment ref="AR22" authorId="0" shapeId="0">
      <text>
        <r>
          <rPr>
            <sz val="9"/>
            <color indexed="81"/>
            <rFont val="Tahoma"/>
            <family val="2"/>
          </rPr>
          <t>21.78613_Spectrum_Freq 12166702800Hz</t>
        </r>
      </text>
    </comment>
    <comment ref="BA22" authorId="0" shapeId="0">
      <text>
        <r>
          <rPr>
            <sz val="9"/>
            <color indexed="81"/>
            <rFont val="Tahoma"/>
            <family val="2"/>
          </rPr>
          <t>21.1665_Spectrum_Freq 11964940000Hz</t>
        </r>
      </text>
    </comment>
    <comment ref="BJ22" authorId="0" shapeId="0">
      <text>
        <r>
          <rPr>
            <sz val="9"/>
            <color indexed="81"/>
            <rFont val="Tahoma"/>
            <family val="2"/>
          </rPr>
          <t>20.98892_Spectrum_Freq 12089040000Hz</t>
        </r>
      </text>
    </comment>
    <comment ref="BS22" authorId="0" shapeId="0">
      <text>
        <r>
          <rPr>
            <sz val="9"/>
            <color indexed="81"/>
            <rFont val="Tahoma"/>
            <family val="2"/>
          </rPr>
          <t>21.68201_Spectrum_Freq 11893410800Hz</t>
        </r>
      </text>
    </comment>
    <comment ref="CB22" authorId="0" shapeId="0">
      <text>
        <r>
          <rPr>
            <sz val="9"/>
            <color indexed="81"/>
            <rFont val="Tahoma"/>
            <family val="2"/>
          </rPr>
          <t>21.55963_Spectrum_Freq 12163330000Hz</t>
        </r>
      </text>
    </comment>
    <comment ref="CK22" authorId="0" shapeId="0">
      <text>
        <r>
          <rPr>
            <sz val="9"/>
            <color indexed="81"/>
            <rFont val="Tahoma"/>
            <family val="2"/>
          </rPr>
          <t>21.15723_Spectrum_Freq 12014750000Hz</t>
        </r>
      </text>
    </comment>
    <comment ref="CT22" authorId="0" shapeId="0">
      <text>
        <r>
          <rPr>
            <sz val="9"/>
            <color indexed="81"/>
            <rFont val="Tahoma"/>
            <family val="2"/>
          </rPr>
          <t>21.02936_Spectrum_Freq 12016450000Hz</t>
        </r>
      </text>
    </comment>
  </commentList>
</comments>
</file>

<file path=xl/comments10.xml><?xml version="1.0" encoding="utf-8"?>
<comments xmlns="http://schemas.openxmlformats.org/spreadsheetml/2006/main">
  <authors>
    <author>Long, WANG (HW-NB-TCT)</author>
  </authors>
  <commentList>
    <comment ref="H8" authorId="0" shapeId="0">
      <text>
        <r>
          <rPr>
            <sz val="9"/>
            <color indexed="81"/>
            <rFont val="Tahoma"/>
            <family val="2"/>
          </rPr>
          <t>22.21576_Spectrum_Freq 1555071200Hz</t>
        </r>
      </text>
    </comment>
    <comment ref="Q8" authorId="0" shapeId="0">
      <text>
        <r>
          <rPr>
            <sz val="9"/>
            <color indexed="81"/>
            <rFont val="Tahoma"/>
            <family val="2"/>
          </rPr>
          <t>22.41382_Spectrum_Freq 1572870400Hz</t>
        </r>
      </text>
    </comment>
    <comment ref="Z8" authorId="0" shapeId="0">
      <text>
        <r>
          <rPr>
            <sz val="9"/>
            <color indexed="81"/>
            <rFont val="Tahoma"/>
            <family val="2"/>
          </rPr>
          <t>21.74567_Spectrum_Freq 1572580000Hz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22.23804_Spectrum_Freq 2332668000Hz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22.41495_Spectrum_Freq 2358987600Hz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21.75516_Spectrum_Freq 2345940000Hz</t>
        </r>
      </text>
    </comment>
    <comment ref="H10" authorId="0" shapeId="0">
      <text>
        <r>
          <rPr>
            <sz val="9"/>
            <color indexed="81"/>
            <rFont val="Tahoma"/>
            <family val="2"/>
          </rPr>
          <t>22.21375_Spectrum_Freq 3109633600Hz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>22.38843_Spectrum_Freq 3145649600Hz</t>
        </r>
      </text>
    </comment>
    <comment ref="Z10" authorId="0" shapeId="0">
      <text>
        <r>
          <rPr>
            <sz val="9"/>
            <color indexed="81"/>
            <rFont val="Tahoma"/>
            <family val="2"/>
          </rPr>
          <t>21.75339_Spectrum_Freq 3145360000Hz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22.19727_Spectrum_Freq 3887546000Hz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>22.41049_Spectrum_Freq 3931476000Hz</t>
        </r>
      </text>
    </comment>
    <comment ref="Z11" authorId="0" shapeId="0">
      <text>
        <r>
          <rPr>
            <sz val="9"/>
            <color indexed="81"/>
            <rFont val="Tahoma"/>
            <family val="2"/>
          </rPr>
          <t>21.64105_Spectrum_Freq 3923550000Hz</t>
        </r>
      </text>
    </comment>
    <comment ref="H12" authorId="0" shapeId="0">
      <text>
        <r>
          <rPr>
            <sz val="9"/>
            <color indexed="81"/>
            <rFont val="Tahoma"/>
            <family val="2"/>
          </rPr>
          <t>22.18729_Spectrum_Freq 4665477600Hz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>22.40411_Spectrum_Freq 4718858400Hz</t>
        </r>
      </text>
    </comment>
    <comment ref="Z12" authorId="0" shapeId="0">
      <text>
        <r>
          <rPr>
            <sz val="9"/>
            <color indexed="81"/>
            <rFont val="Tahoma"/>
            <family val="2"/>
          </rPr>
          <t>21.73993_Spectrum_Freq 4708740000Hz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22.17899_Spectrum_Freq 5443827200Hz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22.43481_Spectrum_Freq 5503582000Hz</t>
        </r>
      </text>
    </comment>
    <comment ref="Z13" authorId="0" shapeId="0">
      <text>
        <r>
          <rPr>
            <sz val="9"/>
            <color indexed="81"/>
            <rFont val="Tahoma"/>
            <family val="2"/>
          </rPr>
          <t>21.74762_Spectrum_Freq 5508930000Hz</t>
        </r>
      </text>
    </comment>
    <comment ref="H14" authorId="0" shapeId="0">
      <text>
        <r>
          <rPr>
            <sz val="9"/>
            <color indexed="81"/>
            <rFont val="Tahoma"/>
            <family val="2"/>
          </rPr>
          <t>22.15955_Spectrum_Freq 6220560000Hz</t>
        </r>
      </text>
    </comment>
    <comment ref="Q14" authorId="0" shapeId="0">
      <text>
        <r>
          <rPr>
            <sz val="9"/>
            <color indexed="81"/>
            <rFont val="Tahoma"/>
            <family val="2"/>
          </rPr>
          <t>22.49652_Spectrum_Freq 6292348800Hz</t>
        </r>
      </text>
    </comment>
    <comment ref="Z14" authorId="0" shapeId="0">
      <text>
        <r>
          <rPr>
            <sz val="9"/>
            <color indexed="81"/>
            <rFont val="Tahoma"/>
            <family val="2"/>
          </rPr>
          <t>21.63541_Spectrum_Freq 6218800000Hz</t>
        </r>
      </text>
    </comment>
    <comment ref="H15" authorId="0" shapeId="0">
      <text>
        <r>
          <rPr>
            <sz val="9"/>
            <color indexed="81"/>
            <rFont val="Tahoma"/>
            <family val="2"/>
          </rPr>
          <t>22.17249_Spectrum_Freq 6998227200Hz</t>
        </r>
      </text>
    </comment>
    <comment ref="Q15" authorId="0" shapeId="0">
      <text>
        <r>
          <rPr>
            <sz val="9"/>
            <color indexed="81"/>
            <rFont val="Tahoma"/>
            <family val="2"/>
          </rPr>
          <t>22.51343_Spectrum_Freq 7078010400Hz</t>
        </r>
      </text>
    </comment>
    <comment ref="Z15" authorId="0" shapeId="0">
      <text>
        <r>
          <rPr>
            <sz val="9"/>
            <color indexed="81"/>
            <rFont val="Tahoma"/>
            <family val="2"/>
          </rPr>
          <t>21.64798_Spectrum_Freq 7083000000Hz</t>
        </r>
      </text>
    </comment>
    <comment ref="H16" authorId="0" shapeId="0">
      <text>
        <r>
          <rPr>
            <sz val="9"/>
            <color indexed="81"/>
            <rFont val="Tahoma"/>
            <family val="2"/>
          </rPr>
          <t>22.1395_Spectrum_Freq 7777332000Hz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22.44055_Spectrum_Freq 7865964000Hz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21.7507_Spectrum_Freq 7771400000Hz</t>
        </r>
      </text>
    </comment>
    <comment ref="H17" authorId="0" shapeId="0">
      <text>
        <r>
          <rPr>
            <sz val="9"/>
            <color indexed="81"/>
            <rFont val="Tahoma"/>
            <family val="2"/>
          </rPr>
          <t>22.14084_Spectrum_Freq 8554172000Hz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>22.42728_Spectrum_Freq 8650474800Hz</t>
        </r>
      </text>
    </comment>
    <comment ref="Z17" authorId="0" shapeId="0">
      <text>
        <r>
          <rPr>
            <sz val="9"/>
            <color indexed="81"/>
            <rFont val="Tahoma"/>
            <family val="2"/>
          </rPr>
          <t>21.62595_Spectrum_Freq 8581430000Hz</t>
        </r>
      </text>
    </comment>
    <comment ref="H18" authorId="0" shapeId="0">
      <text>
        <r>
          <rPr>
            <sz val="9"/>
            <color indexed="81"/>
            <rFont val="Tahoma"/>
            <family val="2"/>
          </rPr>
          <t>22.12921_Spectrum_Freq 9330676800Hz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>22.42761_Spectrum_Freq 9439286400Hz</t>
        </r>
      </text>
    </comment>
    <comment ref="Z18" authorId="0" shapeId="0">
      <text>
        <r>
          <rPr>
            <sz val="9"/>
            <color indexed="81"/>
            <rFont val="Tahoma"/>
            <family val="2"/>
          </rPr>
          <t>21.73761_Spectrum_Freq 9379920000Hz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22.25409_Spectrum_Freq 10110724000Hz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>22.43121_Spectrum_Freq 10222409600Hz</t>
        </r>
      </text>
    </comment>
    <comment ref="Z19" authorId="0" shapeId="0">
      <text>
        <r>
          <rPr>
            <sz val="9"/>
            <color indexed="81"/>
            <rFont val="Tahoma"/>
            <family val="2"/>
          </rPr>
          <t>21.74576_Spectrum_Freq 10171850000Hz</t>
        </r>
      </text>
    </comment>
    <comment ref="H20" authorId="0" shapeId="0">
      <text>
        <r>
          <rPr>
            <sz val="9"/>
            <color indexed="81"/>
            <rFont val="Tahoma"/>
            <family val="2"/>
          </rPr>
          <t>22.1283_Spectrum_Freq 10888494400Hz</t>
        </r>
      </text>
    </comment>
    <comment ref="Q20" authorId="0" shapeId="0">
      <text>
        <r>
          <rPr>
            <sz val="9"/>
            <color indexed="81"/>
            <rFont val="Tahoma"/>
            <family val="2"/>
          </rPr>
          <t>22.42361_Spectrum_Freq 11012209600Hz</t>
        </r>
      </text>
    </comment>
    <comment ref="Z20" authorId="0" shapeId="0">
      <text>
        <r>
          <rPr>
            <sz val="9"/>
            <color indexed="81"/>
            <rFont val="Tahoma"/>
            <family val="2"/>
          </rPr>
          <t>21.74893_Spectrum_Freq 10885980000Hz</t>
        </r>
      </text>
    </comment>
    <comment ref="H21" authorId="0" shapeId="0">
      <text>
        <r>
          <rPr>
            <sz val="9"/>
            <color indexed="81"/>
            <rFont val="Tahoma"/>
            <family val="2"/>
          </rPr>
          <t>22.10965_Spectrum_Freq 11661582000Hz</t>
        </r>
      </text>
    </comment>
    <comment ref="Q21" authorId="0" shapeId="0">
      <text>
        <r>
          <rPr>
            <sz val="9"/>
            <color indexed="81"/>
            <rFont val="Tahoma"/>
            <family val="2"/>
          </rPr>
          <t>22.43091_Spectrum_Freq 11797734000Hz</t>
        </r>
      </text>
    </comment>
    <comment ref="Z21" authorId="0" shapeId="0">
      <text>
        <r>
          <rPr>
            <sz val="9"/>
            <color indexed="81"/>
            <rFont val="Tahoma"/>
            <family val="2"/>
          </rPr>
          <t>21.75024_Spectrum_Freq 11796000000Hz</t>
        </r>
      </text>
    </comment>
  </commentList>
</comments>
</file>

<file path=xl/comments11.xml><?xml version="1.0" encoding="utf-8"?>
<comments xmlns="http://schemas.openxmlformats.org/spreadsheetml/2006/main">
  <authors>
    <author>Long, WANG (HW-NB-TCT)</author>
  </authors>
  <commentList>
    <comment ref="H7" authorId="0" shapeId="0">
      <text>
        <r>
          <rPr>
            <sz val="9"/>
            <color indexed="81"/>
            <rFont val="Tahoma"/>
            <family val="2"/>
          </rPr>
          <t>21.91174_Spectrum_Freq 1411148800Hz</t>
        </r>
      </text>
    </comment>
    <comment ref="Q7" authorId="0" shapeId="0">
      <text>
        <r>
          <rPr>
            <sz val="9"/>
            <color indexed="81"/>
            <rFont val="Tahoma"/>
            <family val="2"/>
          </rPr>
          <t>21.7236_Spectrum_Freq 1428817600Hz</t>
        </r>
      </text>
    </comment>
    <comment ref="Z7" authorId="0" shapeId="0">
      <text>
        <r>
          <rPr>
            <sz val="9"/>
            <color indexed="81"/>
            <rFont val="Tahoma"/>
            <family val="2"/>
          </rPr>
          <t>21.31549_Spectrum_Freq 1421880000Hz</t>
        </r>
      </text>
    </comment>
    <comment ref="H8" authorId="0" shapeId="0">
      <text>
        <r>
          <rPr>
            <sz val="9"/>
            <color indexed="81"/>
            <rFont val="Tahoma"/>
            <family val="2"/>
          </rPr>
          <t>21.88437_Spectrum_Freq 2117202000Hz</t>
        </r>
      </text>
    </comment>
    <comment ref="Q8" authorId="0" shapeId="0">
      <text>
        <r>
          <rPr>
            <sz val="9"/>
            <color indexed="81"/>
            <rFont val="Tahoma"/>
            <family val="2"/>
          </rPr>
          <t>22.08478_Spectrum_Freq 2143658400Hz</t>
        </r>
      </text>
    </comment>
    <comment ref="Z8" authorId="0" shapeId="0">
      <text>
        <r>
          <rPr>
            <sz val="9"/>
            <color indexed="81"/>
            <rFont val="Tahoma"/>
            <family val="2"/>
          </rPr>
          <t>21.33408_Spectrum_Freq 2135670000Hz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22.4248_Spectrum_Freq 2822076800Hz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21.61276_Spectrum_Freq 2857616000Hz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21.17068_Spectrum_Freq 2822360000Hz</t>
        </r>
      </text>
    </comment>
    <comment ref="H10" authorId="0" shapeId="0">
      <text>
        <r>
          <rPr>
            <sz val="9"/>
            <color indexed="81"/>
            <rFont val="Tahoma"/>
            <family val="2"/>
          </rPr>
          <t>21.87323_Spectrum_Freq 3528288000Hz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>21.71646_Spectrum_Freq 3572464000Hz</t>
        </r>
      </text>
    </comment>
    <comment ref="Z10" authorId="0" shapeId="0">
      <text>
        <r>
          <rPr>
            <sz val="9"/>
            <color indexed="81"/>
            <rFont val="Tahoma"/>
            <family val="2"/>
          </rPr>
          <t>21.16193_Spectrum_Freq 3574450000Hz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22.43408_Spectrum_Freq 4234569600Hz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>22.07874_Spectrum_Freq 4287048000Hz</t>
        </r>
      </text>
    </comment>
    <comment ref="Z11" authorId="0" shapeId="0">
      <text>
        <r>
          <rPr>
            <sz val="9"/>
            <color indexed="81"/>
            <rFont val="Tahoma"/>
            <family val="2"/>
          </rPr>
          <t>21.18347_Spectrum_Freq 4262880000Hz</t>
        </r>
      </text>
    </comment>
    <comment ref="H12" authorId="0" shapeId="0">
      <text>
        <r>
          <rPr>
            <sz val="9"/>
            <color indexed="81"/>
            <rFont val="Tahoma"/>
            <family val="2"/>
          </rPr>
          <t>21.88516_Spectrum_Freq 4939922400Hz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>21.71912_Spectrum_Freq 5001519600Hz</t>
        </r>
      </text>
    </comment>
    <comment ref="Z12" authorId="0" shapeId="0">
      <text>
        <r>
          <rPr>
            <sz val="9"/>
            <color indexed="81"/>
            <rFont val="Tahoma"/>
            <family val="2"/>
          </rPr>
          <t>21.18658_Spectrum_Freq 5002270000Hz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22.43945_Spectrum_Freq 5643404800Hz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21.71155_Spectrum_Freq 5715548800Hz</t>
        </r>
      </text>
    </comment>
    <comment ref="Z13" authorId="0" shapeId="0">
      <text>
        <r>
          <rPr>
            <sz val="9"/>
            <color indexed="81"/>
            <rFont val="Tahoma"/>
            <family val="2"/>
          </rPr>
          <t>21.18753_Spectrum_Freq 5652240000Hz</t>
        </r>
      </text>
    </comment>
    <comment ref="H14" authorId="0" shapeId="0">
      <text>
        <r>
          <rPr>
            <sz val="9"/>
            <color indexed="81"/>
            <rFont val="Tahoma"/>
            <family val="2"/>
          </rPr>
          <t>21.98993_Spectrum_Freq 6352034400Hz</t>
        </r>
      </text>
    </comment>
    <comment ref="Q14" authorId="0" shapeId="0">
      <text>
        <r>
          <rPr>
            <sz val="9"/>
            <color indexed="81"/>
            <rFont val="Tahoma"/>
            <family val="2"/>
          </rPr>
          <t>22.13962_Spectrum_Freq 6431342400Hz</t>
        </r>
      </text>
    </comment>
    <comment ref="Z14" authorId="0" shapeId="0">
      <text>
        <r>
          <rPr>
            <sz val="9"/>
            <color indexed="81"/>
            <rFont val="Tahoma"/>
            <family val="2"/>
          </rPr>
          <t>21.18472_Spectrum_Freq 6426450000Hz</t>
        </r>
      </text>
    </comment>
    <comment ref="H15" authorId="0" shapeId="0">
      <text>
        <r>
          <rPr>
            <sz val="9"/>
            <color indexed="81"/>
            <rFont val="Tahoma"/>
            <family val="2"/>
          </rPr>
          <t>22.4437_Spectrum_Freq 7055704000Hz</t>
        </r>
      </text>
    </comment>
    <comment ref="Q15" authorId="0" shapeId="0">
      <text>
        <r>
          <rPr>
            <sz val="9"/>
            <color indexed="81"/>
            <rFont val="Tahoma"/>
            <family val="2"/>
          </rPr>
          <t>21.7016_Spectrum_Freq 7143060000Hz</t>
        </r>
      </text>
    </comment>
    <comment ref="Z15" authorId="0" shapeId="0">
      <text>
        <r>
          <rPr>
            <sz val="9"/>
            <color indexed="81"/>
            <rFont val="Tahoma"/>
            <family val="2"/>
          </rPr>
          <t>21.20053_Spectrum_Freq 7102500000Hz</t>
        </r>
      </text>
    </comment>
    <comment ref="H16" authorId="0" shapeId="0">
      <text>
        <r>
          <rPr>
            <sz val="9"/>
            <color indexed="81"/>
            <rFont val="Tahoma"/>
            <family val="2"/>
          </rPr>
          <t>22.45209_Spectrum_Freq 7762488800Hz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22.14096_Spectrum_Freq 7860635200Hz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21.20212_Spectrum_Freq 7755110000Hz</t>
        </r>
      </text>
    </comment>
    <comment ref="H17" authorId="0" shapeId="0">
      <text>
        <r>
          <rPr>
            <sz val="9"/>
            <color indexed="81"/>
            <rFont val="Tahoma"/>
            <family val="2"/>
          </rPr>
          <t>21.82751_Spectrum_Freq 8466062400Hz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>21.6026_Spectrum_Freq 8570923200Hz</t>
        </r>
      </text>
    </comment>
    <comment ref="Z17" authorId="0" shapeId="0">
      <text>
        <r>
          <rPr>
            <sz val="9"/>
            <color indexed="81"/>
            <rFont val="Tahoma"/>
            <family val="2"/>
          </rPr>
          <t>21.19302_Spectrum_Freq 8556480000Hz</t>
        </r>
      </text>
    </comment>
    <comment ref="H18" authorId="0" shapeId="0">
      <text>
        <r>
          <rPr>
            <sz val="9"/>
            <color indexed="81"/>
            <rFont val="Tahoma"/>
            <family val="2"/>
          </rPr>
          <t>22.00171_Spectrum_Freq 9173309600Hz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>21.69592_Spectrum_Freq 9285203200Hz</t>
        </r>
      </text>
    </comment>
    <comment ref="Z18" authorId="0" shapeId="0">
      <text>
        <r>
          <rPr>
            <sz val="9"/>
            <color indexed="81"/>
            <rFont val="Tahoma"/>
            <family val="2"/>
          </rPr>
          <t>21.18509_Spectrum_Freq 9292660000Hz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22.46408_Spectrum_Freq 9877526400Hz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>22.05255_Spectrum_Freq 10002916000Hz</t>
        </r>
      </text>
    </comment>
    <comment ref="Z19" authorId="0" shapeId="0">
      <text>
        <r>
          <rPr>
            <sz val="9"/>
            <color indexed="81"/>
            <rFont val="Tahoma"/>
            <family val="2"/>
          </rPr>
          <t>21.20306_Spectrum_Freq 9988440000Hz</t>
        </r>
      </text>
    </comment>
    <comment ref="H20" authorId="0" shapeId="0">
      <text>
        <r>
          <rPr>
            <sz val="9"/>
            <color indexed="81"/>
            <rFont val="Tahoma"/>
            <family val="2"/>
          </rPr>
          <t>21.83377_Spectrum_Freq 10584114000Hz</t>
        </r>
      </text>
    </comment>
    <comment ref="Q20" authorId="0" shapeId="0">
      <text>
        <r>
          <rPr>
            <sz val="9"/>
            <color indexed="81"/>
            <rFont val="Tahoma"/>
            <family val="2"/>
          </rPr>
          <t>21.68033_Spectrum_Freq 10713246000Hz</t>
        </r>
      </text>
    </comment>
    <comment ref="Z20" authorId="0" shapeId="0">
      <text>
        <r>
          <rPr>
            <sz val="9"/>
            <color indexed="81"/>
            <rFont val="Tahoma"/>
            <family val="2"/>
          </rPr>
          <t>21.19666_Spectrum_Freq 10599750000Hz</t>
        </r>
      </text>
    </comment>
    <comment ref="H21" authorId="0" shapeId="0">
      <text>
        <r>
          <rPr>
            <sz val="9"/>
            <color indexed="81"/>
            <rFont val="Tahoma"/>
            <family val="2"/>
          </rPr>
          <t>21.83536_Spectrum_Freq 11287712000Hz</t>
        </r>
      </text>
    </comment>
    <comment ref="Q21" authorId="0" shapeId="0">
      <text>
        <r>
          <rPr>
            <sz val="9"/>
            <color indexed="81"/>
            <rFont val="Tahoma"/>
            <family val="2"/>
          </rPr>
          <t>21.59399_Spectrum_Freq 11433683200Hz</t>
        </r>
      </text>
    </comment>
    <comment ref="Z21" authorId="0" shapeId="0">
      <text>
        <r>
          <rPr>
            <sz val="9"/>
            <color indexed="81"/>
            <rFont val="Tahoma"/>
            <family val="2"/>
          </rPr>
          <t>21.20807_Spectrum_Freq 11432960000Hz</t>
        </r>
      </text>
    </comment>
    <comment ref="H22" authorId="0" shapeId="0">
      <text>
        <r>
          <rPr>
            <sz val="9"/>
            <color indexed="81"/>
            <rFont val="Tahoma"/>
            <family val="2"/>
          </rPr>
          <t>22.01965_Spectrum_Freq 11994778400Hz</t>
        </r>
      </text>
    </comment>
    <comment ref="Q22" authorId="0" shapeId="0">
      <text>
        <r>
          <rPr>
            <sz val="9"/>
            <color indexed="81"/>
            <rFont val="Tahoma"/>
            <family val="2"/>
          </rPr>
          <t>22.12222_Spectrum_Freq 12143188400Hz</t>
        </r>
      </text>
    </comment>
    <comment ref="Z22" authorId="0" shapeId="0">
      <text>
        <r>
          <rPr>
            <sz val="9"/>
            <color indexed="81"/>
            <rFont val="Tahoma"/>
            <family val="2"/>
          </rPr>
          <t>21.21735_Spectrum_Freq 11998430000Hz</t>
        </r>
      </text>
    </comment>
  </commentList>
</comments>
</file>

<file path=xl/comments12.xml><?xml version="1.0" encoding="utf-8"?>
<comments xmlns="http://schemas.openxmlformats.org/spreadsheetml/2006/main">
  <authors>
    <author>Long, WANG (HW-NB-TCT)</author>
  </authors>
  <commentList>
    <comment ref="H8" authorId="0" shapeId="0">
      <text>
        <r>
          <rPr>
            <sz val="9"/>
            <color indexed="81"/>
            <rFont val="Tahoma"/>
            <family val="2"/>
          </rPr>
          <t>23.5448_Spectrum_Freq 1664261600Hz</t>
        </r>
      </text>
    </comment>
    <comment ref="Q8" authorId="0" shapeId="0">
      <text>
        <r>
          <rPr>
            <sz val="9"/>
            <color indexed="81"/>
            <rFont val="Tahoma"/>
            <family val="2"/>
          </rPr>
          <t>23.67538_Spectrum_Freq 1673920000Hz</t>
        </r>
      </text>
    </comment>
    <comment ref="Z8" authorId="0" shapeId="0">
      <text>
        <r>
          <rPr>
            <sz val="9"/>
            <color indexed="81"/>
            <rFont val="Tahoma"/>
            <family val="2"/>
          </rPr>
          <t>23.61819_Spectrum_Freq 1680383200Hz</t>
        </r>
      </text>
    </comment>
    <comment ref="AI8" authorId="0" shapeId="0">
      <text>
        <r>
          <rPr>
            <sz val="9"/>
            <color indexed="81"/>
            <rFont val="Tahoma"/>
            <family val="2"/>
          </rPr>
          <t>22.57233_Spectrum_Freq 1660799200Hz</t>
        </r>
      </text>
    </comment>
    <comment ref="AR8" authorId="0" shapeId="0">
      <text>
        <r>
          <rPr>
            <sz val="9"/>
            <color indexed="81"/>
            <rFont val="Tahoma"/>
            <family val="2"/>
          </rPr>
          <t>22.82477_Spectrum_Freq 1678940000Hz</t>
        </r>
      </text>
    </comment>
    <comment ref="BA8" authorId="0" shapeId="0">
      <text>
        <r>
          <rPr>
            <sz val="9"/>
            <color indexed="81"/>
            <rFont val="Tahoma"/>
            <family val="2"/>
          </rPr>
          <t>22.87677_Spectrum_Freq 1685410000Hz</t>
        </r>
      </text>
    </comment>
    <comment ref="BJ8" authorId="0" shapeId="0">
      <text>
        <r>
          <rPr>
            <sz val="9"/>
            <color indexed="81"/>
            <rFont val="Tahoma"/>
            <family val="2"/>
          </rPr>
          <t>22.74503_Spectrum_Freq 1668490000Hz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23.754_Spectrum_Freq 2495550002.54Hz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23.67636_Spectrum_Freq 2510550008.13Hz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23.82724_Spectrum_Freq 2521006800Hz</t>
        </r>
      </text>
    </comment>
    <comment ref="AI9" authorId="0" shapeId="0">
      <text>
        <r>
          <rPr>
            <sz val="9"/>
            <color indexed="81"/>
            <rFont val="Tahoma"/>
            <family val="2"/>
          </rPr>
          <t>22.56503_Spectrum_Freq 2491606800Hz</t>
        </r>
      </text>
    </comment>
    <comment ref="AR9" authorId="0" shapeId="0">
      <text>
        <r>
          <rPr>
            <sz val="9"/>
            <color indexed="81"/>
            <rFont val="Tahoma"/>
            <family val="2"/>
          </rPr>
          <t>22.86081_Spectrum_Freq 2518594800Hz</t>
        </r>
      </text>
    </comment>
    <comment ref="BA9" authorId="0" shapeId="0">
      <text>
        <r>
          <rPr>
            <sz val="9"/>
            <color indexed="81"/>
            <rFont val="Tahoma"/>
            <family val="2"/>
          </rPr>
          <t>22.85294_Spectrum_Freq 2529330000Hz</t>
        </r>
      </text>
    </comment>
    <comment ref="BJ9" authorId="0" shapeId="0">
      <text>
        <r>
          <rPr>
            <sz val="9"/>
            <color indexed="81"/>
            <rFont val="Tahoma"/>
            <family val="2"/>
          </rPr>
          <t>22.59753_Spectrum_Freq 2534775000Hz</t>
        </r>
      </text>
    </comment>
    <comment ref="H10" authorId="0" shapeId="0">
      <text>
        <r>
          <rPr>
            <sz val="9"/>
            <color indexed="81"/>
            <rFont val="Tahoma"/>
            <family val="2"/>
          </rPr>
          <t>23.5307_Spectrum_Freq 3327691200Hz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>23.70462_Spectrum_Freq 3347513600Hz</t>
        </r>
      </text>
    </comment>
    <comment ref="Z10" authorId="0" shapeId="0">
      <text>
        <r>
          <rPr>
            <sz val="9"/>
            <color indexed="81"/>
            <rFont val="Tahoma"/>
            <family val="2"/>
          </rPr>
          <t>23.81592_Spectrum_Freq 3360812800Hz</t>
        </r>
      </text>
    </comment>
    <comment ref="AI10" authorId="0" shapeId="0">
      <text>
        <r>
          <rPr>
            <sz val="9"/>
            <color indexed="81"/>
            <rFont val="Tahoma"/>
            <family val="2"/>
          </rPr>
          <t>22.67743_Spectrum_Freq 3321411200Hz</t>
        </r>
      </text>
    </comment>
    <comment ref="AR10" authorId="0" shapeId="0">
      <text>
        <r>
          <rPr>
            <sz val="9"/>
            <color indexed="81"/>
            <rFont val="Tahoma"/>
            <family val="2"/>
          </rPr>
          <t>22.85898_Spectrum_Freq 3358563200Hz</t>
        </r>
      </text>
    </comment>
    <comment ref="BA10" authorId="0" shapeId="0">
      <text>
        <r>
          <rPr>
            <sz val="9"/>
            <color indexed="81"/>
            <rFont val="Tahoma"/>
            <family val="2"/>
          </rPr>
          <t>22.85678_Spectrum_Freq 3364020000Hz</t>
        </r>
      </text>
    </comment>
    <comment ref="BJ10" authorId="0" shapeId="0">
      <text>
        <r>
          <rPr>
            <sz val="9"/>
            <color indexed="81"/>
            <rFont val="Tahoma"/>
            <family val="2"/>
          </rPr>
          <t>22.6019_Spectrum_Freq 3323180000Hz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23.74847_Spectrum_Freq 4159826000Hz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>23.71289_Spectrum_Freq 4185772000Hz</t>
        </r>
      </text>
    </comment>
    <comment ref="Z11" authorId="0" shapeId="0">
      <text>
        <r>
          <rPr>
            <sz val="9"/>
            <color indexed="81"/>
            <rFont val="Tahoma"/>
            <family val="2"/>
          </rPr>
          <t>23.80875_Spectrum_Freq 4201478000Hz</t>
        </r>
      </text>
    </comment>
    <comment ref="AI11" authorId="0" shapeId="0">
      <text>
        <r>
          <rPr>
            <sz val="9"/>
            <color indexed="81"/>
            <rFont val="Tahoma"/>
            <family val="2"/>
          </rPr>
          <t>22.6893_Spectrum_Freq 4151820000Hz</t>
        </r>
      </text>
    </comment>
    <comment ref="AR11" authorId="0" shapeId="0">
      <text>
        <r>
          <rPr>
            <sz val="9"/>
            <color indexed="81"/>
            <rFont val="Tahoma"/>
            <family val="2"/>
          </rPr>
          <t>22.83337_Spectrum_Freq 4197726000Hz</t>
        </r>
      </text>
    </comment>
    <comment ref="BA11" authorId="0" shapeId="0">
      <text>
        <r>
          <rPr>
            <sz val="9"/>
            <color indexed="81"/>
            <rFont val="Tahoma"/>
            <family val="2"/>
          </rPr>
          <t>22.85178_Spectrum_Freq 4208900000Hz</t>
        </r>
      </text>
    </comment>
    <comment ref="BJ11" authorId="0" shapeId="0">
      <text>
        <r>
          <rPr>
            <sz val="9"/>
            <color indexed="81"/>
            <rFont val="Tahoma"/>
            <family val="2"/>
          </rPr>
          <t>22.59317_Spectrum_Freq 4151350000Hz</t>
        </r>
      </text>
    </comment>
    <comment ref="H12" authorId="0" shapeId="0">
      <text>
        <r>
          <rPr>
            <sz val="9"/>
            <color indexed="81"/>
            <rFont val="Tahoma"/>
            <family val="2"/>
          </rPr>
          <t>23.5304_Spectrum_Freq 4991152800Hz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>23.80444_Spectrum_Freq 5021150400Hz</t>
        </r>
      </text>
    </comment>
    <comment ref="Z12" authorId="0" shapeId="0">
      <text>
        <r>
          <rPr>
            <sz val="9"/>
            <color indexed="81"/>
            <rFont val="Tahoma"/>
            <family val="2"/>
          </rPr>
          <t>24.17661_Spectrum_Freq 5041833600Hz</t>
        </r>
      </text>
    </comment>
    <comment ref="AI12" authorId="0" shapeId="0">
      <text>
        <r>
          <rPr>
            <sz val="9"/>
            <color indexed="81"/>
            <rFont val="Tahoma"/>
            <family val="2"/>
          </rPr>
          <t>22.58829_Spectrum_Freq 4980936000Hz</t>
        </r>
      </text>
    </comment>
    <comment ref="AR12" authorId="0" shapeId="0">
      <text>
        <r>
          <rPr>
            <sz val="9"/>
            <color indexed="81"/>
            <rFont val="Tahoma"/>
            <family val="2"/>
          </rPr>
          <t>22.84415_Spectrum_Freq 5037532800Hz</t>
        </r>
      </text>
    </comment>
    <comment ref="BA12" authorId="0" shapeId="0">
      <text>
        <r>
          <rPr>
            <sz val="9"/>
            <color indexed="81"/>
            <rFont val="Tahoma"/>
            <family val="2"/>
          </rPr>
          <t>22.85019_Spectrum_Freq 5063370000Hz</t>
        </r>
      </text>
    </comment>
    <comment ref="BJ12" authorId="0" shapeId="0">
      <text>
        <r>
          <rPr>
            <sz val="9"/>
            <color indexed="81"/>
            <rFont val="Tahoma"/>
            <family val="2"/>
          </rPr>
          <t>22.60062_Spectrum_Freq 5048310000Hz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23.75592_Spectrum_Freq 5825433600Hz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23.71622_Spectrum_Freq 5860526000Hz</t>
        </r>
      </text>
    </comment>
    <comment ref="Z13" authorId="0" shapeId="0">
      <text>
        <r>
          <rPr>
            <sz val="9"/>
            <color indexed="81"/>
            <rFont val="Tahoma"/>
            <family val="2"/>
          </rPr>
          <t>24.16357_Spectrum_Freq 5882847600Hz</t>
        </r>
      </text>
    </comment>
    <comment ref="AI13" authorId="0" shapeId="0">
      <text>
        <r>
          <rPr>
            <sz val="9"/>
            <color indexed="81"/>
            <rFont val="Tahoma"/>
            <family val="2"/>
          </rPr>
          <t>22.69415_Spectrum_Freq 5813186400Hz</t>
        </r>
      </text>
    </comment>
    <comment ref="AR13" authorId="0" shapeId="0">
      <text>
        <r>
          <rPr>
            <sz val="9"/>
            <color indexed="81"/>
            <rFont val="Tahoma"/>
            <family val="2"/>
          </rPr>
          <t>22.88397_Spectrum_Freq 5878381600Hz</t>
        </r>
      </text>
    </comment>
    <comment ref="BA13" authorId="0" shapeId="0">
      <text>
        <r>
          <rPr>
            <sz val="9"/>
            <color indexed="81"/>
            <rFont val="Tahoma"/>
            <family val="2"/>
          </rPr>
          <t>22.83563_Spectrum_Freq 5913040000Hz</t>
        </r>
      </text>
    </comment>
    <comment ref="BJ13" authorId="0" shapeId="0">
      <text>
        <r>
          <rPr>
            <sz val="9"/>
            <color indexed="81"/>
            <rFont val="Tahoma"/>
            <family val="2"/>
          </rPr>
          <t>22.61871_Spectrum_Freq 5914055000Hz</t>
        </r>
      </text>
    </comment>
    <comment ref="H14" authorId="0" shapeId="0">
      <text>
        <r>
          <rPr>
            <sz val="9"/>
            <color indexed="81"/>
            <rFont val="Tahoma"/>
            <family val="2"/>
          </rPr>
          <t>23.5264_Spectrum_Freq 6657603200Hz</t>
        </r>
      </text>
    </comment>
    <comment ref="Q14" authorId="0" shapeId="0">
      <text>
        <r>
          <rPr>
            <sz val="9"/>
            <color indexed="81"/>
            <rFont val="Tahoma"/>
            <family val="2"/>
          </rPr>
          <t>23.71576_Spectrum_Freq 6697788800Hz</t>
        </r>
      </text>
    </comment>
    <comment ref="Z14" authorId="0" shapeId="0">
      <text>
        <r>
          <rPr>
            <sz val="9"/>
            <color indexed="81"/>
            <rFont val="Tahoma"/>
            <family val="2"/>
          </rPr>
          <t>23.77679_Spectrum_Freq 6723760000Hz</t>
        </r>
      </text>
    </comment>
    <comment ref="AI14" authorId="0" shapeId="0">
      <text>
        <r>
          <rPr>
            <sz val="9"/>
            <color indexed="81"/>
            <rFont val="Tahoma"/>
            <family val="2"/>
          </rPr>
          <t>22.59711_Spectrum_Freq 6642502400Hz</t>
        </r>
      </text>
    </comment>
    <comment ref="AR14" authorId="0" shapeId="0">
      <text>
        <r>
          <rPr>
            <sz val="9"/>
            <color indexed="81"/>
            <rFont val="Tahoma"/>
            <family val="2"/>
          </rPr>
          <t>22.74692_Spectrum_Freq 6718652800Hz</t>
        </r>
      </text>
    </comment>
    <comment ref="BA14" authorId="0" shapeId="0">
      <text>
        <r>
          <rPr>
            <sz val="9"/>
            <color indexed="81"/>
            <rFont val="Tahoma"/>
            <family val="2"/>
          </rPr>
          <t>22.84842_Spectrum_Freq 6733120000Hz</t>
        </r>
      </text>
    </comment>
    <comment ref="BJ14" authorId="0" shapeId="0">
      <text>
        <r>
          <rPr>
            <sz val="9"/>
            <color indexed="81"/>
            <rFont val="Tahoma"/>
            <family val="2"/>
          </rPr>
          <t>22.60248_Spectrum_Freq 6642280000Hz</t>
        </r>
      </text>
    </comment>
    <comment ref="H15" authorId="0" shapeId="0">
      <text>
        <r>
          <rPr>
            <sz val="9"/>
            <color indexed="81"/>
            <rFont val="Tahoma"/>
            <family val="2"/>
          </rPr>
          <t>23.62604_Spectrum_Freq 7487528400Hz</t>
        </r>
      </text>
    </comment>
    <comment ref="Q15" authorId="0" shapeId="0">
      <text>
        <r>
          <rPr>
            <sz val="9"/>
            <color indexed="81"/>
            <rFont val="Tahoma"/>
            <family val="2"/>
          </rPr>
          <t>23.62976_Spectrum_Freq 7535041200Hz</t>
        </r>
      </text>
    </comment>
    <comment ref="Z15" authorId="0" shapeId="0">
      <text>
        <r>
          <rPr>
            <sz val="9"/>
            <color indexed="81"/>
            <rFont val="Tahoma"/>
            <family val="2"/>
          </rPr>
          <t>23.65195_Spectrum_Freq 7564784400Hz</t>
        </r>
      </text>
    </comment>
    <comment ref="AI15" authorId="0" shapeId="0">
      <text>
        <r>
          <rPr>
            <sz val="9"/>
            <color indexed="81"/>
            <rFont val="Tahoma"/>
            <family val="2"/>
          </rPr>
          <t>22.60577_Spectrum_Freq 7474737600Hz</t>
        </r>
      </text>
    </comment>
    <comment ref="AR15" authorId="0" shapeId="0">
      <text>
        <r>
          <rPr>
            <sz val="9"/>
            <color indexed="81"/>
            <rFont val="Tahoma"/>
            <family val="2"/>
          </rPr>
          <t>22.8392_Spectrum_Freq 7555971600Hz</t>
        </r>
      </text>
    </comment>
    <comment ref="BA15" authorId="0" shapeId="0">
      <text>
        <r>
          <rPr>
            <sz val="9"/>
            <color indexed="81"/>
            <rFont val="Tahoma"/>
            <family val="2"/>
          </rPr>
          <t>22.84604_Spectrum_Freq 7585200000Hz</t>
        </r>
      </text>
    </comment>
    <comment ref="BJ15" authorId="0" shapeId="0">
      <text>
        <r>
          <rPr>
            <sz val="9"/>
            <color indexed="81"/>
            <rFont val="Tahoma"/>
            <family val="2"/>
          </rPr>
          <t>22.73996_Spectrum_Freq 7600545000Hz</t>
        </r>
      </text>
    </comment>
    <comment ref="H16" authorId="0" shapeId="0">
      <text>
        <r>
          <rPr>
            <sz val="9"/>
            <color indexed="81"/>
            <rFont val="Tahoma"/>
            <family val="2"/>
          </rPr>
          <t>23.63742_Spectrum_Freq 8322488000Hz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23.74347_Spectrum_Freq 8371108000Hz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23.66473_Spectrum_Freq 8403020000Hz</t>
        </r>
      </text>
    </comment>
    <comment ref="AI16" authorId="0" shapeId="0">
      <text>
        <r>
          <rPr>
            <sz val="9"/>
            <color indexed="81"/>
            <rFont val="Tahoma"/>
            <family val="2"/>
          </rPr>
          <t>22.59924_Spectrum_Freq 8304748000Hz</t>
        </r>
      </text>
    </comment>
    <comment ref="AR16" authorId="0" shapeId="0">
      <text>
        <r>
          <rPr>
            <sz val="9"/>
            <color indexed="81"/>
            <rFont val="Tahoma"/>
            <family val="2"/>
          </rPr>
          <t>22.87503_Spectrum_Freq 8396544000Hz</t>
        </r>
      </text>
    </comment>
    <comment ref="BA16" authorId="0" shapeId="0">
      <text>
        <r>
          <rPr>
            <sz val="9"/>
            <color indexed="81"/>
            <rFont val="Tahoma"/>
            <family val="2"/>
          </rPr>
          <t>22.84067_Spectrum_Freq 8449800000Hz</t>
        </r>
      </text>
    </comment>
    <comment ref="BJ16" authorId="0" shapeId="0">
      <text>
        <r>
          <rPr>
            <sz val="9"/>
            <color indexed="81"/>
            <rFont val="Tahoma"/>
            <family val="2"/>
          </rPr>
          <t>22.74402_Spectrum_Freq 8303150000Hz</t>
        </r>
      </text>
    </comment>
    <comment ref="H17" authorId="0" shapeId="0">
      <text>
        <r>
          <rPr>
            <sz val="9"/>
            <color indexed="81"/>
            <rFont val="Tahoma"/>
            <family val="2"/>
          </rPr>
          <t>23.63464_Spectrum_Freq 9151335600Hz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>23.84329_Spectrum_Freq 9208496000Hz</t>
        </r>
      </text>
    </comment>
    <comment ref="Z17" authorId="0" shapeId="0">
      <text>
        <r>
          <rPr>
            <sz val="9"/>
            <color indexed="81"/>
            <rFont val="Tahoma"/>
            <family val="2"/>
          </rPr>
          <t>23.65784_Spectrum_Freq 10055217220Hz</t>
        </r>
      </text>
    </comment>
    <comment ref="AI17" authorId="0" shapeId="0">
      <text>
        <r>
          <rPr>
            <sz val="9"/>
            <color indexed="81"/>
            <rFont val="Tahoma"/>
            <family val="2"/>
          </rPr>
          <t>22.7128_Spectrum_Freq 9132398000Hz</t>
        </r>
      </text>
    </comment>
    <comment ref="AR17" authorId="0" shapeId="0">
      <text>
        <r>
          <rPr>
            <sz val="9"/>
            <color indexed="81"/>
            <rFont val="Tahoma"/>
            <family val="2"/>
          </rPr>
          <t>22.7403_Spectrum_Freq 9234328400Hz</t>
        </r>
      </text>
    </comment>
    <comment ref="BA17" authorId="0" shapeId="0">
      <text>
        <r>
          <rPr>
            <sz val="9"/>
            <color indexed="81"/>
            <rFont val="Tahoma"/>
            <family val="2"/>
          </rPr>
          <t>22.84268_Spectrum_Freq 9286365000Hz</t>
        </r>
      </text>
    </comment>
    <comment ref="BJ17" authorId="0" shapeId="0">
      <text>
        <r>
          <rPr>
            <sz val="9"/>
            <color indexed="81"/>
            <rFont val="Tahoma"/>
            <family val="2"/>
          </rPr>
          <t>22.60379_Spectrum_Freq 9286915000Hz</t>
        </r>
      </text>
    </comment>
    <comment ref="H18" authorId="0" shapeId="0">
      <text>
        <r>
          <rPr>
            <sz val="9"/>
            <color indexed="81"/>
            <rFont val="Tahoma"/>
            <family val="2"/>
          </rPr>
          <t>23.53058_Spectrum_Freq 9985804800Hz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>23.84036_Spectrum_Freq 10044192000Hz</t>
        </r>
      </text>
    </comment>
    <comment ref="Z18" authorId="0" shapeId="0">
      <text>
        <r>
          <rPr>
            <sz val="9"/>
            <color indexed="81"/>
            <rFont val="Tahoma"/>
            <family val="2"/>
          </rPr>
          <t>24.13806_Spectrum_Freq 11436875660Hz</t>
        </r>
      </text>
    </comment>
    <comment ref="AI18" authorId="0" shapeId="0">
      <text>
        <r>
          <rPr>
            <sz val="9"/>
            <color indexed="81"/>
            <rFont val="Tahoma"/>
            <family val="2"/>
          </rPr>
          <t>22.70679_Spectrum_Freq 9962980800Hz</t>
        </r>
      </text>
    </comment>
    <comment ref="AR18" authorId="0" shapeId="0">
      <text>
        <r>
          <rPr>
            <sz val="9"/>
            <color indexed="81"/>
            <rFont val="Tahoma"/>
            <family val="2"/>
          </rPr>
          <t>22.87744_Spectrum_Freq 10075464000Hz</t>
        </r>
      </text>
    </comment>
    <comment ref="BA18" authorId="0" shapeId="0">
      <text>
        <r>
          <rPr>
            <sz val="9"/>
            <color indexed="81"/>
            <rFont val="Tahoma"/>
            <family val="2"/>
          </rPr>
          <t>22.83102_Spectrum_Freq 10131480000Hz</t>
        </r>
      </text>
    </comment>
    <comment ref="BJ18" authorId="0" shapeId="0">
      <text>
        <r>
          <rPr>
            <sz val="9"/>
            <color indexed="81"/>
            <rFont val="Tahoma"/>
            <family val="2"/>
          </rPr>
          <t>22.6015_Spectrum_Freq 10112100000Hz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23.53143_Spectrum_Freq 10817731600Hz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>23.64969_Spectrum_Freq 10880084800Hz</t>
        </r>
      </text>
    </comment>
    <comment ref="Z19" authorId="0" shapeId="0">
      <text>
        <r>
          <rPr>
            <sz val="9"/>
            <color indexed="81"/>
            <rFont val="Tahoma"/>
            <family val="2"/>
          </rPr>
          <t>23.9071_Spectrum_Freq 10922080000Hz</t>
        </r>
      </text>
    </comment>
    <comment ref="AI19" authorId="0" shapeId="0">
      <text>
        <r>
          <rPr>
            <sz val="9"/>
            <color indexed="81"/>
            <rFont val="Tahoma"/>
            <family val="2"/>
          </rPr>
          <t>22.70746_Spectrum_Freq 10793915600Hz</t>
        </r>
      </text>
    </comment>
    <comment ref="AR19" authorId="0" shapeId="0">
      <text>
        <r>
          <rPr>
            <sz val="9"/>
            <color indexed="81"/>
            <rFont val="Tahoma"/>
            <family val="2"/>
          </rPr>
          <t>22.88589_Spectrum_Freq 10915112000Hz</t>
        </r>
      </text>
    </comment>
    <comment ref="BA19" authorId="0" shapeId="0">
      <text>
        <r>
          <rPr>
            <sz val="9"/>
            <color indexed="81"/>
            <rFont val="Tahoma"/>
            <family val="2"/>
          </rPr>
          <t>22.82767_Spectrum_Freq 10925135000Hz</t>
        </r>
      </text>
    </comment>
    <comment ref="BJ19" authorId="0" shapeId="0">
      <text>
        <r>
          <rPr>
            <sz val="9"/>
            <color indexed="81"/>
            <rFont val="Tahoma"/>
            <family val="2"/>
          </rPr>
          <t>22.59732_Spectrum_Freq 10791170000Hz</t>
        </r>
      </text>
    </comment>
    <comment ref="H20" authorId="0" shapeId="0">
      <text>
        <r>
          <rPr>
            <sz val="9"/>
            <color indexed="81"/>
            <rFont val="Tahoma"/>
            <family val="2"/>
          </rPr>
          <t>23.51917_Spectrum_Freq 11648638400Hz</t>
        </r>
      </text>
    </comment>
    <comment ref="Q20" authorId="0" shapeId="0">
      <text>
        <r>
          <rPr>
            <sz val="9"/>
            <color indexed="81"/>
            <rFont val="Tahoma"/>
            <family val="2"/>
          </rPr>
          <t>23.74792_Spectrum_Freq 11718212800Hz</t>
        </r>
      </text>
    </comment>
    <comment ref="Z20" authorId="0" shapeId="0">
      <text>
        <r>
          <rPr>
            <sz val="9"/>
            <color indexed="81"/>
            <rFont val="Tahoma"/>
            <family val="2"/>
          </rPr>
          <t>23.73624_Spectrum_Freq 11762329600Hz</t>
        </r>
      </text>
    </comment>
    <comment ref="AI20" authorId="0" shapeId="0">
      <text>
        <r>
          <rPr>
            <sz val="9"/>
            <color indexed="81"/>
            <rFont val="Tahoma"/>
            <family val="2"/>
          </rPr>
          <t>22.70471_Spectrum_Freq 11625812800Hz</t>
        </r>
      </text>
    </comment>
    <comment ref="AR20" authorId="0" shapeId="0">
      <text>
        <r>
          <rPr>
            <sz val="9"/>
            <color indexed="81"/>
            <rFont val="Tahoma"/>
            <family val="2"/>
          </rPr>
          <t>22.88452_Spectrum_Freq 11756623200Hz</t>
        </r>
      </text>
    </comment>
    <comment ref="BA20" authorId="0" shapeId="0">
      <text>
        <r>
          <rPr>
            <sz val="9"/>
            <color indexed="81"/>
            <rFont val="Tahoma"/>
            <family val="2"/>
          </rPr>
          <t>22.82327_Spectrum_Freq 11828110000Hz</t>
        </r>
      </text>
    </comment>
    <comment ref="BJ20" authorId="0" shapeId="0">
      <text>
        <r>
          <rPr>
            <sz val="9"/>
            <color indexed="81"/>
            <rFont val="Tahoma"/>
            <family val="2"/>
          </rPr>
          <t>22.62286_Spectrum_Freq 11829790000Hz</t>
        </r>
      </text>
    </comment>
    <comment ref="H21" authorId="0" shapeId="0">
      <text>
        <r>
          <rPr>
            <sz val="9"/>
            <color indexed="81"/>
            <rFont val="Tahoma"/>
            <family val="2"/>
          </rPr>
          <t>23.62781_Spectrum_Freq 12482040000Hz</t>
        </r>
      </text>
    </comment>
    <comment ref="Q21" authorId="0" shapeId="0">
      <text>
        <r>
          <rPr>
            <sz val="9"/>
            <color indexed="81"/>
            <rFont val="Tahoma"/>
            <family val="2"/>
          </rPr>
          <t>23.75726_Spectrum_Freq 12558102000Hz</t>
        </r>
      </text>
    </comment>
    <comment ref="Z21" authorId="0" shapeId="0">
      <text>
        <r>
          <rPr>
            <sz val="9"/>
            <color indexed="81"/>
            <rFont val="Tahoma"/>
            <family val="2"/>
          </rPr>
          <t>23.6351_Spectrum_Freq 12604464000Hz</t>
        </r>
      </text>
    </comment>
    <comment ref="AI21" authorId="0" shapeId="0">
      <text>
        <r>
          <rPr>
            <sz val="9"/>
            <color indexed="81"/>
            <rFont val="Tahoma"/>
            <family val="2"/>
          </rPr>
          <t>22.72128_Spectrum_Freq 12454464000Hz</t>
        </r>
      </text>
    </comment>
    <comment ref="AR21" authorId="0" shapeId="0">
      <text>
        <r>
          <rPr>
            <sz val="9"/>
            <color indexed="81"/>
            <rFont val="Tahoma"/>
            <family val="2"/>
          </rPr>
          <t>22.75079_Spectrum_Freq 12594900000Hz</t>
        </r>
      </text>
    </comment>
    <comment ref="BA21" authorId="0" shapeId="0">
      <text>
        <r>
          <rPr>
            <sz val="9"/>
            <color indexed="81"/>
            <rFont val="Tahoma"/>
            <family val="2"/>
          </rPr>
          <t>22.83774_Spectrum_Freq 12653925000Hz</t>
        </r>
      </text>
    </comment>
    <comment ref="BJ21" authorId="0" shapeId="0">
      <text>
        <r>
          <rPr>
            <sz val="9"/>
            <color indexed="81"/>
            <rFont val="Tahoma"/>
            <family val="2"/>
          </rPr>
          <t>22.6167_Spectrum_Freq 12657000000Hz</t>
        </r>
      </text>
    </comment>
    <comment ref="H22" authorId="0" shapeId="0">
      <text>
        <r>
          <rPr>
            <sz val="9"/>
            <color indexed="81"/>
            <rFont val="Tahoma"/>
            <family val="2"/>
          </rPr>
          <t>23.73929_Spectrum_Freq 13309792000Hz</t>
        </r>
      </text>
    </comment>
    <comment ref="Q22" authorId="0" shapeId="0">
      <text>
        <r>
          <rPr>
            <sz val="9"/>
            <color indexed="81"/>
            <rFont val="Tahoma"/>
            <family val="2"/>
          </rPr>
          <t>23.75714_Spectrum_Freq 13392710400Hz</t>
        </r>
      </text>
    </comment>
    <comment ref="Z22" authorId="0" shapeId="0">
      <text>
        <r>
          <rPr>
            <sz val="9"/>
            <color indexed="81"/>
            <rFont val="Tahoma"/>
            <family val="2"/>
          </rPr>
          <t>23.74362_Spectrum_Freq 13444915200Hz</t>
        </r>
      </text>
    </comment>
    <comment ref="AI22" authorId="0" shapeId="0">
      <text>
        <r>
          <rPr>
            <sz val="9"/>
            <color indexed="81"/>
            <rFont val="Tahoma"/>
            <family val="2"/>
          </rPr>
          <t>22.70004_Spectrum_Freq 13285971200Hz</t>
        </r>
      </text>
    </comment>
    <comment ref="AR22" authorId="0" shapeId="0">
      <text>
        <r>
          <rPr>
            <sz val="9"/>
            <color indexed="81"/>
            <rFont val="Tahoma"/>
            <family val="2"/>
          </rPr>
          <t>22.88361_Spectrum_Freq 13432953600Hz</t>
        </r>
      </text>
    </comment>
    <comment ref="BA22" authorId="0" shapeId="0">
      <text>
        <r>
          <rPr>
            <sz val="9"/>
            <color indexed="81"/>
            <rFont val="Tahoma"/>
            <family val="2"/>
          </rPr>
          <t>22.82504_Spectrum_Freq 13455840000Hz</t>
        </r>
      </text>
    </comment>
    <comment ref="BJ22" authorId="0" shapeId="0">
      <text>
        <r>
          <rPr>
            <sz val="9"/>
            <color indexed="81"/>
            <rFont val="Tahoma"/>
            <family val="2"/>
          </rPr>
          <t>22.60919_Spectrum_Freq 13426400000Hz</t>
        </r>
      </text>
    </comment>
  </commentList>
</comments>
</file>

<file path=xl/comments13.xml><?xml version="1.0" encoding="utf-8"?>
<comments xmlns="http://schemas.openxmlformats.org/spreadsheetml/2006/main">
  <authors>
    <author>Long, WANG (HW-NB-TCT)</author>
  </authors>
  <commentList>
    <comment ref="H7" authorId="0" shapeId="0">
      <text>
        <r>
          <rPr>
            <sz val="9"/>
            <color indexed="81"/>
            <rFont val="Tahoma"/>
            <family val="2"/>
          </rPr>
          <t>23.71744_Spectrum_Freq 1664692000Hz</t>
        </r>
      </text>
    </comment>
    <comment ref="Q7" authorId="0" shapeId="0">
      <text>
        <r>
          <rPr>
            <sz val="9"/>
            <color indexed="81"/>
            <rFont val="Tahoma"/>
            <family val="2"/>
          </rPr>
          <t>23.92566_Spectrum_Freq 1689607200Hz</t>
        </r>
      </text>
    </comment>
    <comment ref="Z7" authorId="0" shapeId="0">
      <text>
        <r>
          <rPr>
            <sz val="9"/>
            <color indexed="81"/>
            <rFont val="Tahoma"/>
            <family val="2"/>
          </rPr>
          <t>24.18762_Spectrum_Freq 1723311200Hz</t>
        </r>
      </text>
    </comment>
    <comment ref="AI7" authorId="0" shapeId="0">
      <text>
        <r>
          <rPr>
            <sz val="9"/>
            <color indexed="81"/>
            <rFont val="Tahoma"/>
            <family val="2"/>
          </rPr>
          <t>22.62473_Spectrum_Freq 1668260000Hz</t>
        </r>
      </text>
    </comment>
    <comment ref="AR7" authorId="0" shapeId="0">
      <text>
        <r>
          <rPr>
            <sz val="9"/>
            <color indexed="81"/>
            <rFont val="Tahoma"/>
            <family val="2"/>
          </rPr>
          <t>23.1311_Spectrum_Freq 1720040000Hz</t>
        </r>
      </text>
    </comment>
    <comment ref="BA7" authorId="0" shapeId="0">
      <text>
        <r>
          <rPr>
            <sz val="9"/>
            <color indexed="81"/>
            <rFont val="Tahoma"/>
            <family val="2"/>
          </rPr>
          <t>23.68228_Spectrum_Freq 1666056800Hz</t>
        </r>
      </text>
    </comment>
    <comment ref="BJ7" authorId="0" shapeId="0">
      <text>
        <r>
          <rPr>
            <sz val="9"/>
            <color indexed="81"/>
            <rFont val="Tahoma"/>
            <family val="2"/>
          </rPr>
          <t>24.00467_Spectrum_Freq 1721804000Hz</t>
        </r>
      </text>
    </comment>
    <comment ref="BS7" authorId="0" shapeId="0">
      <text>
        <r>
          <rPr>
            <sz val="9"/>
            <color indexed="81"/>
            <rFont val="Tahoma"/>
            <family val="2"/>
          </rPr>
          <t>22.93704_Spectrum_Freq 1694120000Hz</t>
        </r>
      </text>
    </comment>
    <comment ref="CB7" authorId="0" shapeId="0">
      <text>
        <r>
          <rPr>
            <sz val="9"/>
            <color indexed="81"/>
            <rFont val="Tahoma"/>
            <family val="2"/>
          </rPr>
          <t>23.00714_Spectrum_Freq 1693760000Hz</t>
        </r>
      </text>
    </comment>
    <comment ref="H8" authorId="0" shapeId="0">
      <text>
        <r>
          <rPr>
            <sz val="9"/>
            <color indexed="81"/>
            <rFont val="Tahoma"/>
            <family val="2"/>
          </rPr>
          <t>23.68982_Spectrum_Freq 2496967200Hz</t>
        </r>
      </text>
    </comment>
    <comment ref="Q8" authorId="0" shapeId="0">
      <text>
        <r>
          <rPr>
            <sz val="9"/>
            <color indexed="81"/>
            <rFont val="Tahoma"/>
            <family val="2"/>
          </rPr>
          <t>23.91486_Spectrum_Freq 2534604000Hz</t>
        </r>
      </text>
    </comment>
    <comment ref="Z8" authorId="0" shapeId="0">
      <text>
        <r>
          <rPr>
            <sz val="9"/>
            <color indexed="81"/>
            <rFont val="Tahoma"/>
            <family val="2"/>
          </rPr>
          <t>24.06448_Spectrum_Freq 2585002800Hz</t>
        </r>
      </text>
    </comment>
    <comment ref="AI8" authorId="0" shapeId="0">
      <text>
        <r>
          <rPr>
            <sz val="9"/>
            <color indexed="81"/>
            <rFont val="Tahoma"/>
            <family val="2"/>
          </rPr>
          <t>22.74384_Spectrum_Freq 2507610000Hz</t>
        </r>
      </text>
    </comment>
    <comment ref="AR8" authorId="0" shapeId="0">
      <text>
        <r>
          <rPr>
            <sz val="9"/>
            <color indexed="81"/>
            <rFont val="Tahoma"/>
            <family val="2"/>
          </rPr>
          <t>23.13733_Spectrum_Freq 2578710000Hz</t>
        </r>
      </text>
    </comment>
    <comment ref="BA8" authorId="0" shapeId="0">
      <text>
        <r>
          <rPr>
            <sz val="9"/>
            <color indexed="81"/>
            <rFont val="Tahoma"/>
            <family val="2"/>
          </rPr>
          <t>23.65765_Spectrum_Freq 2499268800Hz</t>
        </r>
      </text>
    </comment>
    <comment ref="BJ8" authorId="0" shapeId="0">
      <text>
        <r>
          <rPr>
            <sz val="9"/>
            <color indexed="81"/>
            <rFont val="Tahoma"/>
            <family val="2"/>
          </rPr>
          <t>23.89804_Spectrum_Freq 2582701200Hz</t>
        </r>
      </text>
    </comment>
    <comment ref="BS8" authorId="0" shapeId="0">
      <text>
        <r>
          <rPr>
            <sz val="9"/>
            <color indexed="81"/>
            <rFont val="Tahoma"/>
            <family val="2"/>
          </rPr>
          <t>22.84341_Spectrum_Freq 2554560000Hz</t>
        </r>
      </text>
    </comment>
    <comment ref="CB8" authorId="0" shapeId="0">
      <text>
        <r>
          <rPr>
            <sz val="9"/>
            <color indexed="81"/>
            <rFont val="Tahoma"/>
            <family val="2"/>
          </rPr>
          <t>23.00955_Spectrum_Freq 2566920000Hz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23.68402_Spectrum_Freq 3329105600Hz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24.004_Spectrum_Freq 3379816000Hz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24.06445_Spectrum_Freq 3445849600Hz</t>
        </r>
      </text>
    </comment>
    <comment ref="AI9" authorId="0" shapeId="0">
      <text>
        <r>
          <rPr>
            <sz val="9"/>
            <color indexed="81"/>
            <rFont val="Tahoma"/>
            <family val="2"/>
          </rPr>
          <t>22.73697_Spectrum_Freq 3331720000Hz</t>
        </r>
      </text>
    </comment>
    <comment ref="AR9" authorId="0" shapeId="0">
      <text>
        <r>
          <rPr>
            <sz val="9"/>
            <color indexed="81"/>
            <rFont val="Tahoma"/>
            <family val="2"/>
          </rPr>
          <t>23.04315_Spectrum_Freq 3434400000Hz</t>
        </r>
      </text>
    </comment>
    <comment ref="BA9" authorId="0" shapeId="0">
      <text>
        <r>
          <rPr>
            <sz val="9"/>
            <color indexed="81"/>
            <rFont val="Tahoma"/>
            <family val="2"/>
          </rPr>
          <t>23.64325_Spectrum_Freq 3331846400Hz</t>
        </r>
      </text>
    </comment>
    <comment ref="BJ9" authorId="0" shapeId="0">
      <text>
        <r>
          <rPr>
            <sz val="9"/>
            <color indexed="81"/>
            <rFont val="Tahoma"/>
            <family val="2"/>
          </rPr>
          <t>23.97214_Spectrum_Freq 3443545600Hz</t>
        </r>
      </text>
    </comment>
    <comment ref="BS9" authorId="0" shapeId="0">
      <text>
        <r>
          <rPr>
            <sz val="9"/>
            <color indexed="81"/>
            <rFont val="Tahoma"/>
            <family val="2"/>
          </rPr>
          <t>22.84024_Spectrum_Freq 3328720000Hz</t>
        </r>
      </text>
    </comment>
    <comment ref="CB9" authorId="0" shapeId="0">
      <text>
        <r>
          <rPr>
            <sz val="9"/>
            <color indexed="81"/>
            <rFont val="Tahoma"/>
            <family val="2"/>
          </rPr>
          <t>23.01746_Spectrum_Freq 3436320000Hz</t>
        </r>
      </text>
    </comment>
    <comment ref="H10" authorId="0" shapeId="0">
      <text>
        <r>
          <rPr>
            <sz val="9"/>
            <color indexed="81"/>
            <rFont val="Tahoma"/>
            <family val="2"/>
          </rPr>
          <t>23.67313_Spectrum_Freq 4161326000Hz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>24.11786_Spectrum_Freq 4225132000Hz</t>
        </r>
      </text>
    </comment>
    <comment ref="Z10" authorId="0" shapeId="0">
      <text>
        <r>
          <rPr>
            <sz val="9"/>
            <color indexed="81"/>
            <rFont val="Tahoma"/>
            <family val="2"/>
          </rPr>
          <t>24.18683_Spectrum_Freq 4307740000Hz</t>
        </r>
      </text>
    </comment>
    <comment ref="AI10" authorId="0" shapeId="0">
      <text>
        <r>
          <rPr>
            <sz val="9"/>
            <color indexed="81"/>
            <rFont val="Tahoma"/>
            <family val="2"/>
          </rPr>
          <t>22.73553_Spectrum_Freq 4166150000Hz</t>
        </r>
      </text>
    </comment>
    <comment ref="AR10" authorId="0" shapeId="0">
      <text>
        <r>
          <rPr>
            <sz val="9"/>
            <color indexed="81"/>
            <rFont val="Tahoma"/>
            <family val="2"/>
          </rPr>
          <t>23.13248_Spectrum_Freq 4285850000Hz</t>
        </r>
      </text>
    </comment>
    <comment ref="BA10" authorId="0" shapeId="0">
      <text>
        <r>
          <rPr>
            <sz val="9"/>
            <color indexed="81"/>
            <rFont val="Tahoma"/>
            <family val="2"/>
          </rPr>
          <t>23.64188_Spectrum_Freq 4166358000Hz</t>
        </r>
      </text>
    </comment>
    <comment ref="BJ10" authorId="0" shapeId="0">
      <text>
        <r>
          <rPr>
            <sz val="9"/>
            <color indexed="81"/>
            <rFont val="Tahoma"/>
            <family val="2"/>
          </rPr>
          <t>23.7543_Spectrum_Freq 4304858000Hz</t>
        </r>
      </text>
    </comment>
    <comment ref="BS10" authorId="0" shapeId="0">
      <text>
        <r>
          <rPr>
            <sz val="9"/>
            <color indexed="81"/>
            <rFont val="Tahoma"/>
            <family val="2"/>
          </rPr>
          <t>22.83353_Spectrum_Freq 4169100000Hz</t>
        </r>
      </text>
    </comment>
    <comment ref="CB10" authorId="0" shapeId="0">
      <text>
        <r>
          <rPr>
            <sz val="9"/>
            <color indexed="81"/>
            <rFont val="Tahoma"/>
            <family val="2"/>
          </rPr>
          <t>22.90283_Spectrum_Freq 4307200000Hz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23.67072_Spectrum_Freq 4995062400Hz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>23.91257_Spectrum_Freq 5069426400Hz</t>
        </r>
      </text>
    </comment>
    <comment ref="Z11" authorId="0" shapeId="0">
      <text>
        <r>
          <rPr>
            <sz val="9"/>
            <color indexed="81"/>
            <rFont val="Tahoma"/>
            <family val="2"/>
          </rPr>
          <t>24.07843_Spectrum_Freq 5170620000Hz</t>
        </r>
      </text>
    </comment>
    <comment ref="AI11" authorId="0" shapeId="0">
      <text>
        <r>
          <rPr>
            <sz val="9"/>
            <color indexed="81"/>
            <rFont val="Tahoma"/>
            <family val="2"/>
          </rPr>
          <t>22.74518_Spectrum_Freq 5021580000Hz</t>
        </r>
      </text>
    </comment>
    <comment ref="AR11" authorId="0" shapeId="0">
      <text>
        <r>
          <rPr>
            <sz val="9"/>
            <color indexed="81"/>
            <rFont val="Tahoma"/>
            <family val="2"/>
          </rPr>
          <t>23.13132_Spectrum_Freq 5155620000Hz</t>
        </r>
      </text>
    </comment>
    <comment ref="BA11" authorId="0" shapeId="0">
      <text>
        <r>
          <rPr>
            <sz val="9"/>
            <color indexed="81"/>
            <rFont val="Tahoma"/>
            <family val="2"/>
          </rPr>
          <t>23.65103_Spectrum_Freq 4998525600Hz</t>
        </r>
      </text>
    </comment>
    <comment ref="BJ11" authorId="0" shapeId="0">
      <text>
        <r>
          <rPr>
            <sz val="9"/>
            <color indexed="81"/>
            <rFont val="Tahoma"/>
            <family val="2"/>
          </rPr>
          <t>23.74548_Spectrum_Freq 5165090400Hz</t>
        </r>
      </text>
    </comment>
    <comment ref="BS11" authorId="0" shapeId="0">
      <text>
        <r>
          <rPr>
            <sz val="9"/>
            <color indexed="81"/>
            <rFont val="Tahoma"/>
            <family val="2"/>
          </rPr>
          <t>22.93283_Spectrum_Freq 5049360000Hz</t>
        </r>
      </text>
    </comment>
    <comment ref="CB11" authorId="0" shapeId="0">
      <text>
        <r>
          <rPr>
            <sz val="9"/>
            <color indexed="81"/>
            <rFont val="Tahoma"/>
            <family val="2"/>
          </rPr>
          <t>23.03378_Spectrum_Freq 5054400000Hz</t>
        </r>
      </text>
    </comment>
    <comment ref="H12" authorId="0" shapeId="0">
      <text>
        <r>
          <rPr>
            <sz val="9"/>
            <color indexed="81"/>
            <rFont val="Tahoma"/>
            <family val="2"/>
          </rPr>
          <t>23.65933_Spectrum_Freq 5827250800Hz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>23.90231_Spectrum_Freq 5914582800Hz</t>
        </r>
      </text>
    </comment>
    <comment ref="Z12" authorId="0" shapeId="0">
      <text>
        <r>
          <rPr>
            <sz val="9"/>
            <color indexed="81"/>
            <rFont val="Tahoma"/>
            <family val="2"/>
          </rPr>
          <t>24.06747_Spectrum_Freq 6030990000Hz</t>
        </r>
      </text>
    </comment>
    <comment ref="AI12" authorId="0" shapeId="0">
      <text>
        <r>
          <rPr>
            <sz val="9"/>
            <color indexed="81"/>
            <rFont val="Tahoma"/>
            <family val="2"/>
          </rPr>
          <t>22.73404_Spectrum_Freq 5826275000Hz</t>
        </r>
      </text>
    </comment>
    <comment ref="AR12" authorId="0" shapeId="0">
      <text>
        <r>
          <rPr>
            <sz val="9"/>
            <color indexed="81"/>
            <rFont val="Tahoma"/>
            <family val="2"/>
          </rPr>
          <t>23.13461_Spectrum_Freq 6033615000Hz</t>
        </r>
      </text>
    </comment>
    <comment ref="BA12" authorId="0" shapeId="0">
      <text>
        <r>
          <rPr>
            <sz val="9"/>
            <color indexed="81"/>
            <rFont val="Tahoma"/>
            <family val="2"/>
          </rPr>
          <t>23.63675_Spectrum_Freq 5830633200Hz</t>
        </r>
      </text>
    </comment>
    <comment ref="BJ12" authorId="0" shapeId="0">
      <text>
        <r>
          <rPr>
            <sz val="9"/>
            <color indexed="81"/>
            <rFont val="Tahoma"/>
            <family val="2"/>
          </rPr>
          <t>23.97403_Spectrum_Freq 6026787200Hz</t>
        </r>
      </text>
    </comment>
    <comment ref="BS12" authorId="0" shapeId="0">
      <text>
        <r>
          <rPr>
            <sz val="9"/>
            <color indexed="81"/>
            <rFont val="Tahoma"/>
            <family val="2"/>
          </rPr>
          <t>22.83191_Spectrum_Freq 5963160000Hz</t>
        </r>
      </text>
    </comment>
    <comment ref="CB12" authorId="0" shapeId="0">
      <text>
        <r>
          <rPr>
            <sz val="9"/>
            <color indexed="81"/>
            <rFont val="Tahoma"/>
            <family val="2"/>
          </rPr>
          <t>23.00977_Spectrum_Freq 6033580000Hz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23.65393_Spectrum_Freq 6657708800Hz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23.90457_Spectrum_Freq 6760265600Hz</t>
        </r>
      </text>
    </comment>
    <comment ref="Z13" authorId="0" shapeId="0">
      <text>
        <r>
          <rPr>
            <sz val="9"/>
            <color indexed="81"/>
            <rFont val="Tahoma"/>
            <family val="2"/>
          </rPr>
          <t>24.29114_Spectrum_Freq 6893491200Hz</t>
        </r>
      </text>
    </comment>
    <comment ref="AI13" authorId="0" shapeId="0">
      <text>
        <r>
          <rPr>
            <sz val="9"/>
            <color indexed="81"/>
            <rFont val="Tahoma"/>
            <family val="2"/>
          </rPr>
          <t>22.74344_Spectrum_Freq 6662520000Hz</t>
        </r>
      </text>
    </comment>
    <comment ref="AR13" authorId="0" shapeId="0">
      <text>
        <r>
          <rPr>
            <sz val="9"/>
            <color indexed="81"/>
            <rFont val="Tahoma"/>
            <family val="2"/>
          </rPr>
          <t>23.13983_Spectrum_Freq 6895320000Hz</t>
        </r>
      </text>
    </comment>
    <comment ref="BA13" authorId="0" shapeId="0">
      <text>
        <r>
          <rPr>
            <sz val="9"/>
            <color indexed="81"/>
            <rFont val="Tahoma"/>
            <family val="2"/>
          </rPr>
          <t>23.64328_Spectrum_Freq 6663315200Hz</t>
        </r>
      </text>
    </comment>
    <comment ref="BJ13" authorId="0" shapeId="0">
      <text>
        <r>
          <rPr>
            <sz val="9"/>
            <color indexed="81"/>
            <rFont val="Tahoma"/>
            <family val="2"/>
          </rPr>
          <t>23.88589_Spectrum_Freq 6886992000Hz</t>
        </r>
      </text>
    </comment>
    <comment ref="BS13" authorId="0" shapeId="0">
      <text>
        <r>
          <rPr>
            <sz val="9"/>
            <color indexed="81"/>
            <rFont val="Tahoma"/>
            <family val="2"/>
          </rPr>
          <t>22.83389_Spectrum_Freq 6657280000Hz</t>
        </r>
      </text>
    </comment>
    <comment ref="CB13" authorId="0" shapeId="0">
      <text>
        <r>
          <rPr>
            <sz val="9"/>
            <color indexed="81"/>
            <rFont val="Tahoma"/>
            <family val="2"/>
          </rPr>
          <t>22.91791_Spectrum_Freq 6765120000Hz</t>
        </r>
      </text>
    </comment>
    <comment ref="H14" authorId="0" shapeId="0">
      <text>
        <r>
          <rPr>
            <sz val="9"/>
            <color indexed="81"/>
            <rFont val="Tahoma"/>
            <family val="2"/>
          </rPr>
          <t>23.74326_Spectrum_Freq 7490239200Hz</t>
        </r>
      </text>
    </comment>
    <comment ref="Q14" authorId="0" shapeId="0">
      <text>
        <r>
          <rPr>
            <sz val="9"/>
            <color indexed="81"/>
            <rFont val="Tahoma"/>
            <family val="2"/>
          </rPr>
          <t>23.90863_Spectrum_Freq 7604917200Hz</t>
        </r>
      </text>
    </comment>
    <comment ref="Z14" authorId="0" shapeId="0">
      <text>
        <r>
          <rPr>
            <sz val="9"/>
            <color indexed="81"/>
            <rFont val="Tahoma"/>
            <family val="2"/>
          </rPr>
          <t>24.07416_Spectrum_Freq 7755696000Hz</t>
        </r>
      </text>
    </comment>
    <comment ref="AI14" authorId="0" shapeId="0">
      <text>
        <r>
          <rPr>
            <sz val="9"/>
            <color indexed="81"/>
            <rFont val="Tahoma"/>
            <family val="2"/>
          </rPr>
          <t>22.7413_Spectrum_Freq 7527015000Hz</t>
        </r>
      </text>
    </comment>
    <comment ref="AR14" authorId="0" shapeId="0">
      <text>
        <r>
          <rPr>
            <sz val="9"/>
            <color indexed="81"/>
            <rFont val="Tahoma"/>
            <family val="2"/>
          </rPr>
          <t>23.13199_Spectrum_Freq 7716510000Hz</t>
        </r>
      </text>
    </comment>
    <comment ref="BA14" authorId="0" shapeId="0">
      <text>
        <r>
          <rPr>
            <sz val="9"/>
            <color indexed="81"/>
            <rFont val="Tahoma"/>
            <family val="2"/>
          </rPr>
          <t>23.51401_Spectrum_Freq 7497579600Hz</t>
        </r>
      </text>
    </comment>
    <comment ref="BJ14" authorId="0" shapeId="0">
      <text>
        <r>
          <rPr>
            <sz val="9"/>
            <color indexed="81"/>
            <rFont val="Tahoma"/>
            <family val="2"/>
          </rPr>
          <t>23.97232_Spectrum_Freq 7749842400Hz</t>
        </r>
      </text>
    </comment>
    <comment ref="BS14" authorId="0" shapeId="0">
      <text>
        <r>
          <rPr>
            <sz val="9"/>
            <color indexed="81"/>
            <rFont val="Tahoma"/>
            <family val="2"/>
          </rPr>
          <t>22.93341_Spectrum_Freq 7598160000Hz</t>
        </r>
      </text>
    </comment>
    <comment ref="CB14" authorId="0" shapeId="0">
      <text>
        <r>
          <rPr>
            <sz val="9"/>
            <color indexed="81"/>
            <rFont val="Tahoma"/>
            <family val="2"/>
          </rPr>
          <t>23.01291_Spectrum_Freq 7606620000Hz</t>
        </r>
      </text>
    </comment>
    <comment ref="H15" authorId="0" shapeId="0">
      <text>
        <r>
          <rPr>
            <sz val="9"/>
            <color indexed="81"/>
            <rFont val="Tahoma"/>
            <family val="2"/>
          </rPr>
          <t>23.64557_Spectrum_Freq 8324864000Hz</t>
        </r>
      </text>
    </comment>
    <comment ref="Q15" authorId="0" shapeId="0">
      <text>
        <r>
          <rPr>
            <sz val="9"/>
            <color indexed="81"/>
            <rFont val="Tahoma"/>
            <family val="2"/>
          </rPr>
          <t>23.90463_Spectrum_Freq 8448868000Hz</t>
        </r>
      </text>
    </comment>
    <comment ref="Z15" authorId="0" shapeId="0">
      <text>
        <r>
          <rPr>
            <sz val="9"/>
            <color indexed="81"/>
            <rFont val="Tahoma"/>
            <family val="2"/>
          </rPr>
          <t>24.15836_Spectrum_Freq 8616316000Hz</t>
        </r>
      </text>
    </comment>
    <comment ref="AI15" authorId="0" shapeId="0">
      <text>
        <r>
          <rPr>
            <sz val="9"/>
            <color indexed="81"/>
            <rFont val="Tahoma"/>
            <family val="2"/>
          </rPr>
          <t>22.63812_Spectrum_Freq 8350300000Hz</t>
        </r>
      </text>
    </comment>
    <comment ref="AR15" authorId="0" shapeId="0">
      <text>
        <r>
          <rPr>
            <sz val="9"/>
            <color indexed="81"/>
            <rFont val="Tahoma"/>
            <family val="2"/>
          </rPr>
          <t>23.13989_Spectrum_Freq 8581500000Hz</t>
        </r>
      </text>
    </comment>
    <comment ref="BA15" authorId="0" shapeId="0">
      <text>
        <r>
          <rPr>
            <sz val="9"/>
            <color indexed="81"/>
            <rFont val="Tahoma"/>
            <family val="2"/>
          </rPr>
          <t>23.51797_Spectrum_Freq 8331920000Hz</t>
        </r>
      </text>
    </comment>
    <comment ref="BJ15" authorId="0" shapeId="0">
      <text>
        <r>
          <rPr>
            <sz val="9"/>
            <color indexed="81"/>
            <rFont val="Tahoma"/>
            <family val="2"/>
          </rPr>
          <t>23.7428_Spectrum_Freq 8608828000Hz</t>
        </r>
      </text>
    </comment>
    <comment ref="BS15" authorId="0" shapeId="0">
      <text>
        <r>
          <rPr>
            <sz val="9"/>
            <color indexed="81"/>
            <rFont val="Tahoma"/>
            <family val="2"/>
          </rPr>
          <t>22.83936_Spectrum_Freq 8482000000Hz</t>
        </r>
      </text>
    </comment>
    <comment ref="CB15" authorId="0" shapeId="0">
      <text>
        <r>
          <rPr>
            <sz val="9"/>
            <color indexed="81"/>
            <rFont val="Tahoma"/>
            <family val="2"/>
          </rPr>
          <t>23.02155_Spectrum_Freq 8575000000Hz</t>
        </r>
      </text>
    </comment>
    <comment ref="H16" authorId="0" shapeId="0">
      <text>
        <r>
          <rPr>
            <sz val="9"/>
            <color indexed="81"/>
            <rFont val="Tahoma"/>
            <family val="2"/>
          </rPr>
          <t>23.64066_Spectrum_Freq 9287450400Hz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23.90527_Spectrum_Freq 9293592000Hz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24.16739_Spectrum_Freq 9477512000Hz</t>
        </r>
      </text>
    </comment>
    <comment ref="AI16" authorId="0" shapeId="0">
      <text>
        <r>
          <rPr>
            <sz val="9"/>
            <color indexed="81"/>
            <rFont val="Tahoma"/>
            <family val="2"/>
          </rPr>
          <t>22.73926_Spectrum_Freq 9172350000Hz</t>
        </r>
      </text>
    </comment>
    <comment ref="AR16" authorId="0" shapeId="0">
      <text>
        <r>
          <rPr>
            <sz val="9"/>
            <color indexed="81"/>
            <rFont val="Tahoma"/>
            <family val="2"/>
          </rPr>
          <t>23.13937_Spectrum_Freq 9429365000Hz</t>
        </r>
      </text>
    </comment>
    <comment ref="BA16" authorId="0" shapeId="0">
      <text>
        <r>
          <rPr>
            <sz val="9"/>
            <color indexed="81"/>
            <rFont val="Tahoma"/>
            <family val="2"/>
          </rPr>
          <t>23.71979_Spectrum_Freq 9162410400Hz</t>
        </r>
      </text>
    </comment>
    <comment ref="BJ16" authorId="0" shapeId="0">
      <text>
        <r>
          <rPr>
            <sz val="9"/>
            <color indexed="81"/>
            <rFont val="Tahoma"/>
            <family val="2"/>
          </rPr>
          <t>23.88083_Spectrum_Freq 9469926400Hz</t>
        </r>
      </text>
    </comment>
    <comment ref="BS16" authorId="0" shapeId="0">
      <text>
        <r>
          <rPr>
            <sz val="9"/>
            <color indexed="81"/>
            <rFont val="Tahoma"/>
            <family val="2"/>
          </rPr>
          <t>22.84802_Spectrum_Freq 9279380000Hz</t>
        </r>
      </text>
    </comment>
    <comment ref="CB16" authorId="0" shapeId="0">
      <text>
        <r>
          <rPr>
            <sz val="9"/>
            <color indexed="81"/>
            <rFont val="Tahoma"/>
            <family val="2"/>
          </rPr>
          <t>22.90555_Spectrum_Freq 9315680000Hz</t>
        </r>
      </text>
    </comment>
    <comment ref="H17" authorId="0" shapeId="0">
      <text>
        <r>
          <rPr>
            <sz val="9"/>
            <color indexed="81"/>
            <rFont val="Tahoma"/>
            <family val="2"/>
          </rPr>
          <t>23.72418_Spectrum_Freq 11465393020Hz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>23.99252_Spectrum_Freq 10140316800Hz</t>
        </r>
      </text>
    </comment>
    <comment ref="Z17" authorId="0" shapeId="0">
      <text>
        <r>
          <rPr>
            <sz val="9"/>
            <color indexed="81"/>
            <rFont val="Tahoma"/>
            <family val="2"/>
          </rPr>
          <t>24.1488_Spectrum_Freq 10341206400Hz</t>
        </r>
      </text>
    </comment>
    <comment ref="AI17" authorId="0" shapeId="0">
      <text>
        <r>
          <rPr>
            <sz val="9"/>
            <color indexed="81"/>
            <rFont val="Tahoma"/>
            <family val="2"/>
          </rPr>
          <t>22.75894_Spectrum_Freq 10012740000Hz</t>
        </r>
      </text>
    </comment>
    <comment ref="AR17" authorId="0" shapeId="0">
      <text>
        <r>
          <rPr>
            <sz val="9"/>
            <color indexed="81"/>
            <rFont val="Tahoma"/>
            <family val="2"/>
          </rPr>
          <t>23.1347_Spectrum_Freq 10288560000Hz</t>
        </r>
      </text>
    </comment>
    <comment ref="BA17" authorId="0" shapeId="0">
      <text>
        <r>
          <rPr>
            <sz val="9"/>
            <color indexed="81"/>
            <rFont val="Tahoma"/>
            <family val="2"/>
          </rPr>
          <t>23.51053_Spectrum_Freq 9994800000Hz</t>
        </r>
      </text>
    </comment>
    <comment ref="BJ17" authorId="0" shapeId="0">
      <text>
        <r>
          <rPr>
            <sz val="9"/>
            <color indexed="81"/>
            <rFont val="Tahoma"/>
            <family val="2"/>
          </rPr>
          <t>23.96268_Spectrum_Freq 10330728000Hz</t>
        </r>
      </text>
    </comment>
    <comment ref="BS17" authorId="0" shapeId="0">
      <text>
        <r>
          <rPr>
            <sz val="9"/>
            <color indexed="81"/>
            <rFont val="Tahoma"/>
            <family val="2"/>
          </rPr>
          <t>22.83545_Spectrum_Freq 10187760000Hz</t>
        </r>
      </text>
    </comment>
    <comment ref="CB17" authorId="0" shapeId="0">
      <text>
        <r>
          <rPr>
            <sz val="9"/>
            <color indexed="81"/>
            <rFont val="Tahoma"/>
            <family val="2"/>
          </rPr>
          <t>23.03915_Spectrum_Freq 10167360000Hz</t>
        </r>
      </text>
    </comment>
    <comment ref="H18" authorId="0" shapeId="0">
      <text>
        <r>
          <rPr>
            <sz val="9"/>
            <color indexed="81"/>
            <rFont val="Tahoma"/>
            <family val="2"/>
          </rPr>
          <t>23.62772_Spectrum_Freq 10818345200Hz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>23.90121_Spectrum_Freq 10983403600Hz</t>
        </r>
      </text>
    </comment>
    <comment ref="Z18" authorId="0" shapeId="0">
      <text>
        <r>
          <rPr>
            <sz val="9"/>
            <color indexed="81"/>
            <rFont val="Tahoma"/>
            <family val="2"/>
          </rPr>
          <t>24.05014_Spectrum_Freq 11203561200Hz</t>
        </r>
      </text>
    </comment>
    <comment ref="AI18" authorId="0" shapeId="0">
      <text>
        <r>
          <rPr>
            <sz val="9"/>
            <color indexed="81"/>
            <rFont val="Tahoma"/>
            <family val="2"/>
          </rPr>
          <t>22.7532_Spectrum_Freq 10819705000Hz</t>
        </r>
      </text>
    </comment>
    <comment ref="AR18" authorId="0" shapeId="0">
      <text>
        <r>
          <rPr>
            <sz val="9"/>
            <color indexed="81"/>
            <rFont val="Tahoma"/>
            <family val="2"/>
          </rPr>
          <t>23.13376_Spectrum_Freq 11202100000Hz</t>
        </r>
      </text>
    </comment>
    <comment ref="BA18" authorId="0" shapeId="0">
      <text>
        <r>
          <rPr>
            <sz val="9"/>
            <color indexed="81"/>
            <rFont val="Tahoma"/>
            <family val="2"/>
          </rPr>
          <t>23.73206_Spectrum_Freq 10827778000Hz</t>
        </r>
      </text>
    </comment>
    <comment ref="BJ18" authorId="0" shapeId="0">
      <text>
        <r>
          <rPr>
            <sz val="9"/>
            <color indexed="81"/>
            <rFont val="Tahoma"/>
            <family val="2"/>
          </rPr>
          <t>23.87741_Spectrum_Freq 11191882000Hz</t>
        </r>
      </text>
    </comment>
    <comment ref="BS18" authorId="0" shapeId="0">
      <text>
        <r>
          <rPr>
            <sz val="9"/>
            <color indexed="81"/>
            <rFont val="Tahoma"/>
            <family val="2"/>
          </rPr>
          <t>22.93774_Spectrum_Freq 10818600000Hz</t>
        </r>
      </text>
    </comment>
    <comment ref="CB18" authorId="0" shapeId="0">
      <text>
        <r>
          <rPr>
            <sz val="9"/>
            <color indexed="81"/>
            <rFont val="Tahoma"/>
            <family val="2"/>
          </rPr>
          <t>23.0206_Spectrum_Freq 11197940000Hz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23.62308_Spectrum_Freq 11654804000Hz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>23.98495_Spectrum_Freq 11829865600Hz</t>
        </r>
      </text>
    </comment>
    <comment ref="Z19" authorId="0" shapeId="0">
      <text>
        <r>
          <rPr>
            <sz val="9"/>
            <color indexed="81"/>
            <rFont val="Tahoma"/>
            <family val="2"/>
          </rPr>
          <t>24.14233_Spectrum_Freq 12061688800Hz</t>
        </r>
      </text>
    </comment>
    <comment ref="AI19" authorId="0" shapeId="0">
      <text>
        <r>
          <rPr>
            <sz val="9"/>
            <color indexed="81"/>
            <rFont val="Tahoma"/>
            <family val="2"/>
          </rPr>
          <t>22.74744_Spectrum_Freq 11653670000Hz</t>
        </r>
      </text>
    </comment>
    <comment ref="AR19" authorId="0" shapeId="0">
      <text>
        <r>
          <rPr>
            <sz val="9"/>
            <color indexed="81"/>
            <rFont val="Tahoma"/>
            <family val="2"/>
          </rPr>
          <t>23.14203_Spectrum_Freq 12008290000Hz</t>
        </r>
      </text>
    </comment>
    <comment ref="BA19" authorId="0" shapeId="0">
      <text>
        <r>
          <rPr>
            <sz val="9"/>
            <color indexed="81"/>
            <rFont val="Tahoma"/>
            <family val="2"/>
          </rPr>
          <t>23.63269_Spectrum_Freq 11661171200Hz</t>
        </r>
      </text>
    </comment>
    <comment ref="BJ19" authorId="0" shapeId="0">
      <text>
        <r>
          <rPr>
            <sz val="9"/>
            <color indexed="81"/>
            <rFont val="Tahoma"/>
            <family val="2"/>
          </rPr>
          <t>23.96664_Spectrum_Freq 12049973600Hz</t>
        </r>
      </text>
    </comment>
    <comment ref="BS19" authorId="0" shapeId="0">
      <text>
        <r>
          <rPr>
            <sz val="9"/>
            <color indexed="81"/>
            <rFont val="Tahoma"/>
            <family val="2"/>
          </rPr>
          <t>22.83701_Spectrum_Freq 11921840000Hz</t>
        </r>
      </text>
    </comment>
    <comment ref="CB19" authorId="0" shapeId="0">
      <text>
        <r>
          <rPr>
            <sz val="9"/>
            <color indexed="81"/>
            <rFont val="Tahoma"/>
            <family val="2"/>
          </rPr>
          <t>22.9996_Spectrum_Freq 11950960000Hz</t>
        </r>
      </text>
    </comment>
  </commentList>
</comments>
</file>

<file path=xl/comments14.xml><?xml version="1.0" encoding="utf-8"?>
<comments xmlns="http://schemas.openxmlformats.org/spreadsheetml/2006/main">
  <authors>
    <author>Long, WANG (HW-NB-TCT)</author>
  </authors>
  <commentList>
    <comment ref="H7" authorId="0" shapeId="0">
      <text>
        <r>
          <rPr>
            <sz val="9"/>
            <color indexed="81"/>
            <rFont val="Tahoma"/>
            <family val="2"/>
          </rPr>
          <t>23.83536_Spectrum_Freq 3700480800Hz Time: 4:50:54 PM 6/12/2016</t>
        </r>
      </text>
    </comment>
    <comment ref="Q7" authorId="0" shapeId="0">
      <text>
        <r>
          <rPr>
            <sz val="9"/>
            <color indexed="81"/>
            <rFont val="Tahoma"/>
            <family val="2"/>
          </rPr>
          <t>0_Spectrum_Freq 3829503200Hz Time: 4:51:13 PM 6/12/2016</t>
        </r>
      </text>
    </comment>
    <comment ref="Z7" authorId="0" shapeId="0">
      <text>
        <r>
          <rPr>
            <sz val="9"/>
            <color indexed="81"/>
            <rFont val="Tahoma"/>
            <family val="2"/>
          </rPr>
          <t>24.08597_Spectrum_Freq 3700672000Hz Time: 4:51:34 PM 6/12/2016</t>
        </r>
      </text>
    </comment>
    <comment ref="AI7" authorId="0" shapeId="0">
      <text>
        <r>
          <rPr>
            <sz val="9"/>
            <color indexed="81"/>
            <rFont val="Tahoma"/>
            <family val="2"/>
          </rPr>
          <t>23.56235_Spectrum_Freq 3760660000Hz Time: 4:51:53 PM 6/12/2016</t>
        </r>
      </text>
    </comment>
    <comment ref="AR7" authorId="0" shapeId="0">
      <text>
        <r>
          <rPr>
            <sz val="9"/>
            <color indexed="81"/>
            <rFont val="Tahoma"/>
            <family val="2"/>
          </rPr>
          <t>0_Spectrum_Freq 3829360800Hz Time: 4:52:17 PM 6/12/2016</t>
        </r>
      </text>
    </comment>
    <comment ref="BA7" authorId="0" shapeId="0">
      <text>
        <r>
          <rPr>
            <sz val="9"/>
            <color indexed="81"/>
            <rFont val="Tahoma"/>
            <family val="2"/>
          </rPr>
          <t>23.08484_Spectrum_Freq 3703290000Hz Time: 4:54:29 PM 6/12/2016</t>
        </r>
      </text>
    </comment>
    <comment ref="BJ7" authorId="0" shapeId="0">
      <text>
        <r>
          <rPr>
            <sz val="9"/>
            <color indexed="81"/>
            <rFont val="Tahoma"/>
            <family val="2"/>
          </rPr>
          <t>21.79312_Spectrum_Freq 3826410000Hz Time: 4:54:48 PM 6/12/2016</t>
        </r>
      </text>
    </comment>
    <comment ref="BS7" authorId="0" shapeId="0">
      <text>
        <r>
          <rPr>
            <sz val="9"/>
            <color indexed="81"/>
            <rFont val="Tahoma"/>
            <family val="2"/>
          </rPr>
          <t>24.55588_Spectrum_Freq 3702116000Hz Time: 4:55:09 PM 6/12/2016</t>
        </r>
      </text>
    </comment>
    <comment ref="CB7" authorId="0" shapeId="0">
      <text>
        <r>
          <rPr>
            <sz val="9"/>
            <color indexed="81"/>
            <rFont val="Tahoma"/>
            <family val="2"/>
          </rPr>
          <t>0_Spectrum_Freq 3827779200Hz Time: 4:55:29 PM 6/12/2016</t>
        </r>
      </text>
    </comment>
    <comment ref="CK7" authorId="0" shapeId="0">
      <text>
        <r>
          <rPr>
            <sz val="9"/>
            <color indexed="81"/>
            <rFont val="Tahoma"/>
            <family val="2"/>
          </rPr>
          <t>23.29044_Spectrum_Freq 3716880000Hz Time: 4:55:50 PM 6/12/2016</t>
        </r>
      </text>
    </comment>
    <comment ref="CT7" authorId="0" shapeId="0">
      <text>
        <r>
          <rPr>
            <sz val="9"/>
            <color indexed="81"/>
            <rFont val="Tahoma"/>
            <family val="2"/>
          </rPr>
          <t>22.61667_Spectrum_Freq 3806480000Hz Time: 4:56:11 PM 6/12/2016</t>
        </r>
      </text>
    </comment>
    <comment ref="H8" authorId="0" shapeId="0">
      <text>
        <r>
          <rPr>
            <sz val="9"/>
            <color indexed="81"/>
            <rFont val="Tahoma"/>
            <family val="2"/>
          </rPr>
          <t>23.82047_Spectrum_Freq 5550150000.69Hz Time: 4:50:57 PM 6/12/2016</t>
        </r>
      </text>
    </comment>
    <comment ref="Q8" authorId="0" shapeId="0">
      <text>
        <r>
          <rPr>
            <sz val="9"/>
            <color indexed="81"/>
            <rFont val="Tahoma"/>
            <family val="2"/>
          </rPr>
          <t>0_Spectrum_Freq 5744202000Hz Time: 4:51:16 PM 6/12/2016</t>
        </r>
      </text>
    </comment>
    <comment ref="Z8" authorId="0" shapeId="0">
      <text>
        <r>
          <rPr>
            <sz val="9"/>
            <color indexed="81"/>
            <rFont val="Tahoma"/>
            <family val="2"/>
          </rPr>
          <t>23.93539_Spectrum_Freq 5550840000Hz Time: 4:51:37 PM 6/12/2016</t>
        </r>
      </text>
    </comment>
    <comment ref="AI8" authorId="0" shapeId="0">
      <text>
        <r>
          <rPr>
            <sz val="9"/>
            <color indexed="81"/>
            <rFont val="Tahoma"/>
            <family val="2"/>
          </rPr>
          <t>23.51843_Spectrum_Freq 5640986400Hz Time: 4:51:56 PM 6/12/2016</t>
        </r>
      </text>
    </comment>
    <comment ref="AR8" authorId="0" shapeId="0">
      <text>
        <r>
          <rPr>
            <sz val="9"/>
            <color indexed="81"/>
            <rFont val="Tahoma"/>
            <family val="2"/>
          </rPr>
          <t>0_Spectrum_Freq 5743902000Hz Time: 4:52:20 PM 6/12/2016</t>
        </r>
      </text>
    </comment>
    <comment ref="BA8" authorId="0" shapeId="0">
      <text>
        <r>
          <rPr>
            <sz val="9"/>
            <color indexed="81"/>
            <rFont val="Tahoma"/>
            <family val="2"/>
          </rPr>
          <t>23.07809_Spectrum_Freq 5555085000Hz Time: 4:54:31 PM 6/12/2016</t>
        </r>
      </text>
    </comment>
    <comment ref="BJ8" authorId="0" shapeId="0">
      <text>
        <r>
          <rPr>
            <sz val="9"/>
            <color indexed="81"/>
            <rFont val="Tahoma"/>
            <family val="2"/>
          </rPr>
          <t>21.75388_Spectrum_Freq 5730390000Hz Time: 4:54:51 PM 6/12/2016</t>
        </r>
      </text>
    </comment>
    <comment ref="BS8" authorId="0" shapeId="0">
      <text>
        <r>
          <rPr>
            <sz val="9"/>
            <color indexed="81"/>
            <rFont val="Tahoma"/>
            <family val="2"/>
          </rPr>
          <t>24.96451_Spectrum_Freq 5552702400Hz Time: 4:55:12 PM 6/12/2016</t>
        </r>
      </text>
    </comment>
    <comment ref="CB8" authorId="0" shapeId="0">
      <text>
        <r>
          <rPr>
            <sz val="9"/>
            <color indexed="81"/>
            <rFont val="Tahoma"/>
            <family val="2"/>
          </rPr>
          <t>0_Spectrum_Freq 5741806800Hz Time: 4:55:32 PM 6/12/2016</t>
        </r>
      </text>
    </comment>
    <comment ref="CK8" authorId="0" shapeId="0">
      <text>
        <r>
          <rPr>
            <sz val="9"/>
            <color indexed="81"/>
            <rFont val="Tahoma"/>
            <family val="2"/>
          </rPr>
          <t>23.30273_Spectrum_Freq 5605860000Hz Time: 4:55:53 PM 6/12/2016</t>
        </r>
      </text>
    </comment>
    <comment ref="CT8" authorId="0" shapeId="0">
      <text>
        <r>
          <rPr>
            <sz val="9"/>
            <color indexed="81"/>
            <rFont val="Tahoma"/>
            <family val="2"/>
          </rPr>
          <t>22.58408_Spectrum_Freq 5686980000Hz Time: 4:56:14 PM 6/12/2016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23.80615_Spectrum_Freq 7400838400Hz Time: 4:50:59 PM 6/12/2016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0_Spectrum_Freq 7658995200Hz Time: 4:51:18 PM 6/12/2016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23.9274_Spectrum_Freq 7401200000Hz Time: 4:51:40 PM 6/12/2016</t>
        </r>
      </text>
    </comment>
    <comment ref="AI9" authorId="0" shapeId="0">
      <text>
        <r>
          <rPr>
            <sz val="9"/>
            <color indexed="81"/>
            <rFont val="Tahoma"/>
            <family val="2"/>
          </rPr>
          <t>23.53571_Spectrum_Freq 7521243200Hz Time: 4:51:59 PM 6/12/2016</t>
        </r>
      </text>
    </comment>
    <comment ref="AR9" authorId="0" shapeId="0">
      <text>
        <r>
          <rPr>
            <sz val="9"/>
            <color indexed="81"/>
            <rFont val="Tahoma"/>
            <family val="2"/>
          </rPr>
          <t>0_Spectrum_Freq 7658628800Hz Time: 4:54:15 PM 6/12/2016</t>
        </r>
      </text>
    </comment>
    <comment ref="BA9" authorId="0" shapeId="0">
      <text>
        <r>
          <rPr>
            <sz val="9"/>
            <color indexed="81"/>
            <rFont val="Tahoma"/>
            <family val="2"/>
          </rPr>
          <t>23.08075_Spectrum_Freq 7409800000Hz Time: 4:54:34 PM 6/12/2016</t>
        </r>
      </text>
    </comment>
    <comment ref="BJ9" authorId="0" shapeId="0">
      <text>
        <r>
          <rPr>
            <sz val="9"/>
            <color indexed="81"/>
            <rFont val="Tahoma"/>
            <family val="2"/>
          </rPr>
          <t>21.67578_Spectrum_Freq 7650220000Hz Time: 4:54:53 PM 6/12/2016</t>
        </r>
      </text>
    </comment>
    <comment ref="BS9" authorId="0" shapeId="0">
      <text>
        <r>
          <rPr>
            <sz val="9"/>
            <color indexed="81"/>
            <rFont val="Tahoma"/>
            <family val="2"/>
          </rPr>
          <t>24.91025_Spectrum_Freq 7404369600Hz Time: 4:55:15 PM 6/12/2016</t>
        </r>
      </text>
    </comment>
    <comment ref="CB9" authorId="0" shapeId="0">
      <text>
        <r>
          <rPr>
            <sz val="9"/>
            <color indexed="81"/>
            <rFont val="Tahoma"/>
            <family val="2"/>
          </rPr>
          <t>0_Spectrum_Freq 7655659200Hz Time: 4:55:35 PM 6/12/2016</t>
        </r>
      </text>
    </comment>
    <comment ref="CK9" authorId="0" shapeId="0">
      <text>
        <r>
          <rPr>
            <sz val="9"/>
            <color indexed="81"/>
            <rFont val="Tahoma"/>
            <family val="2"/>
          </rPr>
          <t>23.16434_Spectrum_Freq 7458480000Hz Time: 4:55:56 PM 6/12/2016</t>
        </r>
      </text>
    </comment>
    <comment ref="CT9" authorId="0" shapeId="0">
      <text>
        <r>
          <rPr>
            <sz val="9"/>
            <color indexed="81"/>
            <rFont val="Tahoma"/>
            <family val="2"/>
          </rPr>
          <t>22.65405_Spectrum_Freq 7619760000Hz Time: 4:56:17 PM 6/12/2016</t>
        </r>
      </text>
    </comment>
    <comment ref="H10" authorId="0" shapeId="0">
      <text>
        <r>
          <rPr>
            <sz val="9"/>
            <color indexed="81"/>
            <rFont val="Tahoma"/>
            <family val="2"/>
          </rPr>
          <t>23.80664_Spectrum_Freq 9251530000Hz Time: 4:51:02 PM 6/12/2016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>0_Spectrum_Freq 9573862000Hz Time: 4:51:21 PM 6/12/2016</t>
        </r>
      </text>
    </comment>
    <comment ref="Z10" authorId="0" shapeId="0">
      <text>
        <r>
          <rPr>
            <sz val="9"/>
            <color indexed="81"/>
            <rFont val="Tahoma"/>
            <family val="2"/>
          </rPr>
          <t>23.89877_Spectrum_Freq 9251450000Hz Time: 4:51:42 PM 6/12/2016</t>
        </r>
      </text>
    </comment>
    <comment ref="AI10" authorId="0" shapeId="0">
      <text>
        <r>
          <rPr>
            <sz val="9"/>
            <color indexed="81"/>
            <rFont val="Tahoma"/>
            <family val="2"/>
          </rPr>
          <t>23.53598_Spectrum_Freq 9401814000Hz Time: 4:52:07 PM 6/12/2016</t>
        </r>
      </text>
    </comment>
    <comment ref="AR10" authorId="0" shapeId="0">
      <text>
        <r>
          <rPr>
            <sz val="9"/>
            <color indexed="81"/>
            <rFont val="Tahoma"/>
            <family val="2"/>
          </rPr>
          <t>0_Spectrum_Freq 9573422000Hz Time: 4:54:17 PM 6/12/2016</t>
        </r>
      </text>
    </comment>
    <comment ref="BA10" authorId="0" shapeId="0">
      <text>
        <r>
          <rPr>
            <sz val="9"/>
            <color indexed="81"/>
            <rFont val="Tahoma"/>
            <family val="2"/>
          </rPr>
          <t>23.08856_Spectrum_Freq 9267500000Hz Time: 4:54:37 PM 6/12/2016</t>
        </r>
      </text>
    </comment>
    <comment ref="BJ10" authorId="0" shapeId="0">
      <text>
        <r>
          <rPr>
            <sz val="9"/>
            <color indexed="81"/>
            <rFont val="Tahoma"/>
            <family val="2"/>
          </rPr>
          <t>21.85291_Spectrum_Freq 9555225000Hz Time: 4:54:56 PM 6/12/2016</t>
        </r>
      </text>
    </comment>
    <comment ref="BS10" authorId="0" shapeId="0">
      <text>
        <r>
          <rPr>
            <sz val="9"/>
            <color indexed="81"/>
            <rFont val="Tahoma"/>
            <family val="2"/>
          </rPr>
          <t>25.76645_Spectrum_Freq 9255726000Hz Time: 4:55:18 PM 6/12/2016</t>
        </r>
      </text>
    </comment>
    <comment ref="CB10" authorId="0" shapeId="0">
      <text>
        <r>
          <rPr>
            <sz val="9"/>
            <color indexed="81"/>
            <rFont val="Tahoma"/>
            <family val="2"/>
          </rPr>
          <t>0_Spectrum_Freq 9569482000Hz Time: 4:55:38 PM 6/12/2016</t>
        </r>
      </text>
    </comment>
    <comment ref="CK10" authorId="0" shapeId="0">
      <text>
        <r>
          <rPr>
            <sz val="9"/>
            <color indexed="81"/>
            <rFont val="Tahoma"/>
            <family val="2"/>
          </rPr>
          <t>23.1731_Spectrum_Freq 9294200000Hz Time: 4:55:59 PM 6/12/2016</t>
        </r>
      </text>
    </comment>
    <comment ref="CT10" authorId="0" shapeId="0">
      <text>
        <r>
          <rPr>
            <sz val="9"/>
            <color indexed="81"/>
            <rFont val="Tahoma"/>
            <family val="2"/>
          </rPr>
          <t>22.64819_Spectrum_Freq 9564100000Hz Time: 4:56:20 PM 6/12/2016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23.80042_Spectrum_Freq 11102296800Hz Time: 4:51:05 PM 6/12/2016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>0_Spectrum_Freq 11488233600Hz Time: 4:51:24 PM 6/12/2016</t>
        </r>
      </text>
    </comment>
    <comment ref="Z11" authorId="0" shapeId="0">
      <text>
        <r>
          <rPr>
            <sz val="9"/>
            <color indexed="81"/>
            <rFont val="Tahoma"/>
            <family val="2"/>
          </rPr>
          <t>24.02588_Spectrum_Freq 11100998400Hz Time: 4:51:45 PM 6/12/2016</t>
        </r>
      </text>
    </comment>
    <comment ref="AI11" authorId="0" shapeId="0">
      <text>
        <r>
          <rPr>
            <sz val="9"/>
            <color indexed="81"/>
            <rFont val="Tahoma"/>
            <family val="2"/>
          </rPr>
          <t>23.52527_Spectrum_Freq 11282911200Hz Time: 4:52:09 PM 6/12/2016</t>
        </r>
      </text>
    </comment>
    <comment ref="AR11" authorId="0" shapeId="0">
      <text>
        <r>
          <rPr>
            <sz val="9"/>
            <color indexed="81"/>
            <rFont val="Tahoma"/>
            <family val="2"/>
          </rPr>
          <t>0_Spectrum_Freq 11488977600Hz Time: 4:54:20 PM 6/12/2016</t>
        </r>
      </text>
    </comment>
    <comment ref="BA11" authorId="0" shapeId="0">
      <text>
        <r>
          <rPr>
            <sz val="9"/>
            <color indexed="81"/>
            <rFont val="Tahoma"/>
            <family val="2"/>
          </rPr>
          <t>23.09598_Spectrum_Freq 11121240000Hz Time: 4:54:40 PM 6/12/2016</t>
        </r>
      </text>
    </comment>
    <comment ref="BJ11" authorId="0" shapeId="0">
      <text>
        <r>
          <rPr>
            <sz val="9"/>
            <color indexed="81"/>
            <rFont val="Tahoma"/>
            <family val="2"/>
          </rPr>
          <t>21.83517_Spectrum_Freq 11468850000Hz Time: 4:54:59 PM 6/12/2016</t>
        </r>
      </text>
    </comment>
    <comment ref="BS11" authorId="0" shapeId="0">
      <text>
        <r>
          <rPr>
            <sz val="9"/>
            <color indexed="81"/>
            <rFont val="Tahoma"/>
            <family val="2"/>
          </rPr>
          <t>24.78748_Spectrum_Freq 11106151200Hz Time: 4:55:21 PM 6/12/2016</t>
        </r>
      </text>
    </comment>
    <comment ref="CB11" authorId="0" shapeId="0">
      <text>
        <r>
          <rPr>
            <sz val="9"/>
            <color indexed="81"/>
            <rFont val="Tahoma"/>
            <family val="2"/>
          </rPr>
          <t>0_Spectrum_Freq 11482656000Hz Time: 4:55:42 PM 6/12/2016</t>
        </r>
      </text>
    </comment>
    <comment ref="CK11" authorId="0" shapeId="0">
      <text>
        <r>
          <rPr>
            <sz val="9"/>
            <color indexed="81"/>
            <rFont val="Tahoma"/>
            <family val="2"/>
          </rPr>
          <t>23.32553_Spectrum_Freq 11213400000Hz Time: 4:56:02 PM 6/12/2016</t>
        </r>
      </text>
    </comment>
    <comment ref="CT11" authorId="0" shapeId="0">
      <text>
        <r>
          <rPr>
            <sz val="9"/>
            <color indexed="81"/>
            <rFont val="Tahoma"/>
            <family val="2"/>
          </rPr>
          <t>22.58609_Spectrum_Freq 11437680000Hz Time: 4:56:23 PM 6/12/2016</t>
        </r>
      </text>
    </comment>
  </commentList>
</comments>
</file>

<file path=xl/comments15.xml><?xml version="1.0" encoding="utf-8"?>
<comments xmlns="http://schemas.openxmlformats.org/spreadsheetml/2006/main">
  <authors>
    <author>Long, WANG (HW-NB-TCT)</author>
  </authors>
  <commentList>
    <comment ref="H7" authorId="0" shapeId="0">
      <text>
        <r>
          <rPr>
            <sz val="9"/>
            <color indexed="81"/>
            <rFont val="Tahoma"/>
            <family val="2"/>
          </rPr>
          <t>23.19363_Spectrum_Freq 1628423200Hz</t>
        </r>
      </text>
    </comment>
    <comment ref="Q7" authorId="0" shapeId="0">
      <text>
        <r>
          <rPr>
            <sz val="9"/>
            <color indexed="81"/>
            <rFont val="Tahoma"/>
            <family val="2"/>
          </rPr>
          <t>23.40277_Spectrum_Freq 1696029600Hz</t>
        </r>
      </text>
    </comment>
    <comment ref="Z7" authorId="0" shapeId="0">
      <text>
        <r>
          <rPr>
            <sz val="9"/>
            <color indexed="81"/>
            <rFont val="Tahoma"/>
            <family val="2"/>
          </rPr>
          <t>23.25732_Spectrum_Freq 1628810400Hz</t>
        </r>
      </text>
    </comment>
    <comment ref="AI7" authorId="0" shapeId="0">
      <text>
        <r>
          <rPr>
            <sz val="9"/>
            <color indexed="81"/>
            <rFont val="Tahoma"/>
            <family val="2"/>
          </rPr>
          <t>23.43466_Spectrum_Freq 1658602400Hz</t>
        </r>
      </text>
    </comment>
    <comment ref="AR7" authorId="0" shapeId="0">
      <text>
        <r>
          <rPr>
            <sz val="9"/>
            <color indexed="81"/>
            <rFont val="Tahoma"/>
            <family val="2"/>
          </rPr>
          <t>23.38873_Spectrum_Freq 1697240000Hz</t>
        </r>
      </text>
    </comment>
    <comment ref="BA7" authorId="0" shapeId="0">
      <text>
        <r>
          <rPr>
            <sz val="9"/>
            <color indexed="81"/>
            <rFont val="Tahoma"/>
            <family val="2"/>
          </rPr>
          <t>22.1879_Spectrum_Freq 1632720000Hz</t>
        </r>
      </text>
    </comment>
    <comment ref="BJ7" authorId="0" shapeId="0">
      <text>
        <r>
          <rPr>
            <sz val="9"/>
            <color indexed="81"/>
            <rFont val="Tahoma"/>
            <family val="2"/>
          </rPr>
          <t>22.89383_Spectrum_Freq 1692730000Hz</t>
        </r>
      </text>
    </comment>
    <comment ref="BS7" authorId="0" shapeId="0">
      <text>
        <r>
          <rPr>
            <sz val="9"/>
            <color indexed="81"/>
            <rFont val="Tahoma"/>
            <family val="2"/>
          </rPr>
          <t>23.25879_Spectrum_Freq 1631581600Hz</t>
        </r>
      </text>
    </comment>
    <comment ref="CB7" authorId="0" shapeId="0">
      <text>
        <r>
          <rPr>
            <sz val="9"/>
            <color indexed="81"/>
            <rFont val="Tahoma"/>
            <family val="2"/>
          </rPr>
          <t>23.73264_Spectrum_Freq 1696324800Hz</t>
        </r>
      </text>
    </comment>
    <comment ref="CK7" authorId="0" shapeId="0">
      <text>
        <r>
          <rPr>
            <sz val="9"/>
            <color indexed="81"/>
            <rFont val="Tahoma"/>
            <family val="2"/>
          </rPr>
          <t>22.49643_Spectrum_Freq 1637230000Hz</t>
        </r>
      </text>
    </comment>
    <comment ref="CT7" authorId="0" shapeId="0">
      <text>
        <r>
          <rPr>
            <sz val="9"/>
            <color indexed="81"/>
            <rFont val="Tahoma"/>
            <family val="2"/>
          </rPr>
          <t>22.80954_Spectrum_Freq 1685790000Hz</t>
        </r>
      </text>
    </comment>
    <comment ref="H8" authorId="0" shapeId="0">
      <text>
        <r>
          <rPr>
            <sz val="9"/>
            <color indexed="81"/>
            <rFont val="Tahoma"/>
            <family val="2"/>
          </rPr>
          <t>should use LME Agilent spectrum analyzer. Noise floor is big when using R&amp;S SA.</t>
        </r>
      </text>
    </comment>
    <comment ref="Q8" authorId="0" shapeId="0">
      <text>
        <r>
          <rPr>
            <sz val="9"/>
            <color indexed="81"/>
            <rFont val="Tahoma"/>
            <family val="2"/>
          </rPr>
          <t>should use LME Agilent spectrum analyzer. Noise floor is big when using R&amp;S SA.</t>
        </r>
      </text>
    </comment>
    <comment ref="Z8" authorId="0" shapeId="0">
      <text>
        <r>
          <rPr>
            <sz val="9"/>
            <color indexed="81"/>
            <rFont val="Tahoma"/>
            <family val="2"/>
          </rPr>
          <t>should use LME Agilent spectrum analyzer. Noise floor is big when using R&amp;S SA.</t>
        </r>
      </text>
    </comment>
    <comment ref="AI8" authorId="0" shapeId="0">
      <text>
        <r>
          <rPr>
            <sz val="9"/>
            <color indexed="81"/>
            <rFont val="Tahoma"/>
            <family val="2"/>
          </rPr>
          <t>should use LME Agilent spectrum analyzer. Noise floor is big when using R&amp;S SA.</t>
        </r>
      </text>
    </comment>
    <comment ref="AR8" authorId="0" shapeId="0">
      <text>
        <r>
          <rPr>
            <sz val="9"/>
            <color indexed="81"/>
            <rFont val="Tahoma"/>
            <family val="2"/>
          </rPr>
          <t>should use LME Agilent spectrum analyzer. Noise floor is big when using R&amp;S SA.</t>
        </r>
      </text>
    </comment>
    <comment ref="BA8" authorId="0" shapeId="0">
      <text>
        <r>
          <rPr>
            <sz val="9"/>
            <color indexed="81"/>
            <rFont val="Tahoma"/>
            <family val="2"/>
          </rPr>
          <t>should use LME Agilent spectrum analyzer. Noise floor is big when using R&amp;S SA.</t>
        </r>
      </text>
    </comment>
    <comment ref="BJ8" authorId="0" shapeId="0">
      <text>
        <r>
          <rPr>
            <sz val="9"/>
            <color indexed="81"/>
            <rFont val="Tahoma"/>
            <family val="2"/>
          </rPr>
          <t>should use LME Agilent spectrum analyzer. Noise floor is big when using R&amp;S SA.</t>
        </r>
      </text>
    </comment>
    <comment ref="BS8" authorId="0" shapeId="0">
      <text>
        <r>
          <rPr>
            <sz val="9"/>
            <color indexed="81"/>
            <rFont val="Tahoma"/>
            <family val="2"/>
          </rPr>
          <t>should use LME Agilent spectrum analyzer. Noise floor is big when using R&amp;S SA.</t>
        </r>
      </text>
    </comment>
    <comment ref="CB8" authorId="0" shapeId="0">
      <text>
        <r>
          <rPr>
            <sz val="9"/>
            <color indexed="81"/>
            <rFont val="Tahoma"/>
            <family val="2"/>
          </rPr>
          <t>should use LME Agilent spectrum analyzer. Noise floor is big when using R&amp;S SA.</t>
        </r>
      </text>
    </comment>
    <comment ref="CK8" authorId="0" shapeId="0">
      <text>
        <r>
          <rPr>
            <sz val="9"/>
            <color indexed="81"/>
            <rFont val="Tahoma"/>
            <family val="2"/>
          </rPr>
          <t>should use LME Agilent spectrum analyzer. Noise floor is big when using R&amp;S SA.</t>
        </r>
      </text>
    </comment>
    <comment ref="CT8" authorId="0" shapeId="0">
      <text>
        <r>
          <rPr>
            <sz val="9"/>
            <color indexed="81"/>
            <rFont val="Tahoma"/>
            <family val="2"/>
          </rPr>
          <t>should use LME Agilent spectrum analyzer. Noise floor is big when using R&amp;S SA.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23.23279_Spectrum_Freq 3257252800Hz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23.38235_Spectrum_Freq 3391608000Hz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23.08957_Spectrum_Freq 3257643200Hz</t>
        </r>
      </text>
    </comment>
    <comment ref="AI9" authorId="0" shapeId="0">
      <text>
        <r>
          <rPr>
            <sz val="9"/>
            <color indexed="81"/>
            <rFont val="Tahoma"/>
            <family val="2"/>
          </rPr>
          <t>23.43103_Spectrum_Freq 3317622400Hz</t>
        </r>
      </text>
    </comment>
    <comment ref="AR9" authorId="0" shapeId="0">
      <text>
        <r>
          <rPr>
            <sz val="9"/>
            <color indexed="81"/>
            <rFont val="Tahoma"/>
            <family val="2"/>
          </rPr>
          <t>23.38895_Spectrum_Freq 3394353600Hz</t>
        </r>
      </text>
    </comment>
    <comment ref="BA9" authorId="0" shapeId="0">
      <text>
        <r>
          <rPr>
            <sz val="9"/>
            <color indexed="81"/>
            <rFont val="Tahoma"/>
            <family val="2"/>
          </rPr>
          <t>22.30356_Spectrum_Freq 3275680000Hz</t>
        </r>
      </text>
    </comment>
    <comment ref="BJ9" authorId="0" shapeId="0">
      <text>
        <r>
          <rPr>
            <sz val="9"/>
            <color indexed="81"/>
            <rFont val="Tahoma"/>
            <family val="2"/>
          </rPr>
          <t>22.88855_Spectrum_Freq 3392340000Hz</t>
        </r>
      </text>
    </comment>
    <comment ref="BS9" authorId="0" shapeId="0">
      <text>
        <r>
          <rPr>
            <sz val="9"/>
            <color indexed="81"/>
            <rFont val="Tahoma"/>
            <family val="2"/>
          </rPr>
          <t>23.25684_Spectrum_Freq 3262822400Hz</t>
        </r>
      </text>
    </comment>
    <comment ref="CB9" authorId="0" shapeId="0">
      <text>
        <r>
          <rPr>
            <sz val="9"/>
            <color indexed="81"/>
            <rFont val="Tahoma"/>
            <family val="2"/>
          </rPr>
          <t>23.64438_Spectrum_Freq 3393188800Hz</t>
        </r>
      </text>
    </comment>
    <comment ref="CK9" authorId="0" shapeId="0">
      <text>
        <r>
          <rPr>
            <sz val="9"/>
            <color indexed="81"/>
            <rFont val="Tahoma"/>
            <family val="2"/>
          </rPr>
          <t>22.39078_Spectrum_Freq 3300800000Hz</t>
        </r>
      </text>
    </comment>
    <comment ref="CT9" authorId="0" shapeId="0">
      <text>
        <r>
          <rPr>
            <sz val="9"/>
            <color indexed="81"/>
            <rFont val="Tahoma"/>
            <family val="2"/>
          </rPr>
          <t>22.80368_Spectrum_Freq 3337140000Hz</t>
        </r>
      </text>
    </comment>
    <comment ref="H10" authorId="0" shapeId="0">
      <text>
        <r>
          <rPr>
            <sz val="9"/>
            <color indexed="81"/>
            <rFont val="Tahoma"/>
            <family val="2"/>
          </rPr>
          <t>23.11139_Spectrum_Freq 4070504000Hz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>23.38232_Spectrum_Freq 4239072000Hz</t>
        </r>
      </text>
    </comment>
    <comment ref="Z10" authorId="0" shapeId="0">
      <text>
        <r>
          <rPr>
            <sz val="9"/>
            <color indexed="81"/>
            <rFont val="Tahoma"/>
            <family val="2"/>
          </rPr>
          <t>23.31274_Spectrum_Freq 4070792000Hz</t>
        </r>
      </text>
    </comment>
    <comment ref="AI10" authorId="0" shapeId="0">
      <text>
        <r>
          <rPr>
            <sz val="9"/>
            <color indexed="81"/>
            <rFont val="Tahoma"/>
            <family val="2"/>
          </rPr>
          <t>23.50427_Spectrum_Freq 4146012000Hz</t>
        </r>
      </text>
    </comment>
    <comment ref="AR10" authorId="0" shapeId="0">
      <text>
        <r>
          <rPr>
            <sz val="9"/>
            <color indexed="81"/>
            <rFont val="Tahoma"/>
            <family val="2"/>
          </rPr>
          <t>23.38623_Spectrum_Freq 4244096000Hz</t>
        </r>
      </text>
    </comment>
    <comment ref="BA10" authorId="0" shapeId="0">
      <text>
        <r>
          <rPr>
            <sz val="9"/>
            <color indexed="81"/>
            <rFont val="Tahoma"/>
            <family val="2"/>
          </rPr>
          <t>22.20102_Spectrum_Freq 4084200000Hz</t>
        </r>
      </text>
    </comment>
    <comment ref="BJ10" authorId="0" shapeId="0">
      <text>
        <r>
          <rPr>
            <sz val="9"/>
            <color indexed="81"/>
            <rFont val="Tahoma"/>
            <family val="2"/>
          </rPr>
          <t>22.87695_Spectrum_Freq 4220625000Hz</t>
        </r>
      </text>
    </comment>
    <comment ref="BS10" authorId="0" shapeId="0">
      <text>
        <r>
          <rPr>
            <sz val="9"/>
            <color indexed="81"/>
            <rFont val="Tahoma"/>
            <family val="2"/>
          </rPr>
          <t>23.15744_Spectrum_Freq 4078564000Hz</t>
        </r>
      </text>
    </comment>
    <comment ref="CB10" authorId="0" shapeId="0">
      <text>
        <r>
          <rPr>
            <sz val="9"/>
            <color indexed="81"/>
            <rFont val="Tahoma"/>
            <family val="2"/>
          </rPr>
          <t>23.71414_Spectrum_Freq 4241118000Hz</t>
        </r>
      </text>
    </comment>
    <comment ref="CK10" authorId="0" shapeId="0">
      <text>
        <r>
          <rPr>
            <sz val="9"/>
            <color indexed="81"/>
            <rFont val="Tahoma"/>
            <family val="2"/>
          </rPr>
          <t>22.49191_Spectrum_Freq 4083100000Hz</t>
        </r>
      </text>
    </comment>
    <comment ref="CT10" authorId="0" shapeId="0">
      <text>
        <r>
          <rPr>
            <sz val="9"/>
            <color indexed="81"/>
            <rFont val="Tahoma"/>
            <family val="2"/>
          </rPr>
          <t>22.93362_Spectrum_Freq 4170450000Hz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23.18591_Spectrum_Freq 4886596800Hz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>23.38062_Spectrum_Freq 5087484000Hz</t>
        </r>
      </text>
    </comment>
    <comment ref="Z11" authorId="0" shapeId="0">
      <text>
        <r>
          <rPr>
            <sz val="9"/>
            <color indexed="81"/>
            <rFont val="Tahoma"/>
            <family val="2"/>
          </rPr>
          <t>23.2009_Spectrum_Freq 4886582400Hz</t>
        </r>
      </text>
    </comment>
    <comment ref="AI11" authorId="0" shapeId="0">
      <text>
        <r>
          <rPr>
            <sz val="9"/>
            <color indexed="81"/>
            <rFont val="Tahoma"/>
            <family val="2"/>
          </rPr>
          <t>23.40823_Spectrum_Freq 4975953600Hz</t>
        </r>
      </text>
    </comment>
    <comment ref="AR11" authorId="0" shapeId="0">
      <text>
        <r>
          <rPr>
            <sz val="9"/>
            <color indexed="81"/>
            <rFont val="Tahoma"/>
            <family val="2"/>
          </rPr>
          <t>23.39963_Spectrum_Freq 5092485600Hz</t>
        </r>
      </text>
    </comment>
    <comment ref="BA11" authorId="0" shapeId="0">
      <text>
        <r>
          <rPr>
            <sz val="9"/>
            <color indexed="81"/>
            <rFont val="Tahoma"/>
            <family val="2"/>
          </rPr>
          <t>22.20889_Spectrum_Freq 4913130000Hz</t>
        </r>
      </text>
    </comment>
    <comment ref="BJ11" authorId="0" shapeId="0">
      <text>
        <r>
          <rPr>
            <sz val="9"/>
            <color indexed="81"/>
            <rFont val="Tahoma"/>
            <family val="2"/>
          </rPr>
          <t>22.86606_Spectrum_Freq 5083260000Hz</t>
        </r>
      </text>
    </comment>
    <comment ref="BS11" authorId="0" shapeId="0">
      <text>
        <r>
          <rPr>
            <sz val="9"/>
            <color indexed="81"/>
            <rFont val="Tahoma"/>
            <family val="2"/>
          </rPr>
          <t>23.23804_Spectrum_Freq 4895791200Hz</t>
        </r>
      </text>
    </comment>
    <comment ref="CB11" authorId="0" shapeId="0">
      <text>
        <r>
          <rPr>
            <sz val="9"/>
            <color indexed="81"/>
            <rFont val="Tahoma"/>
            <family val="2"/>
          </rPr>
          <t>23.61404_Spectrum_Freq 5089288800Hz</t>
        </r>
      </text>
    </comment>
    <comment ref="CK11" authorId="0" shapeId="0">
      <text>
        <r>
          <rPr>
            <sz val="9"/>
            <color indexed="81"/>
            <rFont val="Tahoma"/>
            <family val="2"/>
          </rPr>
          <t>22.49704_Spectrum_Freq 4970370000Hz</t>
        </r>
      </text>
    </comment>
    <comment ref="CT11" authorId="0" shapeId="0">
      <text>
        <r>
          <rPr>
            <sz val="9"/>
            <color indexed="81"/>
            <rFont val="Tahoma"/>
            <family val="2"/>
          </rPr>
          <t>22.94653_Spectrum_Freq 5056650000Hz</t>
        </r>
      </text>
    </comment>
    <comment ref="H12" authorId="0" shapeId="0">
      <text>
        <r>
          <rPr>
            <sz val="9"/>
            <color indexed="81"/>
            <rFont val="Tahoma"/>
            <family val="2"/>
          </rPr>
          <t>23.17316_Spectrum_Freq 5699677200Hz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>23.37741_Spectrum_Freq 5933855200Hz</t>
        </r>
      </text>
    </comment>
    <comment ref="Z12" authorId="0" shapeId="0">
      <text>
        <r>
          <rPr>
            <sz val="9"/>
            <color indexed="81"/>
            <rFont val="Tahoma"/>
            <family val="2"/>
          </rPr>
          <t>23.19318_Spectrum_Freq 5699181600Hz</t>
        </r>
      </text>
    </comment>
    <comment ref="AI12" authorId="0" shapeId="0">
      <text>
        <r>
          <rPr>
            <sz val="9"/>
            <color indexed="81"/>
            <rFont val="Tahoma"/>
            <family val="2"/>
          </rPr>
          <t>23.625_Spectrum_Freq 5805500400Hz</t>
        </r>
      </text>
    </comment>
    <comment ref="AR12" authorId="0" shapeId="0">
      <text>
        <r>
          <rPr>
            <sz val="9"/>
            <color indexed="81"/>
            <rFont val="Tahoma"/>
            <family val="2"/>
          </rPr>
          <t>23.3934_Spectrum_Freq 5940076800Hz</t>
        </r>
      </text>
    </comment>
    <comment ref="BA12" authorId="0" shapeId="0">
      <text>
        <r>
          <rPr>
            <sz val="9"/>
            <color indexed="81"/>
            <rFont val="Tahoma"/>
            <family val="2"/>
          </rPr>
          <t>22.19891_Spectrum_Freq 5698560000Hz</t>
        </r>
      </text>
    </comment>
    <comment ref="BJ12" authorId="0" shapeId="0">
      <text>
        <r>
          <rPr>
            <sz val="9"/>
            <color indexed="81"/>
            <rFont val="Tahoma"/>
            <family val="2"/>
          </rPr>
          <t>22.86795_Spectrum_Freq 5940270000Hz</t>
        </r>
      </text>
    </comment>
    <comment ref="BS12" authorId="0" shapeId="0">
      <text>
        <r>
          <rPr>
            <sz val="9"/>
            <color indexed="81"/>
            <rFont val="Tahoma"/>
            <family val="2"/>
          </rPr>
          <t>23.23431_Spectrum_Freq 5710826800Hz</t>
        </r>
      </text>
    </comment>
    <comment ref="CB12" authorId="0" shapeId="0">
      <text>
        <r>
          <rPr>
            <sz val="9"/>
            <color indexed="81"/>
            <rFont val="Tahoma"/>
            <family val="2"/>
          </rPr>
          <t>23.62051_Spectrum_Freq 5938214800Hz</t>
        </r>
      </text>
    </comment>
    <comment ref="CK12" authorId="0" shapeId="0">
      <text>
        <r>
          <rPr>
            <sz val="9"/>
            <color indexed="81"/>
            <rFont val="Tahoma"/>
            <family val="2"/>
          </rPr>
          <t>22.38208_Spectrum_Freq 5710040000Hz</t>
        </r>
      </text>
    </comment>
    <comment ref="CT12" authorId="0" shapeId="0">
      <text>
        <r>
          <rPr>
            <sz val="9"/>
            <color indexed="81"/>
            <rFont val="Tahoma"/>
            <family val="2"/>
          </rPr>
          <t>22.93628_Spectrum_Freq 5939850000Hz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23.05811_Spectrum_Freq 6512668800Hz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23.37149_Spectrum_Freq 6783312000Hz</t>
        </r>
      </text>
    </comment>
    <comment ref="Z13" authorId="0" shapeId="0">
      <text>
        <r>
          <rPr>
            <sz val="9"/>
            <color indexed="81"/>
            <rFont val="Tahoma"/>
            <family val="2"/>
          </rPr>
          <t>23.061_Spectrum_Freq 6513440000Hz</t>
        </r>
      </text>
    </comment>
    <comment ref="AI13" authorId="0" shapeId="0">
      <text>
        <r>
          <rPr>
            <sz val="9"/>
            <color indexed="81"/>
            <rFont val="Tahoma"/>
            <family val="2"/>
          </rPr>
          <t>23.38348_Spectrum_Freq 6634025600Hz</t>
        </r>
      </text>
    </comment>
    <comment ref="AR13" authorId="0" shapeId="0">
      <text>
        <r>
          <rPr>
            <sz val="9"/>
            <color indexed="81"/>
            <rFont val="Tahoma"/>
            <family val="2"/>
          </rPr>
          <t>23.40228_Spectrum_Freq 6787785600Hz</t>
        </r>
      </text>
    </comment>
    <comment ref="BA13" authorId="0" shapeId="0">
      <text>
        <r>
          <rPr>
            <sz val="9"/>
            <color indexed="81"/>
            <rFont val="Tahoma"/>
            <family val="2"/>
          </rPr>
          <t>22.21033_Spectrum_Freq 6533200000Hz</t>
        </r>
      </text>
    </comment>
    <comment ref="BJ13" authorId="0" shapeId="0">
      <text>
        <r>
          <rPr>
            <sz val="9"/>
            <color indexed="81"/>
            <rFont val="Tahoma"/>
            <family val="2"/>
          </rPr>
          <t>22.86658_Spectrum_Freq 6771480000Hz</t>
        </r>
      </text>
    </comment>
    <comment ref="BS13" authorId="0" shapeId="0">
      <text>
        <r>
          <rPr>
            <sz val="9"/>
            <color indexed="81"/>
            <rFont val="Tahoma"/>
            <family val="2"/>
          </rPr>
          <t>23.13712_Spectrum_Freq 6526163200Hz</t>
        </r>
      </text>
    </comment>
    <comment ref="CB13" authorId="0" shapeId="0">
      <text>
        <r>
          <rPr>
            <sz val="9"/>
            <color indexed="81"/>
            <rFont val="Tahoma"/>
            <family val="2"/>
          </rPr>
          <t>23.70435_Spectrum_Freq 6786508800Hz</t>
        </r>
      </text>
    </comment>
    <comment ref="CK13" authorId="0" shapeId="0">
      <text>
        <r>
          <rPr>
            <sz val="9"/>
            <color indexed="81"/>
            <rFont val="Tahoma"/>
            <family val="2"/>
          </rPr>
          <t>22.37875_Spectrum_Freq 6628240000Hz</t>
        </r>
      </text>
    </comment>
    <comment ref="CT13" authorId="0" shapeId="0">
      <text>
        <r>
          <rPr>
            <sz val="9"/>
            <color indexed="81"/>
            <rFont val="Tahoma"/>
            <family val="2"/>
          </rPr>
          <t>22.94348_Spectrum_Freq 6769080000Hz</t>
        </r>
      </text>
    </comment>
    <comment ref="H14" authorId="0" shapeId="0">
      <text>
        <r>
          <rPr>
            <sz val="9"/>
            <color indexed="81"/>
            <rFont val="Tahoma"/>
            <family val="2"/>
          </rPr>
          <t>23.14758_Spectrum_Freq 7329002400Hz</t>
        </r>
      </text>
    </comment>
    <comment ref="Q14" authorId="0" shapeId="0">
      <text>
        <r>
          <rPr>
            <sz val="9"/>
            <color indexed="81"/>
            <rFont val="Tahoma"/>
            <family val="2"/>
          </rPr>
          <t>23.36569_Spectrum_Freq 7631092800Hz</t>
        </r>
      </text>
    </comment>
    <comment ref="Z14" authorId="0" shapeId="0">
      <text>
        <r>
          <rPr>
            <sz val="9"/>
            <color indexed="81"/>
            <rFont val="Tahoma"/>
            <family val="2"/>
          </rPr>
          <t>23.1929_Spectrum_Freq 7330042800Hz</t>
        </r>
      </text>
    </comment>
    <comment ref="AI14" authorId="0" shapeId="0">
      <text>
        <r>
          <rPr>
            <sz val="9"/>
            <color indexed="81"/>
            <rFont val="Tahoma"/>
            <family val="2"/>
          </rPr>
          <t>23.4827_Spectrum_Freq 7464506400Hz</t>
        </r>
      </text>
    </comment>
    <comment ref="AR14" authorId="0" shapeId="0">
      <text>
        <r>
          <rPr>
            <sz val="9"/>
            <color indexed="81"/>
            <rFont val="Tahoma"/>
            <family val="2"/>
          </rPr>
          <t>23.40063_Spectrum_Freq 7639635600Hz</t>
        </r>
      </text>
    </comment>
    <comment ref="BA14" authorId="0" shapeId="0">
      <text>
        <r>
          <rPr>
            <sz val="9"/>
            <color indexed="81"/>
            <rFont val="Tahoma"/>
            <family val="2"/>
          </rPr>
          <t>22.2085_Spectrum_Freq 7336080000Hz</t>
        </r>
      </text>
    </comment>
    <comment ref="BJ14" authorId="0" shapeId="0">
      <text>
        <r>
          <rPr>
            <sz val="9"/>
            <color indexed="81"/>
            <rFont val="Tahoma"/>
            <family val="2"/>
          </rPr>
          <t>22.86365_Spectrum_Freq 7604370000Hz</t>
        </r>
      </text>
    </comment>
    <comment ref="BS14" authorId="0" shapeId="0">
      <text>
        <r>
          <rPr>
            <sz val="9"/>
            <color indexed="81"/>
            <rFont val="Tahoma"/>
            <family val="2"/>
          </rPr>
          <t>23.15436_Spectrum_Freq 7343992800Hz</t>
        </r>
      </text>
    </comment>
    <comment ref="CB14" authorId="0" shapeId="0">
      <text>
        <r>
          <rPr>
            <sz val="9"/>
            <color indexed="81"/>
            <rFont val="Tahoma"/>
            <family val="2"/>
          </rPr>
          <t>23.69617_Spectrum_Freq 7634030400Hz</t>
        </r>
      </text>
    </comment>
    <comment ref="CK14" authorId="0" shapeId="0">
      <text>
        <r>
          <rPr>
            <sz val="9"/>
            <color indexed="81"/>
            <rFont val="Tahoma"/>
            <family val="2"/>
          </rPr>
          <t>22.50525_Spectrum_Freq 7462575000Hz</t>
        </r>
      </text>
    </comment>
    <comment ref="CT14" authorId="0" shapeId="0">
      <text>
        <r>
          <rPr>
            <sz val="9"/>
            <color indexed="81"/>
            <rFont val="Tahoma"/>
            <family val="2"/>
          </rPr>
          <t>22.93149_Spectrum_Freq 7606845000Hz</t>
        </r>
      </text>
    </comment>
    <comment ref="H15" authorId="0" shapeId="0">
      <text>
        <r>
          <rPr>
            <sz val="9"/>
            <color indexed="81"/>
            <rFont val="Tahoma"/>
            <family val="2"/>
          </rPr>
          <t>23.13348_Spectrum_Freq 8143452000Hz</t>
        </r>
      </text>
    </comment>
    <comment ref="Q15" authorId="0" shapeId="0">
      <text>
        <r>
          <rPr>
            <sz val="9"/>
            <color indexed="81"/>
            <rFont val="Tahoma"/>
            <family val="2"/>
          </rPr>
          <t>23.37161_Spectrum_Freq 8477952000Hz</t>
        </r>
      </text>
    </comment>
    <comment ref="Z15" authorId="0" shapeId="0">
      <text>
        <r>
          <rPr>
            <sz val="9"/>
            <color indexed="81"/>
            <rFont val="Tahoma"/>
            <family val="2"/>
          </rPr>
          <t>23.26532_Spectrum_Freq 8142484000Hz</t>
        </r>
      </text>
    </comment>
    <comment ref="AI15" authorId="0" shapeId="0">
      <text>
        <r>
          <rPr>
            <sz val="9"/>
            <color indexed="81"/>
            <rFont val="Tahoma"/>
            <family val="2"/>
          </rPr>
          <t>23.57538_Spectrum_Freq 8293272000Hz</t>
        </r>
      </text>
    </comment>
    <comment ref="AR15" authorId="0" shapeId="0">
      <text>
        <r>
          <rPr>
            <sz val="9"/>
            <color indexed="81"/>
            <rFont val="Tahoma"/>
            <family val="2"/>
          </rPr>
          <t>23.4017_Spectrum_Freq 8485424000Hz</t>
        </r>
      </text>
    </comment>
    <comment ref="BA15" authorId="0" shapeId="0">
      <text>
        <r>
          <rPr>
            <sz val="9"/>
            <color indexed="81"/>
            <rFont val="Tahoma"/>
            <family val="2"/>
          </rPr>
          <t>22.19571_Spectrum_Freq 8153950000Hz</t>
        </r>
      </text>
    </comment>
    <comment ref="BJ15" authorId="0" shapeId="0">
      <text>
        <r>
          <rPr>
            <sz val="9"/>
            <color indexed="81"/>
            <rFont val="Tahoma"/>
            <family val="2"/>
          </rPr>
          <t>22.86267_Spectrum_Freq 8461700000Hz</t>
        </r>
      </text>
    </comment>
    <comment ref="BS15" authorId="0" shapeId="0">
      <text>
        <r>
          <rPr>
            <sz val="9"/>
            <color indexed="81"/>
            <rFont val="Tahoma"/>
            <family val="2"/>
          </rPr>
          <t>23.14343_Spectrum_Freq 8156900000Hz</t>
        </r>
      </text>
    </comment>
    <comment ref="CB15" authorId="0" shapeId="0">
      <text>
        <r>
          <rPr>
            <sz val="9"/>
            <color indexed="81"/>
            <rFont val="Tahoma"/>
            <family val="2"/>
          </rPr>
          <t>23.70953_Spectrum_Freq 8481616000Hz</t>
        </r>
      </text>
    </comment>
    <comment ref="CK15" authorId="0" shapeId="0">
      <text>
        <r>
          <rPr>
            <sz val="9"/>
            <color indexed="81"/>
            <rFont val="Tahoma"/>
            <family val="2"/>
          </rPr>
          <t>22.50781_Spectrum_Freq 8151950000Hz</t>
        </r>
      </text>
    </comment>
    <comment ref="CT15" authorId="0" shapeId="0">
      <text>
        <r>
          <rPr>
            <sz val="9"/>
            <color indexed="81"/>
            <rFont val="Tahoma"/>
            <family val="2"/>
          </rPr>
          <t>22.79572_Spectrum_Freq 8473200000Hz</t>
        </r>
      </text>
    </comment>
    <comment ref="H16" authorId="0" shapeId="0">
      <text>
        <r>
          <rPr>
            <sz val="9"/>
            <color indexed="81"/>
            <rFont val="Tahoma"/>
            <family val="2"/>
          </rPr>
          <t>23.11386_Spectrum_Freq 8958624400Hz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23.36554_Spectrum_Freq 9328101200Hz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23.05746_Spectrum_Freq 9293762220Hz</t>
        </r>
      </text>
    </comment>
    <comment ref="AI16" authorId="0" shapeId="0">
      <text>
        <r>
          <rPr>
            <sz val="9"/>
            <color indexed="81"/>
            <rFont val="Tahoma"/>
            <family val="2"/>
          </rPr>
          <t>23.38455_Spectrum_Freq 9121604800Hz</t>
        </r>
      </text>
    </comment>
    <comment ref="AR16" authorId="0" shapeId="0">
      <text>
        <r>
          <rPr>
            <sz val="9"/>
            <color indexed="81"/>
            <rFont val="Tahoma"/>
            <family val="2"/>
          </rPr>
          <t>23.40164_Spectrum_Freq 9336280800Hz</t>
        </r>
      </text>
    </comment>
    <comment ref="BA16" authorId="0" shapeId="0">
      <text>
        <r>
          <rPr>
            <sz val="9"/>
            <color indexed="81"/>
            <rFont val="Tahoma"/>
            <family val="2"/>
          </rPr>
          <t>22.19598_Spectrum_Freq 8997835000Hz</t>
        </r>
      </text>
    </comment>
    <comment ref="BJ16" authorId="0" shapeId="0">
      <text>
        <r>
          <rPr>
            <sz val="9"/>
            <color indexed="81"/>
            <rFont val="Tahoma"/>
            <family val="2"/>
          </rPr>
          <t>22.86551_Spectrum_Freq 9309190000Hz</t>
        </r>
      </text>
    </comment>
    <comment ref="BS16" authorId="0" shapeId="0">
      <text>
        <r>
          <rPr>
            <sz val="9"/>
            <color indexed="81"/>
            <rFont val="Tahoma"/>
            <family val="2"/>
          </rPr>
          <t>23.16681_Spectrum_Freq 8972757200Hz</t>
        </r>
      </text>
    </comment>
    <comment ref="CB16" authorId="0" shapeId="0">
      <text>
        <r>
          <rPr>
            <sz val="9"/>
            <color indexed="81"/>
            <rFont val="Tahoma"/>
            <family val="2"/>
          </rPr>
          <t>23.67496_Spectrum_Freq 9331484800Hz</t>
        </r>
      </text>
    </comment>
    <comment ref="CK16" authorId="0" shapeId="0">
      <text>
        <r>
          <rPr>
            <sz val="9"/>
            <color indexed="81"/>
            <rFont val="Tahoma"/>
            <family val="2"/>
          </rPr>
          <t>22.51334_Spectrum_Freq 9126205000Hz</t>
        </r>
      </text>
    </comment>
    <comment ref="CT16" authorId="0" shapeId="0">
      <text>
        <r>
          <rPr>
            <sz val="9"/>
            <color indexed="81"/>
            <rFont val="Tahoma"/>
            <family val="2"/>
          </rPr>
          <t>22.8049_Spectrum_Freq 9305505000Hz</t>
        </r>
      </text>
    </comment>
    <comment ref="H17" authorId="0" shapeId="0">
      <text>
        <r>
          <rPr>
            <sz val="9"/>
            <color indexed="81"/>
            <rFont val="Tahoma"/>
            <family val="2"/>
          </rPr>
          <t>23.21921_Spectrum_Freq 9769752000Hz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>23.4718_Spectrum_Freq 10174948800Hz</t>
        </r>
      </text>
    </comment>
    <comment ref="Z17" authorId="0" shapeId="0">
      <text>
        <r>
          <rPr>
            <sz val="9"/>
            <color indexed="81"/>
            <rFont val="Tahoma"/>
            <family val="2"/>
          </rPr>
          <t>23.17563_Spectrum_Freq 10696124380Hz</t>
        </r>
      </text>
    </comment>
    <comment ref="AI17" authorId="0" shapeId="0">
      <text>
        <r>
          <rPr>
            <sz val="9"/>
            <color indexed="81"/>
            <rFont val="Tahoma"/>
            <family val="2"/>
          </rPr>
          <t>23.46249_Spectrum_Freq 9950870400Hz</t>
        </r>
      </text>
    </comment>
    <comment ref="AR17" authorId="0" shapeId="0">
      <text>
        <r>
          <rPr>
            <sz val="9"/>
            <color indexed="81"/>
            <rFont val="Tahoma"/>
            <family val="2"/>
          </rPr>
          <t>23.40854_Spectrum_Freq 10182580800Hz</t>
        </r>
      </text>
    </comment>
    <comment ref="BA17" authorId="0" shapeId="0">
      <text>
        <r>
          <rPr>
            <sz val="9"/>
            <color indexed="81"/>
            <rFont val="Tahoma"/>
            <family val="2"/>
          </rPr>
          <t>22.211_Spectrum_Freq 9827940000Hz</t>
        </r>
      </text>
    </comment>
    <comment ref="BJ17" authorId="0" shapeId="0">
      <text>
        <r>
          <rPr>
            <sz val="9"/>
            <color indexed="81"/>
            <rFont val="Tahoma"/>
            <family val="2"/>
          </rPr>
          <t>22.87097_Spectrum_Freq 10148520000Hz</t>
        </r>
      </text>
    </comment>
    <comment ref="BS17" authorId="0" shapeId="0">
      <text>
        <r>
          <rPr>
            <sz val="9"/>
            <color indexed="81"/>
            <rFont val="Tahoma"/>
            <family val="2"/>
          </rPr>
          <t>23.16901_Spectrum_Freq 9791995200Hz</t>
        </r>
      </text>
    </comment>
    <comment ref="CB17" authorId="0" shapeId="0">
      <text>
        <r>
          <rPr>
            <sz val="9"/>
            <color indexed="81"/>
            <rFont val="Tahoma"/>
            <family val="2"/>
          </rPr>
          <t>23.68518_Spectrum_Freq 10177728000Hz</t>
        </r>
      </text>
    </comment>
    <comment ref="CK17" authorId="0" shapeId="0">
      <text>
        <r>
          <rPr>
            <sz val="9"/>
            <color indexed="81"/>
            <rFont val="Tahoma"/>
            <family val="2"/>
          </rPr>
          <t>22.51294_Spectrum_Freq 9934800000Hz</t>
        </r>
      </text>
    </comment>
    <comment ref="CT17" authorId="0" shapeId="0">
      <text>
        <r>
          <rPr>
            <sz val="9"/>
            <color indexed="81"/>
            <rFont val="Tahoma"/>
            <family val="2"/>
          </rPr>
          <t>22.79608_Spectrum_Freq 10166580000Hz</t>
        </r>
      </text>
    </comment>
    <comment ref="H18" authorId="0" shapeId="0">
      <text>
        <r>
          <rPr>
            <sz val="9"/>
            <color indexed="81"/>
            <rFont val="Tahoma"/>
            <family val="2"/>
          </rPr>
          <t>23.08386_Spectrum_Freq 10586716400Hz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>23.478_Spectrum_Freq 11022632400Hz</t>
        </r>
      </text>
    </comment>
    <comment ref="Z18" authorId="0" shapeId="0">
      <text>
        <r>
          <rPr>
            <sz val="9"/>
            <color indexed="81"/>
            <rFont val="Tahoma"/>
            <family val="2"/>
          </rPr>
          <t>23.17108_Spectrum_Freq 10584251600Hz</t>
        </r>
      </text>
    </comment>
    <comment ref="AI18" authorId="0" shapeId="0">
      <text>
        <r>
          <rPr>
            <sz val="9"/>
            <color indexed="81"/>
            <rFont val="Tahoma"/>
            <family val="2"/>
          </rPr>
          <t>23.47159_Spectrum_Freq 10780983200Hz</t>
        </r>
      </text>
    </comment>
    <comment ref="AR18" authorId="0" shapeId="0">
      <text>
        <r>
          <rPr>
            <sz val="9"/>
            <color indexed="81"/>
            <rFont val="Tahoma"/>
            <family val="2"/>
          </rPr>
          <t>23.54623_Spectrum_Freq 11031285200Hz</t>
        </r>
      </text>
    </comment>
    <comment ref="BA18" authorId="0" shapeId="0">
      <text>
        <r>
          <rPr>
            <sz val="9"/>
            <color indexed="81"/>
            <rFont val="Tahoma"/>
            <family val="2"/>
          </rPr>
          <t>22.21436_Spectrum_Freq 10640370000Hz</t>
        </r>
      </text>
    </comment>
    <comment ref="BJ18" authorId="0" shapeId="0">
      <text>
        <r>
          <rPr>
            <sz val="9"/>
            <color indexed="81"/>
            <rFont val="Tahoma"/>
            <family val="2"/>
          </rPr>
          <t>22.8587_Spectrum_Freq 11026860000Hz</t>
        </r>
      </text>
    </comment>
    <comment ref="BS18" authorId="0" shapeId="0">
      <text>
        <r>
          <rPr>
            <sz val="9"/>
            <color indexed="81"/>
            <rFont val="Tahoma"/>
            <family val="2"/>
          </rPr>
          <t>23.16476_Spectrum_Freq 10606195600Hz</t>
        </r>
      </text>
    </comment>
    <comment ref="CB18" authorId="0" shapeId="0">
      <text>
        <r>
          <rPr>
            <sz val="9"/>
            <color indexed="81"/>
            <rFont val="Tahoma"/>
            <family val="2"/>
          </rPr>
          <t>23.66974_Spectrum_Freq 11026875600Hz</t>
        </r>
      </text>
    </comment>
    <comment ref="CK18" authorId="0" shapeId="0">
      <text>
        <r>
          <rPr>
            <sz val="9"/>
            <color indexed="81"/>
            <rFont val="Tahoma"/>
            <family val="2"/>
          </rPr>
          <t>22.41364_Spectrum_Freq 10688405000Hz</t>
        </r>
      </text>
    </comment>
    <comment ref="CT18" authorId="0" shapeId="0">
      <text>
        <r>
          <rPr>
            <sz val="9"/>
            <color indexed="81"/>
            <rFont val="Tahoma"/>
            <family val="2"/>
          </rPr>
          <t>22.93353_Spectrum_Freq 10844145000Hz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23.07022_Spectrum_Freq 11399690400Hz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>23.45828_Spectrum_Freq 11872280000Hz</t>
        </r>
      </text>
    </comment>
    <comment ref="Z19" authorId="0" shapeId="0">
      <text>
        <r>
          <rPr>
            <sz val="9"/>
            <color indexed="81"/>
            <rFont val="Tahoma"/>
            <family val="2"/>
          </rPr>
          <t>23.17773_Spectrum_Freq 11398111200Hz</t>
        </r>
      </text>
    </comment>
    <comment ref="AI19" authorId="0" shapeId="0">
      <text>
        <r>
          <rPr>
            <sz val="9"/>
            <color indexed="81"/>
            <rFont val="Tahoma"/>
            <family val="2"/>
          </rPr>
          <t>23.46548_Spectrum_Freq 11611779200Hz</t>
        </r>
      </text>
    </comment>
    <comment ref="AR19" authorId="0" shapeId="0">
      <text>
        <r>
          <rPr>
            <sz val="9"/>
            <color indexed="81"/>
            <rFont val="Tahoma"/>
            <family val="2"/>
          </rPr>
          <t>23.54004_Spectrum_Freq 11881648800Hz</t>
        </r>
      </text>
    </comment>
    <comment ref="BA19" authorId="0" shapeId="0">
      <text>
        <r>
          <rPr>
            <sz val="9"/>
            <color indexed="81"/>
            <rFont val="Tahoma"/>
            <family val="2"/>
          </rPr>
          <t>22.22086_Spectrum_Freq 11464320000Hz</t>
        </r>
      </text>
    </comment>
    <comment ref="BJ19" authorId="0" shapeId="0">
      <text>
        <r>
          <rPr>
            <sz val="9"/>
            <color indexed="81"/>
            <rFont val="Tahoma"/>
            <family val="2"/>
          </rPr>
          <t>22.86026_Spectrum_Freq 11885230000Hz</t>
        </r>
      </text>
    </comment>
    <comment ref="BS19" authorId="0" shapeId="0">
      <text>
        <r>
          <rPr>
            <sz val="9"/>
            <color indexed="81"/>
            <rFont val="Tahoma"/>
            <family val="2"/>
          </rPr>
          <t>23.26566_Spectrum_Freq 11422689600Hz</t>
        </r>
      </text>
    </comment>
    <comment ref="CB19" authorId="0" shapeId="0">
      <text>
        <r>
          <rPr>
            <sz val="9"/>
            <color indexed="81"/>
            <rFont val="Tahoma"/>
            <family val="2"/>
          </rPr>
          <t>23.67578_Spectrum_Freq 11876692800Hz</t>
        </r>
      </text>
    </comment>
    <comment ref="CK19" authorId="0" shapeId="0">
      <text>
        <r>
          <rPr>
            <sz val="9"/>
            <color indexed="81"/>
            <rFont val="Tahoma"/>
            <family val="2"/>
          </rPr>
          <t>22.52762_Spectrum_Freq 11427640000Hz</t>
        </r>
      </text>
    </comment>
    <comment ref="CT19" authorId="0" shapeId="0">
      <text>
        <r>
          <rPr>
            <sz val="9"/>
            <color indexed="81"/>
            <rFont val="Tahoma"/>
            <family val="2"/>
          </rPr>
          <t>22.82086_Spectrum_Freq 11883690000Hz</t>
        </r>
      </text>
    </comment>
  </commentList>
</comments>
</file>

<file path=xl/comments16.xml><?xml version="1.0" encoding="utf-8"?>
<comments xmlns="http://schemas.openxmlformats.org/spreadsheetml/2006/main">
  <authors>
    <author>Long, WANG (HW-NB-TCT)</author>
  </authors>
  <commentList>
    <comment ref="H7" authorId="0" shapeId="0">
      <text>
        <r>
          <rPr>
            <sz val="9"/>
            <color indexed="81"/>
            <rFont val="Tahoma"/>
            <family val="2"/>
          </rPr>
          <t>21.94904_Spectrum_Freq 1406429600Hz</t>
        </r>
      </text>
    </comment>
    <comment ref="Q7" authorId="0" shapeId="0">
      <text>
        <r>
          <rPr>
            <sz val="9"/>
            <color indexed="81"/>
            <rFont val="Tahoma"/>
            <family val="2"/>
          </rPr>
          <t>22.00784_Spectrum_Freq 1465496800Hz</t>
        </r>
      </text>
    </comment>
    <comment ref="Z7" authorId="0" shapeId="0">
      <text>
        <r>
          <rPr>
            <sz val="9"/>
            <color indexed="81"/>
            <rFont val="Tahoma"/>
            <family val="2"/>
          </rPr>
          <t>22.04391_Spectrum_Freq 1406625600Hz</t>
        </r>
      </text>
    </comment>
    <comment ref="AI7" authorId="0" shapeId="0">
      <text>
        <r>
          <rPr>
            <sz val="9"/>
            <color indexed="81"/>
            <rFont val="Tahoma"/>
            <family val="2"/>
          </rPr>
          <t>21.85339_Spectrum_Freq 1431665600Hz</t>
        </r>
      </text>
    </comment>
    <comment ref="AR7" authorId="0" shapeId="0">
      <text>
        <r>
          <rPr>
            <sz val="9"/>
            <color indexed="81"/>
            <rFont val="Tahoma"/>
            <family val="2"/>
          </rPr>
          <t>21.90814_Spectrum_Freq 1465306400Hz</t>
        </r>
      </text>
    </comment>
    <comment ref="BA7" authorId="0" shapeId="0">
      <text>
        <r>
          <rPr>
            <sz val="9"/>
            <color indexed="81"/>
            <rFont val="Tahoma"/>
            <family val="2"/>
          </rPr>
          <t>20.98257_Spectrum_Freq 1411070000Hz</t>
        </r>
      </text>
    </comment>
    <comment ref="BJ7" authorId="0" shapeId="0">
      <text>
        <r>
          <rPr>
            <sz val="9"/>
            <color indexed="81"/>
            <rFont val="Tahoma"/>
            <family val="2"/>
          </rPr>
          <t>20.84146_Spectrum_Freq 1461010000Hz</t>
        </r>
      </text>
    </comment>
    <comment ref="BS7" authorId="0" shapeId="0">
      <text>
        <r>
          <rPr>
            <sz val="9"/>
            <color indexed="81"/>
            <rFont val="Tahoma"/>
            <family val="2"/>
          </rPr>
          <t>22.01767_Spectrum_Freq 1408175200Hz</t>
        </r>
      </text>
    </comment>
    <comment ref="CB7" authorId="0" shapeId="0">
      <text>
        <r>
          <rPr>
            <sz val="9"/>
            <color indexed="81"/>
            <rFont val="Tahoma"/>
            <family val="2"/>
          </rPr>
          <t>21.36023_Spectrum_Freq 1463838400Hz</t>
        </r>
      </text>
    </comment>
    <comment ref="CK7" authorId="0" shapeId="0">
      <text>
        <r>
          <rPr>
            <sz val="9"/>
            <color indexed="81"/>
            <rFont val="Tahoma"/>
            <family val="2"/>
          </rPr>
          <t>20.84631_Spectrum_Freq 1426400000Hz</t>
        </r>
      </text>
    </comment>
    <comment ref="CT7" authorId="0" shapeId="0">
      <text>
        <r>
          <rPr>
            <sz val="9"/>
            <color indexed="81"/>
            <rFont val="Tahoma"/>
            <family val="2"/>
          </rPr>
          <t>20.69882_Spectrum_Freq 1435240000Hz</t>
        </r>
      </text>
    </comment>
    <comment ref="H8" authorId="0" shapeId="0">
      <text>
        <r>
          <rPr>
            <sz val="9"/>
            <color indexed="81"/>
            <rFont val="Tahoma"/>
            <family val="2"/>
          </rPr>
          <t>21.93805_Spectrum_Freq 2109752400Hz</t>
        </r>
      </text>
    </comment>
    <comment ref="Q8" authorId="0" shapeId="0">
      <text>
        <r>
          <rPr>
            <sz val="9"/>
            <color indexed="81"/>
            <rFont val="Tahoma"/>
            <family val="2"/>
          </rPr>
          <t>21.99457_Spectrum_Freq 2198348400Hz</t>
        </r>
      </text>
    </comment>
    <comment ref="Z8" authorId="0" shapeId="0">
      <text>
        <r>
          <rPr>
            <sz val="9"/>
            <color indexed="81"/>
            <rFont val="Tahoma"/>
            <family val="2"/>
          </rPr>
          <t>22.02667_Spectrum_Freq 2110144800Hz</t>
        </r>
      </text>
    </comment>
    <comment ref="AI8" authorId="0" shapeId="0">
      <text>
        <r>
          <rPr>
            <sz val="9"/>
            <color indexed="81"/>
            <rFont val="Tahoma"/>
            <family val="2"/>
          </rPr>
          <t>21.84891_Spectrum_Freq 2147528400Hz</t>
        </r>
      </text>
    </comment>
    <comment ref="AR8" authorId="0" shapeId="0">
      <text>
        <r>
          <rPr>
            <sz val="9"/>
            <color indexed="81"/>
            <rFont val="Tahoma"/>
            <family val="2"/>
          </rPr>
          <t>21.90524_Spectrum_Freq 2198035200Hz</t>
        </r>
      </text>
    </comment>
    <comment ref="BA8" authorId="0" shapeId="0">
      <text>
        <r>
          <rPr>
            <sz val="9"/>
            <color indexed="81"/>
            <rFont val="Tahoma"/>
            <family val="2"/>
          </rPr>
          <t>21.08127_Spectrum_Freq 2113455000Hz</t>
        </r>
      </text>
    </comment>
    <comment ref="BJ8" authorId="0" shapeId="0">
      <text>
        <r>
          <rPr>
            <sz val="9"/>
            <color indexed="81"/>
            <rFont val="Tahoma"/>
            <family val="2"/>
          </rPr>
          <t>20.83664_Spectrum_Freq 2192055000Hz</t>
        </r>
      </text>
    </comment>
    <comment ref="BS8" authorId="0" shapeId="0">
      <text>
        <r>
          <rPr>
            <sz val="9"/>
            <color indexed="81"/>
            <rFont val="Tahoma"/>
            <family val="2"/>
          </rPr>
          <t>22.08856_Spectrum_Freq 2112177600Hz</t>
        </r>
      </text>
    </comment>
    <comment ref="CB8" authorId="0" shapeId="0">
      <text>
        <r>
          <rPr>
            <sz val="9"/>
            <color indexed="81"/>
            <rFont val="Tahoma"/>
            <family val="2"/>
          </rPr>
          <t>21.44131_Spectrum_Freq 2195710800Hz</t>
        </r>
      </text>
    </comment>
    <comment ref="CK8" authorId="0" shapeId="0">
      <text>
        <r>
          <rPr>
            <sz val="9"/>
            <color indexed="81"/>
            <rFont val="Tahoma"/>
            <family val="2"/>
          </rPr>
          <t>20.83923_Spectrum_Freq 2152140000Hz</t>
        </r>
      </text>
    </comment>
    <comment ref="CT8" authorId="0" shapeId="0">
      <text>
        <r>
          <rPr>
            <sz val="9"/>
            <color indexed="81"/>
            <rFont val="Tahoma"/>
            <family val="2"/>
          </rPr>
          <t>20.69366_Spectrum_Freq 2189700000Hz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21.98517_Spectrum_Freq 2812843200Hz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21.61563_Spectrum_Freq 2930259200Hz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22.03613_Spectrum_Freq 2812713600Hz</t>
        </r>
      </text>
    </comment>
    <comment ref="AI9" authorId="0" shapeId="0">
      <text>
        <r>
          <rPr>
            <sz val="9"/>
            <color indexed="81"/>
            <rFont val="Tahoma"/>
            <family val="2"/>
          </rPr>
          <t>21.93848_Spectrum_Freq 2862771200Hz</t>
        </r>
      </text>
    </comment>
    <comment ref="AR9" authorId="0" shapeId="0">
      <text>
        <r>
          <rPr>
            <sz val="9"/>
            <color indexed="81"/>
            <rFont val="Tahoma"/>
            <family val="2"/>
          </rPr>
          <t>21.90491_Spectrum_Freq 2930907200Hz</t>
        </r>
      </text>
    </comment>
    <comment ref="BA9" authorId="0" shapeId="0">
      <text>
        <r>
          <rPr>
            <sz val="9"/>
            <color indexed="81"/>
            <rFont val="Tahoma"/>
            <family val="2"/>
          </rPr>
          <t>21.0925_Spectrum_Freq 2813260000Hz</t>
        </r>
      </text>
    </comment>
    <comment ref="BJ9" authorId="0" shapeId="0">
      <text>
        <r>
          <rPr>
            <sz val="9"/>
            <color indexed="81"/>
            <rFont val="Tahoma"/>
            <family val="2"/>
          </rPr>
          <t>20.82953_Spectrum_Freq 2926540000Hz</t>
        </r>
      </text>
    </comment>
    <comment ref="BS9" authorId="0" shapeId="0">
      <text>
        <r>
          <rPr>
            <sz val="9"/>
            <color indexed="81"/>
            <rFont val="Tahoma"/>
            <family val="2"/>
          </rPr>
          <t>22.07971_Spectrum_Freq 2816320000Hz</t>
        </r>
      </text>
    </comment>
    <comment ref="CB9" authorId="0" shapeId="0">
      <text>
        <r>
          <rPr>
            <sz val="9"/>
            <color indexed="81"/>
            <rFont val="Tahoma"/>
            <family val="2"/>
          </rPr>
          <t>21.45331_Spectrum_Freq 2928292800Hz</t>
        </r>
      </text>
    </comment>
    <comment ref="CK9" authorId="0" shapeId="0">
      <text>
        <r>
          <rPr>
            <sz val="9"/>
            <color indexed="81"/>
            <rFont val="Tahoma"/>
            <family val="2"/>
          </rPr>
          <t>20.84698_Spectrum_Freq 2812080000Hz</t>
        </r>
      </text>
    </comment>
    <comment ref="CT9" authorId="0" shapeId="0">
      <text>
        <r>
          <rPr>
            <sz val="9"/>
            <color indexed="81"/>
            <rFont val="Tahoma"/>
            <family val="2"/>
          </rPr>
          <t>20.79395_Spectrum_Freq 2929600000Hz</t>
        </r>
      </text>
    </comment>
    <comment ref="H10" authorId="0" shapeId="0">
      <text>
        <r>
          <rPr>
            <sz val="9"/>
            <color indexed="81"/>
            <rFont val="Tahoma"/>
            <family val="2"/>
          </rPr>
          <t>21.96799_Spectrum_Freq 3515270000Hz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>21.72815_Spectrum_Freq 3664172000Hz</t>
        </r>
      </text>
    </comment>
    <comment ref="Z10" authorId="0" shapeId="0">
      <text>
        <r>
          <rPr>
            <sz val="9"/>
            <color indexed="81"/>
            <rFont val="Tahoma"/>
            <family val="2"/>
          </rPr>
          <t>22.02225_Spectrum_Freq 3516530000Hz</t>
        </r>
      </text>
    </comment>
    <comment ref="AI10" authorId="0" shapeId="0">
      <text>
        <r>
          <rPr>
            <sz val="9"/>
            <color indexed="81"/>
            <rFont val="Tahoma"/>
            <family val="2"/>
          </rPr>
          <t>21.93027_Spectrum_Freq 3579984000Hz</t>
        </r>
      </text>
    </comment>
    <comment ref="AR10" authorId="0" shapeId="0">
      <text>
        <r>
          <rPr>
            <sz val="9"/>
            <color indexed="81"/>
            <rFont val="Tahoma"/>
            <family val="2"/>
          </rPr>
          <t>21.91003_Spectrum_Freq 3663718000Hz</t>
        </r>
      </text>
    </comment>
    <comment ref="BA10" authorId="0" shapeId="0">
      <text>
        <r>
          <rPr>
            <sz val="9"/>
            <color indexed="81"/>
            <rFont val="Tahoma"/>
            <family val="2"/>
          </rPr>
          <t>21.0993_Spectrum_Freq 3539225000Hz</t>
        </r>
      </text>
    </comment>
    <comment ref="BJ10" authorId="0" shapeId="0">
      <text>
        <r>
          <rPr>
            <sz val="9"/>
            <color indexed="81"/>
            <rFont val="Tahoma"/>
            <family val="2"/>
          </rPr>
          <t>20.81485_Spectrum_Freq 3647250000Hz</t>
        </r>
      </text>
    </comment>
    <comment ref="BS10" authorId="0" shapeId="0">
      <text>
        <r>
          <rPr>
            <sz val="9"/>
            <color indexed="81"/>
            <rFont val="Tahoma"/>
            <family val="2"/>
          </rPr>
          <t>22.08524_Spectrum_Freq 3520060000Hz</t>
        </r>
      </text>
    </comment>
    <comment ref="CB10" authorId="0" shapeId="0">
      <text>
        <r>
          <rPr>
            <sz val="9"/>
            <color indexed="81"/>
            <rFont val="Tahoma"/>
            <family val="2"/>
          </rPr>
          <t>21.45096_Spectrum_Freq 3659982000Hz</t>
        </r>
      </text>
    </comment>
    <comment ref="CK10" authorId="0" shapeId="0">
      <text>
        <r>
          <rPr>
            <sz val="9"/>
            <color indexed="81"/>
            <rFont val="Tahoma"/>
            <family val="2"/>
          </rPr>
          <t>20.84012_Spectrum_Freq 3523100000Hz</t>
        </r>
      </text>
    </comment>
    <comment ref="CT10" authorId="0" shapeId="0">
      <text>
        <r>
          <rPr>
            <sz val="9"/>
            <color indexed="81"/>
            <rFont val="Tahoma"/>
            <family val="2"/>
          </rPr>
          <t>20.69159_Spectrum_Freq 3614300000Hz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21.95343_Spectrum_Freq 4218662400Hz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>21.98734_Spectrum_Freq 4397748000Hz</t>
        </r>
      </text>
    </comment>
    <comment ref="Z11" authorId="0" shapeId="0">
      <text>
        <r>
          <rPr>
            <sz val="9"/>
            <color indexed="81"/>
            <rFont val="Tahoma"/>
            <family val="2"/>
          </rPr>
          <t>22.12576_Spectrum_Freq 4220880000Hz</t>
        </r>
      </text>
    </comment>
    <comment ref="AI11" authorId="0" shapeId="0">
      <text>
        <r>
          <rPr>
            <sz val="9"/>
            <color indexed="81"/>
            <rFont val="Tahoma"/>
            <family val="2"/>
          </rPr>
          <t>21.9274_Spectrum_Freq 4296177600Hz</t>
        </r>
      </text>
    </comment>
    <comment ref="AR11" authorId="0" shapeId="0">
      <text>
        <r>
          <rPr>
            <sz val="9"/>
            <color indexed="81"/>
            <rFont val="Tahoma"/>
            <family val="2"/>
          </rPr>
          <t>21.90762_Spectrum_Freq 4396795200Hz</t>
        </r>
      </text>
    </comment>
    <comment ref="BA11" authorId="0" shapeId="0">
      <text>
        <r>
          <rPr>
            <sz val="9"/>
            <color indexed="81"/>
            <rFont val="Tahoma"/>
            <family val="2"/>
          </rPr>
          <t>21.09476_Spectrum_Freq 4232550000Hz</t>
        </r>
      </text>
    </comment>
    <comment ref="BJ11" authorId="0" shapeId="0">
      <text>
        <r>
          <rPr>
            <sz val="9"/>
            <color indexed="81"/>
            <rFont val="Tahoma"/>
            <family val="2"/>
          </rPr>
          <t>20.81418_Spectrum_Freq 4397550000Hz</t>
        </r>
      </text>
    </comment>
    <comment ref="BS11" authorId="0" shapeId="0">
      <text>
        <r>
          <rPr>
            <sz val="9"/>
            <color indexed="81"/>
            <rFont val="Tahoma"/>
            <family val="2"/>
          </rPr>
          <t>22.0701_Spectrum_Freq 4224787200Hz</t>
        </r>
      </text>
    </comment>
    <comment ref="CB11" authorId="0" shapeId="0">
      <text>
        <r>
          <rPr>
            <sz val="9"/>
            <color indexed="81"/>
            <rFont val="Tahoma"/>
            <family val="2"/>
          </rPr>
          <t>21.43811_Spectrum_Freq 4392427200Hz</t>
        </r>
      </text>
    </comment>
    <comment ref="CK11" authorId="0" shapeId="0">
      <text>
        <r>
          <rPr>
            <sz val="9"/>
            <color indexed="81"/>
            <rFont val="Tahoma"/>
            <family val="2"/>
          </rPr>
          <t>20.84131_Spectrum_Freq 4321440000Hz</t>
        </r>
      </text>
    </comment>
    <comment ref="CT11" authorId="0" shapeId="0">
      <text>
        <r>
          <rPr>
            <sz val="9"/>
            <color indexed="81"/>
            <rFont val="Tahoma"/>
            <family val="2"/>
          </rPr>
          <t>20.78015_Spectrum_Freq 4395240000Hz</t>
        </r>
      </text>
    </comment>
    <comment ref="H12" authorId="0" shapeId="0">
      <text>
        <r>
          <rPr>
            <sz val="9"/>
            <color indexed="81"/>
            <rFont val="Tahoma"/>
            <family val="2"/>
          </rPr>
          <t>21.94507_Spectrum_Freq 4923080400Hz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>21.60666_Spectrum_Freq 5127928400Hz</t>
        </r>
      </text>
    </comment>
    <comment ref="Z12" authorId="0" shapeId="0">
      <text>
        <r>
          <rPr>
            <sz val="9"/>
            <color indexed="81"/>
            <rFont val="Tahoma"/>
            <family val="2"/>
          </rPr>
          <t>22.01236_Spectrum_Freq 4923450000Hz</t>
        </r>
      </text>
    </comment>
    <comment ref="AI12" authorId="0" shapeId="0">
      <text>
        <r>
          <rPr>
            <sz val="9"/>
            <color indexed="81"/>
            <rFont val="Tahoma"/>
            <family val="2"/>
          </rPr>
          <t>21.92416_Spectrum_Freq 5012064400Hz</t>
        </r>
      </text>
    </comment>
    <comment ref="AR12" authorId="0" shapeId="0">
      <text>
        <r>
          <rPr>
            <sz val="9"/>
            <color indexed="81"/>
            <rFont val="Tahoma"/>
            <family val="2"/>
          </rPr>
          <t>21.91287_Spectrum_Freq 5127228400Hz</t>
        </r>
      </text>
    </comment>
    <comment ref="BA12" authorId="0" shapeId="0">
      <text>
        <r>
          <rPr>
            <sz val="9"/>
            <color indexed="81"/>
            <rFont val="Tahoma"/>
            <family val="2"/>
          </rPr>
          <t>20.996_Spectrum_Freq 4954950000Hz</t>
        </r>
      </text>
    </comment>
    <comment ref="BJ12" authorId="0" shapeId="0">
      <text>
        <r>
          <rPr>
            <sz val="9"/>
            <color indexed="81"/>
            <rFont val="Tahoma"/>
            <family val="2"/>
          </rPr>
          <t>20.92883_Spectrum_Freq 5097435000Hz</t>
        </r>
      </text>
    </comment>
    <comment ref="BS12" authorId="0" shapeId="0">
      <text>
        <r>
          <rPr>
            <sz val="9"/>
            <color indexed="81"/>
            <rFont val="Tahoma"/>
            <family val="2"/>
          </rPr>
          <t>22.06296_Spectrum_Freq 4929498000Hz</t>
        </r>
      </text>
    </comment>
    <comment ref="CB12" authorId="0" shapeId="0">
      <text>
        <r>
          <rPr>
            <sz val="9"/>
            <color indexed="81"/>
            <rFont val="Tahoma"/>
            <family val="2"/>
          </rPr>
          <t>21.44522_Spectrum_Freq 5122569200Hz</t>
        </r>
      </text>
    </comment>
    <comment ref="CK12" authorId="0" shapeId="0">
      <text>
        <r>
          <rPr>
            <sz val="9"/>
            <color indexed="81"/>
            <rFont val="Tahoma"/>
            <family val="2"/>
          </rPr>
          <t>20.8378_Spectrum_Freq 5044900000Hz</t>
        </r>
      </text>
    </comment>
    <comment ref="CT12" authorId="0" shapeId="0">
      <text>
        <r>
          <rPr>
            <sz val="9"/>
            <color indexed="81"/>
            <rFont val="Tahoma"/>
            <family val="2"/>
          </rPr>
          <t>20.7038_Spectrum_Freq 5057780000Hz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21.9126_Spectrum_Freq 5625065600Hz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21.59418_Spectrum_Freq 5863395200Hz</t>
        </r>
      </text>
    </comment>
    <comment ref="Z13" authorId="0" shapeId="0">
      <text>
        <r>
          <rPr>
            <sz val="9"/>
            <color indexed="81"/>
            <rFont val="Tahoma"/>
            <family val="2"/>
          </rPr>
          <t>22.11481_Spectrum_Freq 5628147200Hz</t>
        </r>
      </text>
    </comment>
    <comment ref="AI13" authorId="0" shapeId="0">
      <text>
        <r>
          <rPr>
            <sz val="9"/>
            <color indexed="81"/>
            <rFont val="Tahoma"/>
            <family val="2"/>
          </rPr>
          <t>21.82431_Spectrum_Freq 5725971200Hz</t>
        </r>
      </text>
    </comment>
    <comment ref="AR13" authorId="0" shapeId="0">
      <text>
        <r>
          <rPr>
            <sz val="9"/>
            <color indexed="81"/>
            <rFont val="Tahoma"/>
            <family val="2"/>
          </rPr>
          <t>21.9151_Spectrum_Freq 5862764800Hz</t>
        </r>
      </text>
    </comment>
    <comment ref="BA13" authorId="0" shapeId="0">
      <text>
        <r>
          <rPr>
            <sz val="9"/>
            <color indexed="81"/>
            <rFont val="Tahoma"/>
            <family val="2"/>
          </rPr>
          <t>21.10617_Spectrum_Freq 5646720000Hz</t>
        </r>
      </text>
    </comment>
    <comment ref="BJ13" authorId="0" shapeId="0">
      <text>
        <r>
          <rPr>
            <sz val="9"/>
            <color indexed="81"/>
            <rFont val="Tahoma"/>
            <family val="2"/>
          </rPr>
          <t>20.79413_Spectrum_Freq 5826840000Hz</t>
        </r>
      </text>
    </comment>
    <comment ref="BS13" authorId="0" shapeId="0">
      <text>
        <r>
          <rPr>
            <sz val="9"/>
            <color indexed="81"/>
            <rFont val="Tahoma"/>
            <family val="2"/>
          </rPr>
          <t>22.06155_Spectrum_Freq 5631952000Hz</t>
        </r>
      </text>
    </comment>
    <comment ref="CB13" authorId="0" shapeId="0">
      <text>
        <r>
          <rPr>
            <sz val="9"/>
            <color indexed="81"/>
            <rFont val="Tahoma"/>
            <family val="2"/>
          </rPr>
          <t>21.34616_Spectrum_Freq 5855510400Hz</t>
        </r>
      </text>
    </comment>
    <comment ref="CK13" authorId="0" shapeId="0">
      <text>
        <r>
          <rPr>
            <sz val="9"/>
            <color indexed="81"/>
            <rFont val="Tahoma"/>
            <family val="2"/>
          </rPr>
          <t>20.83856_Spectrum_Freq 5645440000Hz</t>
        </r>
      </text>
    </comment>
    <comment ref="CT13" authorId="0" shapeId="0">
      <text>
        <r>
          <rPr>
            <sz val="9"/>
            <color indexed="81"/>
            <rFont val="Tahoma"/>
            <family val="2"/>
          </rPr>
          <t>20.79276_Spectrum_Freq 5704800000Hz</t>
        </r>
      </text>
    </comment>
    <comment ref="H14" authorId="0" shapeId="0">
      <text>
        <r>
          <rPr>
            <sz val="9"/>
            <color indexed="81"/>
            <rFont val="Tahoma"/>
            <family val="2"/>
          </rPr>
          <t>21.90955_Spectrum_Freq 6330150000Hz</t>
        </r>
      </text>
    </comment>
    <comment ref="Q14" authorId="0" shapeId="0">
      <text>
        <r>
          <rPr>
            <sz val="9"/>
            <color indexed="81"/>
            <rFont val="Tahoma"/>
            <family val="2"/>
          </rPr>
          <t>21.5874_Spectrum_Freq 6594177600Hz</t>
        </r>
      </text>
    </comment>
    <comment ref="Z14" authorId="0" shapeId="0">
      <text>
        <r>
          <rPr>
            <sz val="9"/>
            <color indexed="81"/>
            <rFont val="Tahoma"/>
            <family val="2"/>
          </rPr>
          <t>22.11865_Spectrum_Freq 6331824000Hz</t>
        </r>
      </text>
    </comment>
    <comment ref="AI14" authorId="0" shapeId="0">
      <text>
        <r>
          <rPr>
            <sz val="9"/>
            <color indexed="81"/>
            <rFont val="Tahoma"/>
            <family val="2"/>
          </rPr>
          <t>21.92957_Spectrum_Freq 6442765200Hz</t>
        </r>
      </text>
    </comment>
    <comment ref="AR14" authorId="0" shapeId="0">
      <text>
        <r>
          <rPr>
            <sz val="9"/>
            <color indexed="81"/>
            <rFont val="Tahoma"/>
            <family val="2"/>
          </rPr>
          <t>21.9082_Spectrum_Freq 6593086800Hz</t>
        </r>
      </text>
    </comment>
    <comment ref="BA14" authorId="0" shapeId="0">
      <text>
        <r>
          <rPr>
            <sz val="9"/>
            <color indexed="81"/>
            <rFont val="Tahoma"/>
            <family val="2"/>
          </rPr>
          <t>20.99539_Spectrum_Freq 6327000000Hz</t>
        </r>
      </text>
    </comment>
    <comment ref="BJ14" authorId="0" shapeId="0">
      <text>
        <r>
          <rPr>
            <sz val="9"/>
            <color indexed="81"/>
            <rFont val="Tahoma"/>
            <family val="2"/>
          </rPr>
          <t>20.79224_Spectrum_Freq 6592905000Hz</t>
        </r>
      </text>
    </comment>
    <comment ref="BS14" authorId="0" shapeId="0">
      <text>
        <r>
          <rPr>
            <sz val="9"/>
            <color indexed="81"/>
            <rFont val="Tahoma"/>
            <family val="2"/>
          </rPr>
          <t>21.96329_Spectrum_Freq 6337818000Hz</t>
        </r>
      </text>
    </comment>
    <comment ref="CB14" authorId="0" shapeId="0">
      <text>
        <r>
          <rPr>
            <sz val="9"/>
            <color indexed="81"/>
            <rFont val="Tahoma"/>
            <family val="2"/>
          </rPr>
          <t>21.35739_Spectrum_Freq 6586207200Hz</t>
        </r>
      </text>
    </comment>
    <comment ref="CK14" authorId="0" shapeId="0">
      <text>
        <r>
          <rPr>
            <sz val="9"/>
            <color indexed="81"/>
            <rFont val="Tahoma"/>
            <family val="2"/>
          </rPr>
          <t>20.84247_Spectrum_Freq 6485220000Hz</t>
        </r>
      </text>
    </comment>
    <comment ref="CT14" authorId="0" shapeId="0">
      <text>
        <r>
          <rPr>
            <sz val="9"/>
            <color indexed="81"/>
            <rFont val="Tahoma"/>
            <family val="2"/>
          </rPr>
          <t>20.69357_Spectrum_Freq 6584580000Hz</t>
        </r>
      </text>
    </comment>
    <comment ref="H15" authorId="0" shapeId="0">
      <text>
        <r>
          <rPr>
            <sz val="9"/>
            <color indexed="81"/>
            <rFont val="Tahoma"/>
            <family val="2"/>
          </rPr>
          <t>22.06833_Spectrum_Freq 7031964000Hz</t>
        </r>
      </text>
    </comment>
    <comment ref="Q15" authorId="0" shapeId="0">
      <text>
        <r>
          <rPr>
            <sz val="9"/>
            <color indexed="81"/>
            <rFont val="Tahoma"/>
            <family val="2"/>
          </rPr>
          <t>21.96207_Spectrum_Freq 7328268000Hz</t>
        </r>
      </text>
    </comment>
    <comment ref="Z15" authorId="0" shapeId="0">
      <text>
        <r>
          <rPr>
            <sz val="9"/>
            <color indexed="81"/>
            <rFont val="Tahoma"/>
            <family val="2"/>
          </rPr>
          <t>22.00531_Spectrum_Freq 7035008000Hz</t>
        </r>
      </text>
    </comment>
    <comment ref="AI15" authorId="0" shapeId="0">
      <text>
        <r>
          <rPr>
            <sz val="9"/>
            <color indexed="81"/>
            <rFont val="Tahoma"/>
            <family val="2"/>
          </rPr>
          <t>21.92096_Spectrum_Freq 7156452000Hz</t>
        </r>
      </text>
    </comment>
    <comment ref="AR15" authorId="0" shapeId="0">
      <text>
        <r>
          <rPr>
            <sz val="9"/>
            <color indexed="81"/>
            <rFont val="Tahoma"/>
            <family val="2"/>
          </rPr>
          <t>22.00534_Spectrum_Freq 7327140000Hz</t>
        </r>
      </text>
    </comment>
    <comment ref="BA15" authorId="0" shapeId="0">
      <text>
        <r>
          <rPr>
            <sz val="9"/>
            <color indexed="81"/>
            <rFont val="Tahoma"/>
            <family val="2"/>
          </rPr>
          <t>20.99631_Spectrum_Freq 7078800000Hz</t>
        </r>
      </text>
    </comment>
    <comment ref="BJ15" authorId="0" shapeId="0">
      <text>
        <r>
          <rPr>
            <sz val="9"/>
            <color indexed="81"/>
            <rFont val="Tahoma"/>
            <family val="2"/>
          </rPr>
          <t>20.79898_Spectrum_Freq 7288700000Hz</t>
        </r>
      </text>
    </comment>
    <comment ref="BS15" authorId="0" shapeId="0">
      <text>
        <r>
          <rPr>
            <sz val="9"/>
            <color indexed="81"/>
            <rFont val="Tahoma"/>
            <family val="2"/>
          </rPr>
          <t>21.961_Spectrum_Freq 7039724000Hz</t>
        </r>
      </text>
    </comment>
    <comment ref="CB15" authorId="0" shapeId="0">
      <text>
        <r>
          <rPr>
            <sz val="9"/>
            <color indexed="81"/>
            <rFont val="Tahoma"/>
            <family val="2"/>
          </rPr>
          <t>21.35397_Spectrum_Freq 7320996000Hz</t>
        </r>
      </text>
    </comment>
    <comment ref="CK15" authorId="0" shapeId="0">
      <text>
        <r>
          <rPr>
            <sz val="9"/>
            <color indexed="81"/>
            <rFont val="Tahoma"/>
            <family val="2"/>
          </rPr>
          <t>20.84402_Spectrum_Freq 7102800000Hz</t>
        </r>
      </text>
    </comment>
    <comment ref="CT15" authorId="0" shapeId="0">
      <text>
        <r>
          <rPr>
            <sz val="9"/>
            <color indexed="81"/>
            <rFont val="Tahoma"/>
            <family val="2"/>
          </rPr>
          <t>20.69708_Spectrum_Freq 7134800000Hz</t>
        </r>
      </text>
    </comment>
    <comment ref="H16" authorId="0" shapeId="0">
      <text>
        <r>
          <rPr>
            <sz val="9"/>
            <color indexed="81"/>
            <rFont val="Tahoma"/>
            <family val="2"/>
          </rPr>
          <t>22.0451_Spectrum_Freq 7735002000Hz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21.96121_Spectrum_Freq 8059823200Hz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22.11163_Spectrum_Freq 7734676400Hz</t>
        </r>
      </text>
    </comment>
    <comment ref="AI16" authorId="0" shapeId="0">
      <text>
        <r>
          <rPr>
            <sz val="9"/>
            <color indexed="81"/>
            <rFont val="Tahoma"/>
            <family val="2"/>
          </rPr>
          <t>21.92755_Spectrum_Freq 7875318000Hz</t>
        </r>
      </text>
    </comment>
    <comment ref="AR16" authorId="0" shapeId="0">
      <text>
        <r>
          <rPr>
            <sz val="9"/>
            <color indexed="81"/>
            <rFont val="Tahoma"/>
            <family val="2"/>
          </rPr>
          <t>21.91476_Spectrum_Freq 8061108000Hz</t>
        </r>
      </text>
    </comment>
    <comment ref="BA16" authorId="0" shapeId="0">
      <text>
        <r>
          <rPr>
            <sz val="9"/>
            <color indexed="81"/>
            <rFont val="Tahoma"/>
            <family val="2"/>
          </rPr>
          <t>20.99448_Spectrum_Freq 7735640000Hz</t>
        </r>
      </text>
    </comment>
    <comment ref="BJ16" authorId="0" shapeId="0">
      <text>
        <r>
          <rPr>
            <sz val="9"/>
            <color indexed="81"/>
            <rFont val="Tahoma"/>
            <family val="2"/>
          </rPr>
          <t>20.80212_Spectrum_Freq 8057115000Hz</t>
        </r>
      </text>
    </comment>
    <comment ref="BS16" authorId="0" shapeId="0">
      <text>
        <r>
          <rPr>
            <sz val="9"/>
            <color indexed="81"/>
            <rFont val="Tahoma"/>
            <family val="2"/>
          </rPr>
          <t>22.04642_Spectrum_Freq 7745746800Hz</t>
        </r>
      </text>
    </comment>
    <comment ref="CB16" authorId="0" shapeId="0">
      <text>
        <r>
          <rPr>
            <sz val="9"/>
            <color indexed="81"/>
            <rFont val="Tahoma"/>
            <family val="2"/>
          </rPr>
          <t>21.3504_Spectrum_Freq 8053122000Hz</t>
        </r>
      </text>
    </comment>
    <comment ref="CK16" authorId="0" shapeId="0">
      <text>
        <r>
          <rPr>
            <sz val="9"/>
            <color indexed="81"/>
            <rFont val="Tahoma"/>
            <family val="2"/>
          </rPr>
          <t>20.83398_Spectrum_Freq 7736960000Hz</t>
        </r>
      </text>
    </comment>
    <comment ref="CT16" authorId="0" shapeId="0">
      <text>
        <r>
          <rPr>
            <sz val="9"/>
            <color indexed="81"/>
            <rFont val="Tahoma"/>
            <family val="2"/>
          </rPr>
          <t>20.70438_Spectrum_Freq 8037700000Hz</t>
        </r>
      </text>
    </comment>
    <comment ref="H17" authorId="0" shapeId="0">
      <text>
        <r>
          <rPr>
            <sz val="9"/>
            <color indexed="81"/>
            <rFont val="Tahoma"/>
            <family val="2"/>
          </rPr>
          <t>22.05688_Spectrum_Freq 8439921600Hz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>21.95364_Spectrum_Freq 8794684800Hz</t>
        </r>
      </text>
    </comment>
    <comment ref="Z17" authorId="0" shapeId="0">
      <text>
        <r>
          <rPr>
            <sz val="9"/>
            <color indexed="81"/>
            <rFont val="Tahoma"/>
            <family val="2"/>
          </rPr>
          <t>22.00043_Spectrum_Freq 8441208000Hz</t>
        </r>
      </text>
    </comment>
    <comment ref="AI17" authorId="0" shapeId="0">
      <text>
        <r>
          <rPr>
            <sz val="9"/>
            <color indexed="81"/>
            <rFont val="Tahoma"/>
            <family val="2"/>
          </rPr>
          <t>21.82309_Spectrum_Freq 8589273600Hz</t>
        </r>
      </text>
    </comment>
    <comment ref="AR17" authorId="0" shapeId="0">
      <text>
        <r>
          <rPr>
            <sz val="9"/>
            <color indexed="81"/>
            <rFont val="Tahoma"/>
            <family val="2"/>
          </rPr>
          <t>22.00558_Spectrum_Freq 8792328000Hz</t>
        </r>
      </text>
    </comment>
    <comment ref="BA17" authorId="0" shapeId="0">
      <text>
        <r>
          <rPr>
            <sz val="9"/>
            <color indexed="81"/>
            <rFont val="Tahoma"/>
            <family val="2"/>
          </rPr>
          <t>21.10159_Spectrum_Freq 8494620000Hz</t>
        </r>
      </text>
    </comment>
    <comment ref="BJ17" authorId="0" shapeId="0">
      <text>
        <r>
          <rPr>
            <sz val="9"/>
            <color indexed="81"/>
            <rFont val="Tahoma"/>
            <family val="2"/>
          </rPr>
          <t>20.80328_Spectrum_Freq 8740560000Hz</t>
        </r>
      </text>
    </comment>
    <comment ref="BS17" authorId="0" shapeId="0">
      <text>
        <r>
          <rPr>
            <sz val="9"/>
            <color indexed="81"/>
            <rFont val="Tahoma"/>
            <family val="2"/>
          </rPr>
          <t>22.04672_Spectrum_Freq 8448206400Hz</t>
        </r>
      </text>
    </comment>
    <comment ref="CB17" authorId="0" shapeId="0">
      <text>
        <r>
          <rPr>
            <sz val="9"/>
            <color indexed="81"/>
            <rFont val="Tahoma"/>
            <family val="2"/>
          </rPr>
          <t>21.4509_Spectrum_Freq 8782195200Hz</t>
        </r>
      </text>
    </comment>
    <comment ref="CK17" authorId="0" shapeId="0">
      <text>
        <r>
          <rPr>
            <sz val="9"/>
            <color indexed="81"/>
            <rFont val="Tahoma"/>
            <family val="2"/>
          </rPr>
          <t>20.82544_Spectrum_Freq 8584320000Hz</t>
        </r>
      </text>
    </comment>
    <comment ref="CT17" authorId="0" shapeId="0">
      <text>
        <r>
          <rPr>
            <sz val="9"/>
            <color indexed="81"/>
            <rFont val="Tahoma"/>
            <family val="2"/>
          </rPr>
          <t>20.70203_Spectrum_Freq 8600160000Hz</t>
        </r>
      </text>
    </comment>
    <comment ref="H18" authorId="0" shapeId="0">
      <text>
        <r>
          <rPr>
            <sz val="9"/>
            <color indexed="81"/>
            <rFont val="Tahoma"/>
            <family val="2"/>
          </rPr>
          <t>21.87558_Spectrum_Freq 9144210400Hz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>21.9613_Spectrum_Freq 9527029200Hz</t>
        </r>
      </text>
    </comment>
    <comment ref="Z18" authorId="0" shapeId="0">
      <text>
        <r>
          <rPr>
            <sz val="9"/>
            <color indexed="81"/>
            <rFont val="Tahoma"/>
            <family val="2"/>
          </rPr>
          <t>22.11188_Spectrum_Freq 9143680000Hz</t>
        </r>
      </text>
    </comment>
    <comment ref="AI18" authorId="0" shapeId="0">
      <text>
        <r>
          <rPr>
            <sz val="9"/>
            <color indexed="81"/>
            <rFont val="Tahoma"/>
            <family val="2"/>
          </rPr>
          <t>21.92285_Spectrum_Freq 9303377200Hz</t>
        </r>
      </text>
    </comment>
    <comment ref="AR18" authorId="0" shapeId="0">
      <text>
        <r>
          <rPr>
            <sz val="9"/>
            <color indexed="81"/>
            <rFont val="Tahoma"/>
            <family val="2"/>
          </rPr>
          <t>21.91821_Spectrum_Freq 9525739600Hz</t>
        </r>
      </text>
    </comment>
    <comment ref="BA18" authorId="0" shapeId="0">
      <text>
        <r>
          <rPr>
            <sz val="9"/>
            <color indexed="81"/>
            <rFont val="Tahoma"/>
            <family val="2"/>
          </rPr>
          <t>21.10205_Spectrum_Freq 9196720000Hz</t>
        </r>
      </text>
    </comment>
    <comment ref="BJ18" authorId="0" shapeId="0">
      <text>
        <r>
          <rPr>
            <sz val="9"/>
            <color indexed="81"/>
            <rFont val="Tahoma"/>
            <family val="2"/>
          </rPr>
          <t>20.91055_Spectrum_Freq 9523150000Hz</t>
        </r>
      </text>
    </comment>
    <comment ref="BS18" authorId="0" shapeId="0">
      <text>
        <r>
          <rPr>
            <sz val="9"/>
            <color indexed="81"/>
            <rFont val="Tahoma"/>
            <family val="2"/>
          </rPr>
          <t>22.04282_Spectrum_Freq 9153653600Hz</t>
        </r>
      </text>
    </comment>
    <comment ref="CB18" authorId="0" shapeId="0">
      <text>
        <r>
          <rPr>
            <sz val="9"/>
            <color indexed="81"/>
            <rFont val="Tahoma"/>
            <family val="2"/>
          </rPr>
          <t>21.43176_Spectrum_Freq 9512552400Hz</t>
        </r>
      </text>
    </comment>
    <comment ref="CK18" authorId="0" shapeId="0">
      <text>
        <r>
          <rPr>
            <sz val="9"/>
            <color indexed="81"/>
            <rFont val="Tahoma"/>
            <family val="2"/>
          </rPr>
          <t>20.83945_Spectrum_Freq 9287460000Hz</t>
        </r>
      </text>
    </comment>
    <comment ref="CT18" authorId="0" shapeId="0">
      <text>
        <r>
          <rPr>
            <sz val="9"/>
            <color indexed="81"/>
            <rFont val="Tahoma"/>
            <family val="2"/>
          </rPr>
          <t>20.69724_Spectrum_Freq 9303580000Hz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21.88785_Spectrum_Freq 9847577600Hz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>21.69717_Spectrum_Freq 10255991200Hz</t>
        </r>
      </text>
    </comment>
    <comment ref="Z19" authorId="0" shapeId="0">
      <text>
        <r>
          <rPr>
            <sz val="9"/>
            <color indexed="81"/>
            <rFont val="Tahoma"/>
            <family val="2"/>
          </rPr>
          <t>22.10562_Spectrum_Freq 9847605600Hz</t>
        </r>
      </text>
    </comment>
    <comment ref="AI19" authorId="0" shapeId="0">
      <text>
        <r>
          <rPr>
            <sz val="9"/>
            <color indexed="81"/>
            <rFont val="Tahoma"/>
            <family val="2"/>
          </rPr>
          <t>21.91708_Spectrum_Freq 10022280800Hz</t>
        </r>
      </text>
    </comment>
    <comment ref="AR19" authorId="0" shapeId="0">
      <text>
        <r>
          <rPr>
            <sz val="9"/>
            <color indexed="81"/>
            <rFont val="Tahoma"/>
            <family val="2"/>
          </rPr>
          <t>21.90753_Spectrum_Freq 10256674400Hz</t>
        </r>
      </text>
    </comment>
    <comment ref="BA19" authorId="0" shapeId="0">
      <text>
        <r>
          <rPr>
            <sz val="9"/>
            <color indexed="81"/>
            <rFont val="Tahoma"/>
            <family val="2"/>
          </rPr>
          <t>21.09406_Spectrum_Freq 9905770000Hz</t>
        </r>
      </text>
    </comment>
    <comment ref="BJ19" authorId="0" shapeId="0">
      <text>
        <r>
          <rPr>
            <sz val="9"/>
            <color indexed="81"/>
            <rFont val="Tahoma"/>
            <family val="2"/>
          </rPr>
          <t>20.92273_Spectrum_Freq 10194450000Hz</t>
        </r>
      </text>
    </comment>
    <comment ref="BS19" authorId="0" shapeId="0">
      <text>
        <r>
          <rPr>
            <sz val="9"/>
            <color indexed="81"/>
            <rFont val="Tahoma"/>
            <family val="2"/>
          </rPr>
          <t>22.0386_Spectrum_Freq 9855227200Hz</t>
        </r>
      </text>
    </comment>
    <comment ref="CB19" authorId="0" shapeId="0">
      <text>
        <r>
          <rPr>
            <sz val="9"/>
            <color indexed="81"/>
            <rFont val="Tahoma"/>
            <family val="2"/>
          </rPr>
          <t>21.43723_Spectrum_Freq 10248621600Hz</t>
        </r>
      </text>
    </comment>
    <comment ref="CK19" authorId="0" shapeId="0">
      <text>
        <r>
          <rPr>
            <sz val="9"/>
            <color indexed="81"/>
            <rFont val="Tahoma"/>
            <family val="2"/>
          </rPr>
          <t>20.84604_Spectrum_Freq 10120600000Hz</t>
        </r>
      </text>
    </comment>
    <comment ref="CT19" authorId="0" shapeId="0">
      <text>
        <r>
          <rPr>
            <sz val="9"/>
            <color indexed="81"/>
            <rFont val="Tahoma"/>
            <family val="2"/>
          </rPr>
          <t>20.71609_Spectrum_Freq 10158960000Hz</t>
        </r>
      </text>
    </comment>
    <comment ref="H20" authorId="0" shapeId="0">
      <text>
        <r>
          <rPr>
            <sz val="9"/>
            <color indexed="81"/>
            <rFont val="Tahoma"/>
            <family val="2"/>
          </rPr>
          <t>21.94342_Spectrum_Freq 10549194000Hz</t>
        </r>
      </text>
    </comment>
    <comment ref="Q20" authorId="0" shapeId="0">
      <text>
        <r>
          <rPr>
            <sz val="9"/>
            <color indexed="81"/>
            <rFont val="Tahoma"/>
            <family val="2"/>
          </rPr>
          <t>21.93484_Spectrum_Freq 10991940000Hz</t>
        </r>
      </text>
    </comment>
    <comment ref="Z20" authorId="0" shapeId="0">
      <text>
        <r>
          <rPr>
            <sz val="9"/>
            <color indexed="81"/>
            <rFont val="Tahoma"/>
            <family val="2"/>
          </rPr>
          <t>21.99323_Spectrum_Freq 10548252000Hz</t>
        </r>
      </text>
    </comment>
    <comment ref="AI20" authorId="0" shapeId="0">
      <text>
        <r>
          <rPr>
            <sz val="9"/>
            <color indexed="81"/>
            <rFont val="Tahoma"/>
            <family val="2"/>
          </rPr>
          <t>21.92068_Spectrum_Freq 10735254000Hz</t>
        </r>
      </text>
    </comment>
    <comment ref="AR20" authorId="0" shapeId="0">
      <text>
        <r>
          <rPr>
            <sz val="9"/>
            <color indexed="81"/>
            <rFont val="Tahoma"/>
            <family val="2"/>
          </rPr>
          <t>21.90921_Spectrum_Freq 10990842000Hz</t>
        </r>
      </text>
    </comment>
    <comment ref="BA20" authorId="0" shapeId="0">
      <text>
        <r>
          <rPr>
            <sz val="9"/>
            <color indexed="81"/>
            <rFont val="Tahoma"/>
            <family val="2"/>
          </rPr>
          <t>20.99243_Spectrum_Freq 10605900000Hz</t>
        </r>
      </text>
    </comment>
    <comment ref="BJ20" authorId="0" shapeId="0">
      <text>
        <r>
          <rPr>
            <sz val="9"/>
            <color indexed="81"/>
            <rFont val="Tahoma"/>
            <family val="2"/>
          </rPr>
          <t>20.79352_Spectrum_Freq 10921275000Hz</t>
        </r>
      </text>
    </comment>
    <comment ref="BS20" authorId="0" shapeId="0">
      <text>
        <r>
          <rPr>
            <sz val="9"/>
            <color indexed="81"/>
            <rFont val="Tahoma"/>
            <family val="2"/>
          </rPr>
          <t>22.03503_Spectrum_Freq 10562496000Hz</t>
        </r>
      </text>
    </comment>
    <comment ref="CB20" authorId="0" shapeId="0">
      <text>
        <r>
          <rPr>
            <sz val="9"/>
            <color indexed="81"/>
            <rFont val="Tahoma"/>
            <family val="2"/>
          </rPr>
          <t>21.43692_Spectrum_Freq 10979166000Hz</t>
        </r>
      </text>
    </comment>
    <comment ref="CK20" authorId="0" shapeId="0">
      <text>
        <r>
          <rPr>
            <sz val="9"/>
            <color indexed="81"/>
            <rFont val="Tahoma"/>
            <family val="2"/>
          </rPr>
          <t>20.84299_Spectrum_Freq 10673700000Hz</t>
        </r>
      </text>
    </comment>
    <comment ref="CT20" authorId="0" shapeId="0">
      <text>
        <r>
          <rPr>
            <sz val="9"/>
            <color indexed="81"/>
            <rFont val="Tahoma"/>
            <family val="2"/>
          </rPr>
          <t>20.70468_Spectrum_Freq 10749300000Hz</t>
        </r>
      </text>
    </comment>
    <comment ref="H21" authorId="0" shapeId="0">
      <text>
        <r>
          <rPr>
            <sz val="9"/>
            <color indexed="81"/>
            <rFont val="Tahoma"/>
            <family val="2"/>
          </rPr>
          <t>21.97968_Spectrum_Freq 11250489600Hz</t>
        </r>
      </text>
    </comment>
    <comment ref="Q21" authorId="0" shapeId="0">
      <text>
        <r>
          <rPr>
            <sz val="9"/>
            <color indexed="81"/>
            <rFont val="Tahoma"/>
            <family val="2"/>
          </rPr>
          <t>21.93106_Spectrum_Freq 11721900800Hz</t>
        </r>
      </text>
    </comment>
    <comment ref="Z21" authorId="0" shapeId="0">
      <text>
        <r>
          <rPr>
            <sz val="9"/>
            <color indexed="81"/>
            <rFont val="Tahoma"/>
            <family val="2"/>
          </rPr>
          <t>21.98071_Spectrum_Freq 11253568000Hz</t>
        </r>
      </text>
    </comment>
    <comment ref="AI21" authorId="0" shapeId="0">
      <text>
        <r>
          <rPr>
            <sz val="9"/>
            <color indexed="81"/>
            <rFont val="Tahoma"/>
            <family val="2"/>
          </rPr>
          <t>21.93631_Spectrum_Freq 11452780800Hz</t>
        </r>
      </text>
    </comment>
    <comment ref="AR21" authorId="0" shapeId="0">
      <text>
        <r>
          <rPr>
            <sz val="9"/>
            <color indexed="81"/>
            <rFont val="Tahoma"/>
            <family val="2"/>
          </rPr>
          <t>21.66846_Spectrum_Freq 11724748800Hz</t>
        </r>
      </text>
    </comment>
    <comment ref="BA21" authorId="0" shapeId="0">
      <text>
        <r>
          <rPr>
            <sz val="9"/>
            <color indexed="81"/>
            <rFont val="Tahoma"/>
            <family val="2"/>
          </rPr>
          <t>21.10052_Spectrum_Freq 11322720000Hz</t>
        </r>
      </text>
    </comment>
    <comment ref="BJ21" authorId="0" shapeId="0">
      <text>
        <r>
          <rPr>
            <sz val="9"/>
            <color indexed="81"/>
            <rFont val="Tahoma"/>
            <family val="2"/>
          </rPr>
          <t>20.78516_Spectrum_Freq 11725600000Hz</t>
        </r>
      </text>
    </comment>
    <comment ref="BS21" authorId="0" shapeId="0">
      <text>
        <r>
          <rPr>
            <sz val="9"/>
            <color indexed="81"/>
            <rFont val="Tahoma"/>
            <family val="2"/>
          </rPr>
          <t>22.03247_Spectrum_Freq 11262854400Hz</t>
        </r>
      </text>
    </comment>
    <comment ref="CB21" authorId="0" shapeId="0">
      <text>
        <r>
          <rPr>
            <sz val="9"/>
            <color indexed="81"/>
            <rFont val="Tahoma"/>
            <family val="2"/>
          </rPr>
          <t>21.44098_Spectrum_Freq 11711584000Hz</t>
        </r>
      </text>
    </comment>
    <comment ref="CK21" authorId="0" shapeId="0">
      <text>
        <r>
          <rPr>
            <sz val="9"/>
            <color indexed="81"/>
            <rFont val="Tahoma"/>
            <family val="2"/>
          </rPr>
          <t>20.83536_Spectrum_Freq 11480640000Hz</t>
        </r>
      </text>
    </comment>
    <comment ref="CT21" authorId="0" shapeId="0">
      <text>
        <r>
          <rPr>
            <sz val="9"/>
            <color indexed="81"/>
            <rFont val="Tahoma"/>
            <family val="2"/>
          </rPr>
          <t>20.70795_Spectrum_Freq 11430400000Hz</t>
        </r>
      </text>
    </comment>
    <comment ref="H22" authorId="0" shapeId="0">
      <text>
        <r>
          <rPr>
            <sz val="9"/>
            <color indexed="81"/>
            <rFont val="Tahoma"/>
            <family val="2"/>
          </rPr>
          <t>21.95099_Spectrum_Freq 11956100000Hz</t>
        </r>
      </text>
    </comment>
    <comment ref="Q22" authorId="0" shapeId="0">
      <text>
        <r>
          <rPr>
            <sz val="9"/>
            <color indexed="81"/>
            <rFont val="Tahoma"/>
            <family val="2"/>
          </rPr>
          <t>21.93002_Spectrum_Freq 12456552800Hz</t>
        </r>
      </text>
    </comment>
    <comment ref="Z22" authorId="0" shapeId="0">
      <text>
        <r>
          <rPr>
            <sz val="9"/>
            <color indexed="81"/>
            <rFont val="Tahoma"/>
            <family val="2"/>
          </rPr>
          <t>21.98773_Spectrum_Freq 11956861600Hz</t>
        </r>
      </text>
    </comment>
    <comment ref="AI22" authorId="0" shapeId="0">
      <text>
        <r>
          <rPr>
            <sz val="9"/>
            <color indexed="81"/>
            <rFont val="Tahoma"/>
            <family val="2"/>
          </rPr>
          <t>21.91824_Spectrum_Freq 12172183600Hz</t>
        </r>
      </text>
    </comment>
    <comment ref="AR22" authorId="0" shapeId="0">
      <text>
        <r>
          <rPr>
            <sz val="9"/>
            <color indexed="81"/>
            <rFont val="Tahoma"/>
            <family val="2"/>
          </rPr>
          <t>22.00647_Spectrum_Freq 12457130800Hz</t>
        </r>
      </text>
    </comment>
    <comment ref="BA22" authorId="0" shapeId="0">
      <text>
        <r>
          <rPr>
            <sz val="9"/>
            <color indexed="81"/>
            <rFont val="Tahoma"/>
            <family val="2"/>
          </rPr>
          <t>20.99561_Spectrum_Freq 11989590000Hz</t>
        </r>
      </text>
    </comment>
    <comment ref="BJ22" authorId="0" shapeId="0">
      <text>
        <r>
          <rPr>
            <sz val="9"/>
            <color indexed="81"/>
            <rFont val="Tahoma"/>
            <family val="2"/>
          </rPr>
          <t>20.92642_Spectrum_Freq 12460745000Hz</t>
        </r>
      </text>
    </comment>
    <comment ref="BS22" authorId="0" shapeId="0">
      <text>
        <r>
          <rPr>
            <sz val="9"/>
            <color indexed="81"/>
            <rFont val="Tahoma"/>
            <family val="2"/>
          </rPr>
          <t>22.03436_Spectrum_Freq 11966198000Hz</t>
        </r>
      </text>
    </comment>
    <comment ref="CB22" authorId="0" shapeId="0">
      <text>
        <r>
          <rPr>
            <sz val="9"/>
            <color indexed="81"/>
            <rFont val="Tahoma"/>
            <family val="2"/>
          </rPr>
          <t>21.44299_Spectrum_Freq 12443911600Hz</t>
        </r>
      </text>
    </comment>
    <comment ref="CK22" authorId="0" shapeId="0">
      <text>
        <r>
          <rPr>
            <sz val="9"/>
            <color indexed="81"/>
            <rFont val="Tahoma"/>
            <family val="2"/>
          </rPr>
          <t>20.84067_Spectrum_Freq 12027160000Hz</t>
        </r>
      </text>
    </comment>
    <comment ref="CT22" authorId="0" shapeId="0">
      <text>
        <r>
          <rPr>
            <sz val="9"/>
            <color indexed="81"/>
            <rFont val="Tahoma"/>
            <family val="2"/>
          </rPr>
          <t>20.71423_Spectrum_Freq 12439920000Hz</t>
        </r>
      </text>
    </comment>
  </commentList>
</comments>
</file>

<file path=xl/comments17.xml><?xml version="1.0" encoding="utf-8"?>
<comments xmlns="http://schemas.openxmlformats.org/spreadsheetml/2006/main">
  <authors>
    <author>Long, WANG (HW-NB-TCT)</author>
  </authors>
  <commentList>
    <comment ref="H7" authorId="0" shapeId="0">
      <text>
        <r>
          <rPr>
            <sz val="9"/>
            <color indexed="81"/>
            <rFont val="Tahoma"/>
            <family val="2"/>
          </rPr>
          <t>21.75259_Spectrum_Freq 1436461600Hz</t>
        </r>
      </text>
    </comment>
    <comment ref="Q7" authorId="0" shapeId="0">
      <text>
        <r>
          <rPr>
            <sz val="9"/>
            <color indexed="81"/>
            <rFont val="Tahoma"/>
            <family val="2"/>
          </rPr>
          <t>21.79001_Spectrum_Freq 1495532800Hz</t>
        </r>
      </text>
    </comment>
    <comment ref="Z7" authorId="0" shapeId="0">
      <text>
        <r>
          <rPr>
            <sz val="9"/>
            <color indexed="81"/>
            <rFont val="Tahoma"/>
            <family val="2"/>
          </rPr>
          <t>21.84329_Spectrum_Freq 1436670400Hz</t>
        </r>
      </text>
    </comment>
    <comment ref="AI7" authorId="0" shapeId="0">
      <text>
        <r>
          <rPr>
            <sz val="9"/>
            <color indexed="81"/>
            <rFont val="Tahoma"/>
            <family val="2"/>
          </rPr>
          <t>21.92639_Spectrum_Freq 1461656800Hz</t>
        </r>
      </text>
    </comment>
    <comment ref="AR7" authorId="0" shapeId="0">
      <text>
        <r>
          <rPr>
            <sz val="9"/>
            <color indexed="81"/>
            <rFont val="Tahoma"/>
            <family val="2"/>
          </rPr>
          <t>21.84918_Spectrum_Freq 1495315200Hz</t>
        </r>
      </text>
    </comment>
    <comment ref="BA7" authorId="0" shapeId="0">
      <text>
        <r>
          <rPr>
            <sz val="9"/>
            <color indexed="81"/>
            <rFont val="Tahoma"/>
            <family val="2"/>
          </rPr>
          <t>20.93991_Spectrum_Freq 1440700000Hz</t>
        </r>
      </text>
    </comment>
    <comment ref="BJ7" authorId="0" shapeId="0">
      <text>
        <r>
          <rPr>
            <sz val="9"/>
            <color indexed="81"/>
            <rFont val="Tahoma"/>
            <family val="2"/>
          </rPr>
          <t>20.90112_Spectrum_Freq 1490920000Hz</t>
        </r>
      </text>
    </comment>
    <comment ref="BS7" authorId="0" shapeId="0">
      <text>
        <r>
          <rPr>
            <sz val="9"/>
            <color indexed="81"/>
            <rFont val="Tahoma"/>
            <family val="2"/>
          </rPr>
          <t>21.83502_Spectrum_Freq 1438180000Hz</t>
        </r>
      </text>
    </comment>
    <comment ref="CB7" authorId="0" shapeId="0">
      <text>
        <r>
          <rPr>
            <sz val="9"/>
            <color indexed="81"/>
            <rFont val="Tahoma"/>
            <family val="2"/>
          </rPr>
          <t>21.75204_Spectrum_Freq 1493826400Hz</t>
        </r>
      </text>
    </comment>
    <comment ref="CK7" authorId="0" shapeId="0">
      <text>
        <r>
          <rPr>
            <sz val="9"/>
            <color indexed="81"/>
            <rFont val="Tahoma"/>
            <family val="2"/>
          </rPr>
          <t>20.86472_Spectrum_Freq 1452920000Hz</t>
        </r>
      </text>
    </comment>
    <comment ref="CT7" authorId="0" shapeId="0">
      <text>
        <r>
          <rPr>
            <sz val="9"/>
            <color indexed="81"/>
            <rFont val="Tahoma"/>
            <family val="2"/>
          </rPr>
          <t>20.78589_Spectrum_Freq 1465320000Hz</t>
        </r>
      </text>
    </comment>
    <comment ref="H8" authorId="0" shapeId="0">
      <text>
        <r>
          <rPr>
            <sz val="9"/>
            <color indexed="81"/>
            <rFont val="Tahoma"/>
            <family val="2"/>
          </rPr>
          <t>21.74448_Spectrum_Freq 2154680400Hz</t>
        </r>
      </text>
    </comment>
    <comment ref="Q8" authorId="0" shapeId="0">
      <text>
        <r>
          <rPr>
            <sz val="9"/>
            <color indexed="81"/>
            <rFont val="Tahoma"/>
            <family val="2"/>
          </rPr>
          <t>21.77274_Spectrum_Freq 2243272800Hz</t>
        </r>
      </text>
    </comment>
    <comment ref="Z8" authorId="0" shapeId="0">
      <text>
        <r>
          <rPr>
            <sz val="9"/>
            <color indexed="81"/>
            <rFont val="Tahoma"/>
            <family val="2"/>
          </rPr>
          <t>21.95648_Spectrum_Freq 2155069200Hz</t>
        </r>
      </text>
    </comment>
    <comment ref="AI8" authorId="0" shapeId="0">
      <text>
        <r>
          <rPr>
            <sz val="9"/>
            <color indexed="81"/>
            <rFont val="Tahoma"/>
            <family val="2"/>
          </rPr>
          <t>21.91147_Spectrum_Freq 2192502000Hz</t>
        </r>
      </text>
    </comment>
    <comment ref="AR8" authorId="0" shapeId="0">
      <text>
        <r>
          <rPr>
            <sz val="9"/>
            <color indexed="81"/>
            <rFont val="Tahoma"/>
            <family val="2"/>
          </rPr>
          <t>21.93829_Spectrum_Freq 2242969200Hz</t>
        </r>
      </text>
    </comment>
    <comment ref="BA8" authorId="0" shapeId="0">
      <text>
        <r>
          <rPr>
            <sz val="9"/>
            <color indexed="81"/>
            <rFont val="Tahoma"/>
            <family val="2"/>
          </rPr>
          <t>20.9274_Spectrum_Freq 2160345000Hz</t>
        </r>
      </text>
    </comment>
    <comment ref="BJ8" authorId="0" shapeId="0">
      <text>
        <r>
          <rPr>
            <sz val="9"/>
            <color indexed="81"/>
            <rFont val="Tahoma"/>
            <family val="2"/>
          </rPr>
          <t>20.8829_Spectrum_Freq 2236905000Hz</t>
        </r>
      </text>
    </comment>
    <comment ref="BS8" authorId="0" shapeId="0">
      <text>
        <r>
          <rPr>
            <sz val="9"/>
            <color indexed="81"/>
            <rFont val="Tahoma"/>
            <family val="2"/>
          </rPr>
          <t>21.82101_Spectrum_Freq 2157321600Hz</t>
        </r>
      </text>
    </comment>
    <comment ref="CB8" authorId="0" shapeId="0">
      <text>
        <r>
          <rPr>
            <sz val="9"/>
            <color indexed="81"/>
            <rFont val="Tahoma"/>
            <family val="2"/>
          </rPr>
          <t>21.4816_Spectrum_Freq 2240785200Hz</t>
        </r>
      </text>
    </comment>
    <comment ref="CK8" authorId="0" shapeId="0">
      <text>
        <r>
          <rPr>
            <sz val="9"/>
            <color indexed="81"/>
            <rFont val="Tahoma"/>
            <family val="2"/>
          </rPr>
          <t>20.87607_Spectrum_Freq 2209980000Hz</t>
        </r>
      </text>
    </comment>
    <comment ref="CT8" authorId="0" shapeId="0">
      <text>
        <r>
          <rPr>
            <sz val="9"/>
            <color indexed="81"/>
            <rFont val="Tahoma"/>
            <family val="2"/>
          </rPr>
          <t>20.77997_Spectrum_Freq 2237520000Hz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21.858_Spectrum_Freq 2873361600Hz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21.79248_Spectrum_Freq 2991723200Hz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21.95074_Spectrum_Freq 2874091200Hz</t>
        </r>
      </text>
    </comment>
    <comment ref="AI9" authorId="0" shapeId="0">
      <text>
        <r>
          <rPr>
            <sz val="9"/>
            <color indexed="81"/>
            <rFont val="Tahoma"/>
            <family val="2"/>
          </rPr>
          <t>21.99899_Spectrum_Freq 2923049600Hz</t>
        </r>
      </text>
    </comment>
    <comment ref="AR9" authorId="0" shapeId="0">
      <text>
        <r>
          <rPr>
            <sz val="9"/>
            <color indexed="81"/>
            <rFont val="Tahoma"/>
            <family val="2"/>
          </rPr>
          <t>21.93625_Spectrum_Freq 2990740800Hz</t>
        </r>
      </text>
    </comment>
    <comment ref="BA9" authorId="0" shapeId="0">
      <text>
        <r>
          <rPr>
            <sz val="9"/>
            <color indexed="81"/>
            <rFont val="Tahoma"/>
            <family val="2"/>
          </rPr>
          <t>20.93369_Spectrum_Freq 2890660000Hz</t>
        </r>
      </text>
    </comment>
    <comment ref="BJ9" authorId="0" shapeId="0">
      <text>
        <r>
          <rPr>
            <sz val="9"/>
            <color indexed="81"/>
            <rFont val="Tahoma"/>
            <family val="2"/>
          </rPr>
          <t>20.89087_Spectrum_Freq 2991820000Hz</t>
        </r>
      </text>
    </comment>
    <comment ref="BS9" authorId="0" shapeId="0">
      <text>
        <r>
          <rPr>
            <sz val="9"/>
            <color indexed="81"/>
            <rFont val="Tahoma"/>
            <family val="2"/>
          </rPr>
          <t>21.84866_Spectrum_Freq 2876728000Hz</t>
        </r>
      </text>
    </comment>
    <comment ref="CB9" authorId="0" shapeId="0">
      <text>
        <r>
          <rPr>
            <sz val="9"/>
            <color indexed="81"/>
            <rFont val="Tahoma"/>
            <family val="2"/>
          </rPr>
          <t>21.82672_Spectrum_Freq 2987942400Hz</t>
        </r>
      </text>
    </comment>
    <comment ref="CK9" authorId="0" shapeId="0">
      <text>
        <r>
          <rPr>
            <sz val="9"/>
            <color indexed="81"/>
            <rFont val="Tahoma"/>
            <family val="2"/>
          </rPr>
          <t>20.87503_Spectrum_Freq 2932720000Hz</t>
        </r>
      </text>
    </comment>
    <comment ref="CT9" authorId="0" shapeId="0">
      <text>
        <r>
          <rPr>
            <sz val="9"/>
            <color indexed="81"/>
            <rFont val="Tahoma"/>
            <family val="2"/>
          </rPr>
          <t>20.77124_Spectrum_Freq 2928320000Hz</t>
        </r>
      </text>
    </comment>
    <comment ref="H10" authorId="0" shapeId="0">
      <text>
        <r>
          <rPr>
            <sz val="9"/>
            <color indexed="81"/>
            <rFont val="Tahoma"/>
            <family val="2"/>
          </rPr>
          <t>21.84204_Spectrum_Freq 3591580000Hz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>21.8797_Spectrum_Freq 3738514000Hz</t>
        </r>
      </text>
    </comment>
    <comment ref="Z10" authorId="0" shapeId="0">
      <text>
        <r>
          <rPr>
            <sz val="9"/>
            <color indexed="81"/>
            <rFont val="Tahoma"/>
            <family val="2"/>
          </rPr>
          <t>21.81949_Spectrum_Freq 3592380000Hz</t>
        </r>
      </text>
    </comment>
    <comment ref="AI10" authorId="0" shapeId="0">
      <text>
        <r>
          <rPr>
            <sz val="9"/>
            <color indexed="81"/>
            <rFont val="Tahoma"/>
            <family val="2"/>
          </rPr>
          <t>21.98944_Spectrum_Freq 3653302000Hz</t>
        </r>
      </text>
    </comment>
    <comment ref="AR10" authorId="0" shapeId="0">
      <text>
        <r>
          <rPr>
            <sz val="9"/>
            <color indexed="81"/>
            <rFont val="Tahoma"/>
            <family val="2"/>
          </rPr>
          <t>21.92944_Spectrum_Freq 3737792000Hz</t>
        </r>
      </text>
    </comment>
    <comment ref="BA10" authorId="0" shapeId="0">
      <text>
        <r>
          <rPr>
            <sz val="9"/>
            <color indexed="81"/>
            <rFont val="Tahoma"/>
            <family val="2"/>
          </rPr>
          <t>20.92996_Spectrum_Freq 3602400000Hz</t>
        </r>
      </text>
    </comment>
    <comment ref="BJ10" authorId="0" shapeId="0">
      <text>
        <r>
          <rPr>
            <sz val="9"/>
            <color indexed="81"/>
            <rFont val="Tahoma"/>
            <family val="2"/>
          </rPr>
          <t>20.87695_Spectrum_Freq 3718400000Hz</t>
        </r>
      </text>
    </comment>
    <comment ref="BS10" authorId="0" shapeId="0">
      <text>
        <r>
          <rPr>
            <sz val="9"/>
            <color indexed="81"/>
            <rFont val="Tahoma"/>
            <family val="2"/>
          </rPr>
          <t>21.84491_Spectrum_Freq 3595492000Hz</t>
        </r>
      </text>
    </comment>
    <comment ref="CB10" authorId="0" shapeId="0">
      <text>
        <r>
          <rPr>
            <sz val="9"/>
            <color indexed="81"/>
            <rFont val="Tahoma"/>
            <family val="2"/>
          </rPr>
          <t>21.46292_Spectrum_Freq 3733688000Hz</t>
        </r>
      </text>
    </comment>
    <comment ref="CK10" authorId="0" shapeId="0">
      <text>
        <r>
          <rPr>
            <sz val="9"/>
            <color indexed="81"/>
            <rFont val="Tahoma"/>
            <family val="2"/>
          </rPr>
          <t>20.88681_Spectrum_Freq 3611200000Hz</t>
        </r>
      </text>
    </comment>
    <comment ref="CT10" authorId="0" shapeId="0">
      <text>
        <r>
          <rPr>
            <sz val="9"/>
            <color indexed="81"/>
            <rFont val="Tahoma"/>
            <family val="2"/>
          </rPr>
          <t>20.80188_Spectrum_Freq 3646200000Hz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21.83282_Spectrum_Freq 4309968000Hz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>21.79468_Spectrum_Freq 4487186400Hz</t>
        </r>
      </text>
    </comment>
    <comment ref="Z11" authorId="0" shapeId="0">
      <text>
        <r>
          <rPr>
            <sz val="9"/>
            <color indexed="81"/>
            <rFont val="Tahoma"/>
            <family val="2"/>
          </rPr>
          <t>21.95117_Spectrum_Freq 4310714400Hz</t>
        </r>
      </text>
    </comment>
    <comment ref="AI11" authorId="0" shapeId="0">
      <text>
        <r>
          <rPr>
            <sz val="9"/>
            <color indexed="81"/>
            <rFont val="Tahoma"/>
            <family val="2"/>
          </rPr>
          <t>21.98785_Spectrum_Freq 4386069600Hz</t>
        </r>
      </text>
    </comment>
    <comment ref="AR11" authorId="0" shapeId="0">
      <text>
        <r>
          <rPr>
            <sz val="9"/>
            <color indexed="81"/>
            <rFont val="Tahoma"/>
            <family val="2"/>
          </rPr>
          <t>21.93433_Spectrum_Freq 4485484800Hz</t>
        </r>
      </text>
    </comment>
    <comment ref="BA11" authorId="0" shapeId="0">
      <text>
        <r>
          <rPr>
            <sz val="9"/>
            <color indexed="81"/>
            <rFont val="Tahoma"/>
            <family val="2"/>
          </rPr>
          <t>20.94144_Spectrum_Freq 4308810000Hz</t>
        </r>
      </text>
    </comment>
    <comment ref="BJ11" authorId="0" shapeId="0">
      <text>
        <r>
          <rPr>
            <sz val="9"/>
            <color indexed="81"/>
            <rFont val="Tahoma"/>
            <family val="2"/>
          </rPr>
          <t>20.87985_Spectrum_Freq 4486590000Hz</t>
        </r>
      </text>
    </comment>
    <comment ref="BS11" authorId="0" shapeId="0">
      <text>
        <r>
          <rPr>
            <sz val="9"/>
            <color indexed="81"/>
            <rFont val="Tahoma"/>
            <family val="2"/>
          </rPr>
          <t>21.74588_Spectrum_Freq 4314981600Hz</t>
        </r>
      </text>
    </comment>
    <comment ref="CB11" authorId="0" shapeId="0">
      <text>
        <r>
          <rPr>
            <sz val="9"/>
            <color indexed="81"/>
            <rFont val="Tahoma"/>
            <family val="2"/>
          </rPr>
          <t>21.80936_Spectrum_Freq 4481390400Hz</t>
        </r>
      </text>
    </comment>
    <comment ref="CK11" authorId="0" shapeId="0">
      <text>
        <r>
          <rPr>
            <sz val="9"/>
            <color indexed="81"/>
            <rFont val="Tahoma"/>
            <family val="2"/>
          </rPr>
          <t>20.88895_Spectrum_Freq 4406760000Hz</t>
        </r>
      </text>
    </comment>
    <comment ref="CT11" authorId="0" shapeId="0">
      <text>
        <r>
          <rPr>
            <sz val="9"/>
            <color indexed="81"/>
            <rFont val="Tahoma"/>
            <family val="2"/>
          </rPr>
          <t>20.77362_Spectrum_Freq 4480680000Hz</t>
        </r>
      </text>
    </comment>
    <comment ref="H12" authorId="0" shapeId="0">
      <text>
        <r>
          <rPr>
            <sz val="9"/>
            <color indexed="81"/>
            <rFont val="Tahoma"/>
            <family val="2"/>
          </rPr>
          <t>21.83597_Spectrum_Freq 5027831200Hz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>21.80209_Spectrum_Freq 5235501600Hz</t>
        </r>
      </text>
    </comment>
    <comment ref="Z12" authorId="0" shapeId="0">
      <text>
        <r>
          <rPr>
            <sz val="9"/>
            <color indexed="81"/>
            <rFont val="Tahoma"/>
            <family val="2"/>
          </rPr>
          <t>21.83112_Spectrum_Freq 5028366000Hz</t>
        </r>
      </text>
    </comment>
    <comment ref="AI12" authorId="0" shapeId="0">
      <text>
        <r>
          <rPr>
            <sz val="9"/>
            <color indexed="81"/>
            <rFont val="Tahoma"/>
            <family val="2"/>
          </rPr>
          <t>21.89087_Spectrum_Freq 5114936400Hz</t>
        </r>
      </text>
    </comment>
    <comment ref="AR12" authorId="0" shapeId="0">
      <text>
        <r>
          <rPr>
            <sz val="9"/>
            <color indexed="81"/>
            <rFont val="Tahoma"/>
            <family val="2"/>
          </rPr>
          <t>21.93066_Spectrum_Freq 5234252800Hz</t>
        </r>
      </text>
    </comment>
    <comment ref="BA12" authorId="0" shapeId="0">
      <text>
        <r>
          <rPr>
            <sz val="9"/>
            <color indexed="81"/>
            <rFont val="Tahoma"/>
            <family val="2"/>
          </rPr>
          <t>20.93335_Spectrum_Freq 5043920000Hz</t>
        </r>
      </text>
    </comment>
    <comment ref="BJ12" authorId="0" shapeId="0">
      <text>
        <r>
          <rPr>
            <sz val="9"/>
            <color indexed="81"/>
            <rFont val="Tahoma"/>
            <family val="2"/>
          </rPr>
          <t>20.8746_Spectrum_Freq 5206565000Hz</t>
        </r>
      </text>
    </comment>
    <comment ref="BS12" authorId="0" shapeId="0">
      <text>
        <r>
          <rPr>
            <sz val="9"/>
            <color indexed="81"/>
            <rFont val="Tahoma"/>
            <family val="2"/>
          </rPr>
          <t>21.83154_Spectrum_Freq 5032650000Hz</t>
        </r>
      </text>
    </comment>
    <comment ref="CB12" authorId="0" shapeId="0">
      <text>
        <r>
          <rPr>
            <sz val="9"/>
            <color indexed="81"/>
            <rFont val="Tahoma"/>
            <family val="2"/>
          </rPr>
          <t>21.80606_Spectrum_Freq 5229761600Hz</t>
        </r>
      </text>
    </comment>
    <comment ref="CK12" authorId="0" shapeId="0">
      <text>
        <r>
          <rPr>
            <sz val="9"/>
            <color indexed="81"/>
            <rFont val="Tahoma"/>
            <family val="2"/>
          </rPr>
          <t>20.8757_Spectrum_Freq 5062540000Hz</t>
        </r>
      </text>
    </comment>
    <comment ref="CT12" authorId="0" shapeId="0">
      <text>
        <r>
          <rPr>
            <sz val="9"/>
            <color indexed="81"/>
            <rFont val="Tahoma"/>
            <family val="2"/>
          </rPr>
          <t>20.77121_Spectrum_Freq 5102860000Hz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21.8252_Spectrum_Freq 5746883200Hz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21.87756_Spectrum_Freq 5980518400Hz</t>
        </r>
      </text>
    </comment>
    <comment ref="Z13" authorId="0" shapeId="0">
      <text>
        <r>
          <rPr>
            <sz val="9"/>
            <color indexed="81"/>
            <rFont val="Tahoma"/>
            <family val="2"/>
          </rPr>
          <t>21.94357_Spectrum_Freq 5747651200Hz</t>
        </r>
      </text>
    </comment>
    <comment ref="AI13" authorId="0" shapeId="0">
      <text>
        <r>
          <rPr>
            <sz val="9"/>
            <color indexed="81"/>
            <rFont val="Tahoma"/>
            <family val="2"/>
          </rPr>
          <t>21.98465_Spectrum_Freq 5848227200Hz</t>
        </r>
      </text>
    </comment>
    <comment ref="AR13" authorId="0" shapeId="0">
      <text>
        <r>
          <rPr>
            <sz val="9"/>
            <color indexed="81"/>
            <rFont val="Tahoma"/>
            <family val="2"/>
          </rPr>
          <t>21.82288_Spectrum_Freq 5980502400Hz</t>
        </r>
      </text>
    </comment>
    <comment ref="BA13" authorId="0" shapeId="0">
      <text>
        <r>
          <rPr>
            <sz val="9"/>
            <color indexed="81"/>
            <rFont val="Tahoma"/>
            <family val="2"/>
          </rPr>
          <t>20.93607_Spectrum_Freq 5746040000Hz</t>
        </r>
      </text>
    </comment>
    <comment ref="BJ13" authorId="0" shapeId="0">
      <text>
        <r>
          <rPr>
            <sz val="9"/>
            <color indexed="81"/>
            <rFont val="Tahoma"/>
            <family val="2"/>
          </rPr>
          <t>20.87793_Spectrum_Freq 5969400000Hz</t>
        </r>
      </text>
    </comment>
    <comment ref="BS13" authorId="0" shapeId="0">
      <text>
        <r>
          <rPr>
            <sz val="9"/>
            <color indexed="81"/>
            <rFont val="Tahoma"/>
            <family val="2"/>
          </rPr>
          <t>21.74039_Spectrum_Freq 5751609600Hz</t>
        </r>
      </text>
    </comment>
    <comment ref="CB13" authorId="0" shapeId="0">
      <text>
        <r>
          <rPr>
            <sz val="9"/>
            <color indexed="81"/>
            <rFont val="Tahoma"/>
            <family val="2"/>
          </rPr>
          <t>21.70355_Spectrum_Freq 5975936000Hz</t>
        </r>
      </text>
    </comment>
    <comment ref="CK13" authorId="0" shapeId="0">
      <text>
        <r>
          <rPr>
            <sz val="9"/>
            <color indexed="81"/>
            <rFont val="Tahoma"/>
            <family val="2"/>
          </rPr>
          <t>20.88516_Spectrum_Freq 5745600000Hz</t>
        </r>
      </text>
    </comment>
    <comment ref="CT13" authorId="0" shapeId="0">
      <text>
        <r>
          <rPr>
            <sz val="9"/>
            <color indexed="81"/>
            <rFont val="Tahoma"/>
            <family val="2"/>
          </rPr>
          <t>20.77292_Spectrum_Freq 5983040000Hz</t>
        </r>
      </text>
    </comment>
    <comment ref="H14" authorId="0" shapeId="0">
      <text>
        <r>
          <rPr>
            <sz val="9"/>
            <color indexed="81"/>
            <rFont val="Tahoma"/>
            <family val="2"/>
          </rPr>
          <t>21.82681_Spectrum_Freq 6465420000Hz</t>
        </r>
      </text>
    </comment>
    <comment ref="Q14" authorId="0" shapeId="0">
      <text>
        <r>
          <rPr>
            <sz val="9"/>
            <color indexed="81"/>
            <rFont val="Tahoma"/>
            <family val="2"/>
          </rPr>
          <t>21.79953_Spectrum_Freq 6731208000Hz</t>
        </r>
      </text>
    </comment>
    <comment ref="Z14" authorId="0" shapeId="0">
      <text>
        <r>
          <rPr>
            <sz val="9"/>
            <color indexed="81"/>
            <rFont val="Tahoma"/>
            <family val="2"/>
          </rPr>
          <t>21.92923_Spectrum_Freq 6465222000Hz</t>
        </r>
      </text>
    </comment>
    <comment ref="AI14" authorId="0" shapeId="0">
      <text>
        <r>
          <rPr>
            <sz val="9"/>
            <color indexed="81"/>
            <rFont val="Tahoma"/>
            <family val="2"/>
          </rPr>
          <t>21.98767_Spectrum_Freq 6576357600Hz</t>
        </r>
      </text>
    </comment>
    <comment ref="AR14" authorId="0" shapeId="0">
      <text>
        <r>
          <rPr>
            <sz val="9"/>
            <color indexed="81"/>
            <rFont val="Tahoma"/>
            <family val="2"/>
          </rPr>
          <t>21.92975_Spectrum_Freq 6730556400Hz</t>
        </r>
      </text>
    </comment>
    <comment ref="BA14" authorId="0" shapeId="0">
      <text>
        <r>
          <rPr>
            <sz val="9"/>
            <color indexed="81"/>
            <rFont val="Tahoma"/>
            <family val="2"/>
          </rPr>
          <t>20.93021_Spectrum_Freq 6506505000Hz</t>
        </r>
      </text>
    </comment>
    <comment ref="BJ14" authorId="0" shapeId="0">
      <text>
        <r>
          <rPr>
            <sz val="9"/>
            <color indexed="81"/>
            <rFont val="Tahoma"/>
            <family val="2"/>
          </rPr>
          <t>20.87424_Spectrum_Freq 6705585000Hz</t>
        </r>
      </text>
    </comment>
    <comment ref="BS14" authorId="0" shapeId="0">
      <text>
        <r>
          <rPr>
            <sz val="9"/>
            <color indexed="81"/>
            <rFont val="Tahoma"/>
            <family val="2"/>
          </rPr>
          <t>21.72787_Spectrum_Freq 6470046000Hz</t>
        </r>
      </text>
    </comment>
    <comment ref="CB14" authorId="0" shapeId="0">
      <text>
        <r>
          <rPr>
            <sz val="9"/>
            <color indexed="81"/>
            <rFont val="Tahoma"/>
            <family val="2"/>
          </rPr>
          <t>21.45804_Spectrum_Freq 6721804800Hz</t>
        </r>
      </text>
    </comment>
    <comment ref="CK14" authorId="0" shapeId="0">
      <text>
        <r>
          <rPr>
            <sz val="9"/>
            <color indexed="81"/>
            <rFont val="Tahoma"/>
            <family val="2"/>
          </rPr>
          <t>20.88559_Spectrum_Freq 6632640000Hz</t>
        </r>
      </text>
    </comment>
    <comment ref="CT14" authorId="0" shapeId="0">
      <text>
        <r>
          <rPr>
            <sz val="9"/>
            <color indexed="81"/>
            <rFont val="Tahoma"/>
            <family val="2"/>
          </rPr>
          <t>20.76279_Spectrum_Freq 6611400000Hz</t>
        </r>
      </text>
    </comment>
    <comment ref="H15" authorId="0" shapeId="0">
      <text>
        <r>
          <rPr>
            <sz val="9"/>
            <color indexed="81"/>
            <rFont val="Tahoma"/>
            <family val="2"/>
          </rPr>
          <t>21.8212_Spectrum_Freq 7181256000Hz</t>
        </r>
      </text>
    </comment>
    <comment ref="Q15" authorId="0" shapeId="0">
      <text>
        <r>
          <rPr>
            <sz val="9"/>
            <color indexed="81"/>
            <rFont val="Tahoma"/>
            <family val="2"/>
          </rPr>
          <t>21.7991_Spectrum_Freq 7478908000Hz</t>
        </r>
      </text>
    </comment>
    <comment ref="Z15" authorId="0" shapeId="0">
      <text>
        <r>
          <rPr>
            <sz val="9"/>
            <color indexed="81"/>
            <rFont val="Tahoma"/>
            <family val="2"/>
          </rPr>
          <t>21.95251_Spectrum_Freq 7183296000Hz</t>
        </r>
      </text>
    </comment>
    <comment ref="AI15" authorId="0" shapeId="0">
      <text>
        <r>
          <rPr>
            <sz val="9"/>
            <color indexed="81"/>
            <rFont val="Tahoma"/>
            <family val="2"/>
          </rPr>
          <t>21.99081_Spectrum_Freq 7309632000Hz</t>
        </r>
      </text>
    </comment>
    <comment ref="AR15" authorId="0" shapeId="0">
      <text>
        <r>
          <rPr>
            <sz val="9"/>
            <color indexed="81"/>
            <rFont val="Tahoma"/>
            <family val="2"/>
          </rPr>
          <t>21.92456_Spectrum_Freq 7474940000Hz</t>
        </r>
      </text>
    </comment>
    <comment ref="BA15" authorId="0" shapeId="0">
      <text>
        <r>
          <rPr>
            <sz val="9"/>
            <color indexed="81"/>
            <rFont val="Tahoma"/>
            <family val="2"/>
          </rPr>
          <t>20.94122_Spectrum_Freq 7183300000Hz</t>
        </r>
      </text>
    </comment>
    <comment ref="BJ15" authorId="0" shapeId="0">
      <text>
        <r>
          <rPr>
            <sz val="9"/>
            <color indexed="81"/>
            <rFont val="Tahoma"/>
            <family val="2"/>
          </rPr>
          <t>20.86679_Spectrum_Freq 7472850000Hz</t>
        </r>
      </text>
    </comment>
    <comment ref="BS15" authorId="0" shapeId="0">
      <text>
        <r>
          <rPr>
            <sz val="9"/>
            <color indexed="81"/>
            <rFont val="Tahoma"/>
            <family val="2"/>
          </rPr>
          <t>21.7272_Spectrum_Freq 7189048000Hz</t>
        </r>
      </text>
    </comment>
    <comment ref="CB15" authorId="0" shapeId="0">
      <text>
        <r>
          <rPr>
            <sz val="9"/>
            <color indexed="81"/>
            <rFont val="Tahoma"/>
            <family val="2"/>
          </rPr>
          <t>21.45129_Spectrum_Freq 7470828000Hz</t>
        </r>
      </text>
    </comment>
    <comment ref="CK15" authorId="0" shapeId="0">
      <text>
        <r>
          <rPr>
            <sz val="9"/>
            <color indexed="81"/>
            <rFont val="Tahoma"/>
            <family val="2"/>
          </rPr>
          <t>20.88898_Spectrum_Freq 7182800000Hz</t>
        </r>
      </text>
    </comment>
    <comment ref="CT15" authorId="0" shapeId="0">
      <text>
        <r>
          <rPr>
            <sz val="9"/>
            <color indexed="81"/>
            <rFont val="Tahoma"/>
            <family val="2"/>
          </rPr>
          <t>20.76324_Spectrum_Freq 7470200000Hz</t>
        </r>
      </text>
    </comment>
    <comment ref="H16" authorId="0" shapeId="0">
      <text>
        <r>
          <rPr>
            <sz val="9"/>
            <color indexed="81"/>
            <rFont val="Tahoma"/>
            <family val="2"/>
          </rPr>
          <t>21.81522_Spectrum_Freq 7902686000Hz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21.79456_Spectrum_Freq 8223292000Hz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21.94968_Spectrum_Freq 7902065600Hz</t>
        </r>
      </text>
    </comment>
    <comment ref="AI16" authorId="0" shapeId="0">
      <text>
        <r>
          <rPr>
            <sz val="9"/>
            <color indexed="81"/>
            <rFont val="Tahoma"/>
            <family val="2"/>
          </rPr>
          <t>21.9859_Spectrum_Freq 8037871600Hz</t>
        </r>
      </text>
    </comment>
    <comment ref="AR16" authorId="0" shapeId="0">
      <text>
        <r>
          <rPr>
            <sz val="9"/>
            <color indexed="81"/>
            <rFont val="Tahoma"/>
            <family val="2"/>
          </rPr>
          <t>21.92691_Spectrum_Freq 8224356800Hz</t>
        </r>
      </text>
    </comment>
    <comment ref="BA16" authorId="0" shapeId="0">
      <text>
        <r>
          <rPr>
            <sz val="9"/>
            <color indexed="81"/>
            <rFont val="Tahoma"/>
            <family val="2"/>
          </rPr>
          <t>20.94388_Spectrum_Freq 7947225000Hz</t>
        </r>
      </text>
    </comment>
    <comment ref="BJ16" authorId="0" shapeId="0">
      <text>
        <r>
          <rPr>
            <sz val="9"/>
            <color indexed="81"/>
            <rFont val="Tahoma"/>
            <family val="2"/>
          </rPr>
          <t>20.86316_Spectrum_Freq 8183725000Hz</t>
        </r>
      </text>
    </comment>
    <comment ref="BS16" authorId="0" shapeId="0">
      <text>
        <r>
          <rPr>
            <sz val="9"/>
            <color indexed="81"/>
            <rFont val="Tahoma"/>
            <family val="2"/>
          </rPr>
          <t>21.81549_Spectrum_Freq 7909334400Hz</t>
        </r>
      </text>
    </comment>
    <comment ref="CB16" authorId="0" shapeId="0">
      <text>
        <r>
          <rPr>
            <sz val="9"/>
            <color indexed="81"/>
            <rFont val="Tahoma"/>
            <family val="2"/>
          </rPr>
          <t>21.44659_Spectrum_Freq 8216920800Hz</t>
        </r>
      </text>
    </comment>
    <comment ref="CK16" authorId="0" shapeId="0">
      <text>
        <r>
          <rPr>
            <sz val="9"/>
            <color indexed="81"/>
            <rFont val="Tahoma"/>
            <family val="2"/>
          </rPr>
          <t>20.89899_Spectrum_Freq 8104140000Hz</t>
        </r>
      </text>
    </comment>
    <comment ref="CT16" authorId="0" shapeId="0">
      <text>
        <r>
          <rPr>
            <sz val="9"/>
            <color indexed="81"/>
            <rFont val="Tahoma"/>
            <family val="2"/>
          </rPr>
          <t>20.77487_Spectrum_Freq 8119540000Hz</t>
        </r>
      </text>
    </comment>
    <comment ref="H17" authorId="0" shapeId="0">
      <text>
        <r>
          <rPr>
            <sz val="9"/>
            <color indexed="81"/>
            <rFont val="Tahoma"/>
            <family val="2"/>
          </rPr>
          <t>21.81039_Spectrum_Freq 8618798400Hz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>21.88391_Spectrum_Freq 8974704000Hz</t>
        </r>
      </text>
    </comment>
    <comment ref="Z17" authorId="0" shapeId="0">
      <text>
        <r>
          <rPr>
            <sz val="9"/>
            <color indexed="81"/>
            <rFont val="Tahoma"/>
            <family val="2"/>
          </rPr>
          <t>21.95059_Spectrum_Freq 8619264000Hz</t>
        </r>
      </text>
    </comment>
    <comment ref="AI17" authorId="0" shapeId="0">
      <text>
        <r>
          <rPr>
            <sz val="9"/>
            <color indexed="81"/>
            <rFont val="Tahoma"/>
            <family val="2"/>
          </rPr>
          <t>21.98837_Spectrum_Freq 8768668800Hz</t>
        </r>
      </text>
    </comment>
    <comment ref="AR17" authorId="0" shapeId="0">
      <text>
        <r>
          <rPr>
            <sz val="9"/>
            <color indexed="81"/>
            <rFont val="Tahoma"/>
            <family val="2"/>
          </rPr>
          <t>21.83728_Spectrum_Freq 8972529600Hz</t>
        </r>
      </text>
    </comment>
    <comment ref="BA17" authorId="0" shapeId="0">
      <text>
        <r>
          <rPr>
            <sz val="9"/>
            <color indexed="81"/>
            <rFont val="Tahoma"/>
            <family val="2"/>
          </rPr>
          <t>20.95181_Spectrum_Freq 8631420000Hz</t>
        </r>
      </text>
    </comment>
    <comment ref="BJ17" authorId="0" shapeId="0">
      <text>
        <r>
          <rPr>
            <sz val="9"/>
            <color indexed="81"/>
            <rFont val="Tahoma"/>
            <family val="2"/>
          </rPr>
          <t>20.86777_Spectrum_Freq 8975340000Hz</t>
        </r>
      </text>
    </comment>
    <comment ref="BS17" authorId="0" shapeId="0">
      <text>
        <r>
          <rPr>
            <sz val="9"/>
            <color indexed="81"/>
            <rFont val="Tahoma"/>
            <family val="2"/>
          </rPr>
          <t>21.81754_Spectrum_Freq 8631057600Hz</t>
        </r>
      </text>
    </comment>
    <comment ref="CB17" authorId="0" shapeId="0">
      <text>
        <r>
          <rPr>
            <sz val="9"/>
            <color indexed="81"/>
            <rFont val="Tahoma"/>
            <family val="2"/>
          </rPr>
          <t>21.79172_Spectrum_Freq 8965041600Hz</t>
        </r>
      </text>
    </comment>
    <comment ref="CK17" authorId="0" shapeId="0">
      <text>
        <r>
          <rPr>
            <sz val="9"/>
            <color indexed="81"/>
            <rFont val="Tahoma"/>
            <family val="2"/>
          </rPr>
          <t>20.77472_Spectrum_Freq 8620800000Hz</t>
        </r>
      </text>
    </comment>
    <comment ref="CT17" authorId="0" shapeId="0">
      <text>
        <r>
          <rPr>
            <sz val="9"/>
            <color indexed="81"/>
            <rFont val="Tahoma"/>
            <family val="2"/>
          </rPr>
          <t>20.77072_Spectrum_Freq 8969520000Hz</t>
        </r>
      </text>
    </comment>
    <comment ref="H18" authorId="0" shapeId="0">
      <text>
        <r>
          <rPr>
            <sz val="9"/>
            <color indexed="81"/>
            <rFont val="Tahoma"/>
            <family val="2"/>
          </rPr>
          <t>21.82077_Spectrum_Freq 9334941200Hz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>21.88812_Spectrum_Freq 9718893600Hz</t>
        </r>
      </text>
    </comment>
    <comment ref="Z18" authorId="0" shapeId="0">
      <text>
        <r>
          <rPr>
            <sz val="9"/>
            <color indexed="81"/>
            <rFont val="Tahoma"/>
            <family val="2"/>
          </rPr>
          <t>22.27106_Spectrum_Freq 9336444000Hz</t>
        </r>
      </text>
    </comment>
    <comment ref="AI18" authorId="0" shapeId="0">
      <text>
        <r>
          <rPr>
            <sz val="9"/>
            <color indexed="81"/>
            <rFont val="Tahoma"/>
            <family val="2"/>
          </rPr>
          <t>21.97943_Spectrum_Freq 9500712000Hz</t>
        </r>
      </text>
    </comment>
    <comment ref="AR18" authorId="0" shapeId="0">
      <text>
        <r>
          <rPr>
            <sz val="9"/>
            <color indexed="81"/>
            <rFont val="Tahoma"/>
            <family val="2"/>
          </rPr>
          <t>21.91995_Spectrum_Freq 9718904000Hz</t>
        </r>
      </text>
    </comment>
    <comment ref="BA18" authorId="0" shapeId="0">
      <text>
        <r>
          <rPr>
            <sz val="9"/>
            <color indexed="81"/>
            <rFont val="Tahoma"/>
            <family val="2"/>
          </rPr>
          <t>20.94421_Spectrum_Freq 9340825000Hz</t>
        </r>
      </text>
    </comment>
    <comment ref="BJ18" authorId="0" shapeId="0">
      <text>
        <r>
          <rPr>
            <sz val="9"/>
            <color indexed="81"/>
            <rFont val="Tahoma"/>
            <family val="2"/>
          </rPr>
          <t>20.87238_Spectrum_Freq 9665630000Hz</t>
        </r>
      </text>
    </comment>
    <comment ref="BS18" authorId="0" shapeId="0">
      <text>
        <r>
          <rPr>
            <sz val="9"/>
            <color indexed="81"/>
            <rFont val="Tahoma"/>
            <family val="2"/>
          </rPr>
          <t>21.72247_Spectrum_Freq 9350010800Hz</t>
        </r>
      </text>
    </comment>
    <comment ref="CB18" authorId="0" shapeId="0">
      <text>
        <r>
          <rPr>
            <sz val="9"/>
            <color indexed="81"/>
            <rFont val="Tahoma"/>
            <family val="2"/>
          </rPr>
          <t>21.69028_Spectrum_Freq 9711317200Hz</t>
        </r>
      </text>
    </comment>
    <comment ref="CK18" authorId="0" shapeId="0">
      <text>
        <r>
          <rPr>
            <sz val="9"/>
            <color indexed="81"/>
            <rFont val="Tahoma"/>
            <family val="2"/>
          </rPr>
          <t>20.8873_Spectrum_Freq 9340240000Hz</t>
        </r>
      </text>
    </comment>
    <comment ref="CT18" authorId="0" shapeId="0">
      <text>
        <r>
          <rPr>
            <sz val="9"/>
            <color indexed="81"/>
            <rFont val="Tahoma"/>
            <family val="2"/>
          </rPr>
          <t>20.76028_Spectrum_Freq 9575540000Hz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21.81473_Spectrum_Freq 10056592000Hz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>21.79526_Spectrum_Freq 10471031200Hz</t>
        </r>
      </text>
    </comment>
    <comment ref="Z19" authorId="0" shapeId="0">
      <text>
        <r>
          <rPr>
            <sz val="9"/>
            <color indexed="81"/>
            <rFont val="Tahoma"/>
            <family val="2"/>
          </rPr>
          <t>21.9227_Spectrum_Freq 10056004000Hz</t>
        </r>
      </text>
    </comment>
    <comment ref="AI19" authorId="0" shapeId="0">
      <text>
        <r>
          <rPr>
            <sz val="9"/>
            <color indexed="81"/>
            <rFont val="Tahoma"/>
            <family val="2"/>
          </rPr>
          <t>21.98984_Spectrum_Freq 10229072000Hz</t>
        </r>
      </text>
    </comment>
    <comment ref="AR19" authorId="0" shapeId="0">
      <text>
        <r>
          <rPr>
            <sz val="9"/>
            <color indexed="81"/>
            <rFont val="Tahoma"/>
            <family val="2"/>
          </rPr>
          <t>21.82028_Spectrum_Freq 10468752000Hz</t>
        </r>
      </text>
    </comment>
    <comment ref="BA19" authorId="0" shapeId="0">
      <text>
        <r>
          <rPr>
            <sz val="9"/>
            <color indexed="81"/>
            <rFont val="Tahoma"/>
            <family val="2"/>
          </rPr>
          <t>20.94708_Spectrum_Freq 10116540000Hz</t>
        </r>
      </text>
    </comment>
    <comment ref="BJ19" authorId="0" shapeId="0">
      <text>
        <r>
          <rPr>
            <sz val="9"/>
            <color indexed="81"/>
            <rFont val="Tahoma"/>
            <family val="2"/>
          </rPr>
          <t>20.87033_Spectrum_Freq 10438960000Hz</t>
        </r>
      </text>
    </comment>
    <comment ref="BS19" authorId="0" shapeId="0">
      <text>
        <r>
          <rPr>
            <sz val="9"/>
            <color indexed="81"/>
            <rFont val="Tahoma"/>
            <family val="2"/>
          </rPr>
          <t>21.72177_Spectrum_Freq 10067164800Hz</t>
        </r>
      </text>
    </comment>
    <comment ref="CB19" authorId="0" shapeId="0">
      <text>
        <r>
          <rPr>
            <sz val="9"/>
            <color indexed="81"/>
            <rFont val="Tahoma"/>
            <family val="2"/>
          </rPr>
          <t>21.44485_Spectrum_Freq 10455642400Hz</t>
        </r>
      </text>
    </comment>
    <comment ref="CK19" authorId="0" shapeId="0">
      <text>
        <r>
          <rPr>
            <sz val="9"/>
            <color indexed="81"/>
            <rFont val="Tahoma"/>
            <family val="2"/>
          </rPr>
          <t>20.76865_Spectrum_Freq 10132640000Hz</t>
        </r>
      </text>
    </comment>
    <comment ref="CT19" authorId="0" shapeId="0">
      <text>
        <r>
          <rPr>
            <sz val="9"/>
            <color indexed="81"/>
            <rFont val="Tahoma"/>
            <family val="2"/>
          </rPr>
          <t>20.76306_Spectrum_Freq 10195640000Hz</t>
        </r>
      </text>
    </comment>
    <comment ref="H20" authorId="0" shapeId="0">
      <text>
        <r>
          <rPr>
            <sz val="9"/>
            <color indexed="81"/>
            <rFont val="Tahoma"/>
            <family val="2"/>
          </rPr>
          <t>21.81454_Spectrum_Freq 10773120000Hz</t>
        </r>
      </text>
    </comment>
    <comment ref="Q20" authorId="0" shapeId="0">
      <text>
        <r>
          <rPr>
            <sz val="9"/>
            <color indexed="81"/>
            <rFont val="Tahoma"/>
            <family val="2"/>
          </rPr>
          <t>21.80826_Spectrum_Freq 11218338000Hz</t>
        </r>
      </text>
    </comment>
    <comment ref="Z20" authorId="0" shapeId="0">
      <text>
        <r>
          <rPr>
            <sz val="9"/>
            <color indexed="81"/>
            <rFont val="Tahoma"/>
            <family val="2"/>
          </rPr>
          <t>22.24866_Spectrum_Freq 10778100000Hz</t>
        </r>
      </text>
    </comment>
    <comment ref="AI20" authorId="0" shapeId="0">
      <text>
        <r>
          <rPr>
            <sz val="9"/>
            <color indexed="81"/>
            <rFont val="Tahoma"/>
            <family val="2"/>
          </rPr>
          <t>21.98306_Spectrum_Freq 10961838000Hz</t>
        </r>
      </text>
    </comment>
    <comment ref="AR20" authorId="0" shapeId="0">
      <text>
        <r>
          <rPr>
            <sz val="9"/>
            <color indexed="81"/>
            <rFont val="Tahoma"/>
            <family val="2"/>
          </rPr>
          <t>21.84088_Spectrum_Freq 11217192000Hz</t>
        </r>
      </text>
    </comment>
    <comment ref="BA20" authorId="0" shapeId="0">
      <text>
        <r>
          <rPr>
            <sz val="9"/>
            <color indexed="81"/>
            <rFont val="Tahoma"/>
            <family val="2"/>
          </rPr>
          <t>20.83514_Spectrum_Freq 10782075000Hz</t>
        </r>
      </text>
    </comment>
    <comment ref="BJ20" authorId="0" shapeId="0">
      <text>
        <r>
          <rPr>
            <sz val="9"/>
            <color indexed="81"/>
            <rFont val="Tahoma"/>
            <family val="2"/>
          </rPr>
          <t>20.85999_Spectrum_Freq 11215950000Hz</t>
        </r>
      </text>
    </comment>
    <comment ref="BS20" authorId="0" shapeId="0">
      <text>
        <r>
          <rPr>
            <sz val="9"/>
            <color indexed="81"/>
            <rFont val="Tahoma"/>
            <family val="2"/>
          </rPr>
          <t>21.71619_Spectrum_Freq 10786278000Hz</t>
        </r>
      </text>
    </comment>
    <comment ref="CB20" authorId="0" shapeId="0">
      <text>
        <r>
          <rPr>
            <sz val="9"/>
            <color indexed="81"/>
            <rFont val="Tahoma"/>
            <family val="2"/>
          </rPr>
          <t>21.44226_Spectrum_Freq 11204010000Hz</t>
        </r>
      </text>
    </comment>
    <comment ref="CK20" authorId="0" shapeId="0">
      <text>
        <r>
          <rPr>
            <sz val="9"/>
            <color indexed="81"/>
            <rFont val="Tahoma"/>
            <family val="2"/>
          </rPr>
          <t>20.88513_Spectrum_Freq 10793100000Hz</t>
        </r>
      </text>
    </comment>
    <comment ref="CT20" authorId="0" shapeId="0">
      <text>
        <r>
          <rPr>
            <sz val="9"/>
            <color indexed="81"/>
            <rFont val="Tahoma"/>
            <family val="2"/>
          </rPr>
          <t>20.76889_Spectrum_Freq 11216700000Hz</t>
        </r>
      </text>
    </comment>
    <comment ref="H21" authorId="0" shapeId="0">
      <text>
        <r>
          <rPr>
            <sz val="9"/>
            <color indexed="81"/>
            <rFont val="Tahoma"/>
            <family val="2"/>
          </rPr>
          <t>21.81885_Spectrum_Freq 11492435200Hz</t>
        </r>
      </text>
    </comment>
    <comment ref="Q21" authorId="0" shapeId="0">
      <text>
        <r>
          <rPr>
            <sz val="9"/>
            <color indexed="81"/>
            <rFont val="Tahoma"/>
            <family val="2"/>
          </rPr>
          <t>21.89496_Spectrum_Freq 11966451200Hz</t>
        </r>
      </text>
    </comment>
    <comment ref="Z21" authorId="0" shapeId="0">
      <text>
        <r>
          <rPr>
            <sz val="9"/>
            <color indexed="81"/>
            <rFont val="Tahoma"/>
            <family val="2"/>
          </rPr>
          <t>21.9133_Spectrum_Freq 11494368000Hz</t>
        </r>
      </text>
    </comment>
    <comment ref="AI21" authorId="0" shapeId="0">
      <text>
        <r>
          <rPr>
            <sz val="9"/>
            <color indexed="81"/>
            <rFont val="Tahoma"/>
            <family val="2"/>
          </rPr>
          <t>21.97128_Spectrum_Freq 11695200000Hz</t>
        </r>
      </text>
    </comment>
    <comment ref="AR21" authorId="0" shapeId="0">
      <text>
        <r>
          <rPr>
            <sz val="9"/>
            <color indexed="81"/>
            <rFont val="Tahoma"/>
            <family val="2"/>
          </rPr>
          <t>21.92087_Spectrum_Freq 11961004800Hz</t>
        </r>
      </text>
    </comment>
    <comment ref="BA21" authorId="0" shapeId="0">
      <text>
        <r>
          <rPr>
            <sz val="9"/>
            <color indexed="81"/>
            <rFont val="Tahoma"/>
            <family val="2"/>
          </rPr>
          <t>20.95175_Spectrum_Freq 11490400000Hz</t>
        </r>
      </text>
    </comment>
    <comment ref="BJ21" authorId="0" shapeId="0">
      <text>
        <r>
          <rPr>
            <sz val="9"/>
            <color indexed="81"/>
            <rFont val="Tahoma"/>
            <family val="2"/>
          </rPr>
          <t>20.86163_Spectrum_Freq 11963360000Hz</t>
        </r>
      </text>
    </comment>
    <comment ref="BS21" authorId="0" shapeId="0">
      <text>
        <r>
          <rPr>
            <sz val="9"/>
            <color indexed="81"/>
            <rFont val="Tahoma"/>
            <family val="2"/>
          </rPr>
          <t>21.71808_Spectrum_Freq 11506924800Hz</t>
        </r>
      </text>
    </comment>
    <comment ref="CB21" authorId="0" shapeId="0">
      <text>
        <r>
          <rPr>
            <sz val="9"/>
            <color indexed="81"/>
            <rFont val="Tahoma"/>
            <family val="2"/>
          </rPr>
          <t>21.80069_Spectrum_Freq 11949932800Hz</t>
        </r>
      </text>
    </comment>
    <comment ref="CK21" authorId="0" shapeId="0">
      <text>
        <r>
          <rPr>
            <sz val="9"/>
            <color indexed="81"/>
            <rFont val="Tahoma"/>
            <family val="2"/>
          </rPr>
          <t>20.77969_Spectrum_Freq 11801920000Hz</t>
        </r>
      </text>
    </comment>
    <comment ref="CT21" authorId="0" shapeId="0">
      <text>
        <r>
          <rPr>
            <sz val="9"/>
            <color indexed="81"/>
            <rFont val="Tahoma"/>
            <family val="2"/>
          </rPr>
          <t>20.77231_Spectrum_Freq 11958080000Hz</t>
        </r>
      </text>
    </comment>
    <comment ref="H22" authorId="0" shapeId="0">
      <text>
        <r>
          <rPr>
            <sz val="9"/>
            <color indexed="81"/>
            <rFont val="Tahoma"/>
            <family val="2"/>
          </rPr>
          <t>21.79922_Spectrum_Freq 12209440800Hz</t>
        </r>
      </text>
    </comment>
    <comment ref="Q22" authorId="0" shapeId="0">
      <text>
        <r>
          <rPr>
            <sz val="9"/>
            <color indexed="81"/>
            <rFont val="Tahoma"/>
            <family val="2"/>
          </rPr>
          <t>21.80478_Spectrum_Freq 12710152000Hz</t>
        </r>
      </text>
    </comment>
    <comment ref="Z22" authorId="0" shapeId="0">
      <text>
        <r>
          <rPr>
            <sz val="9"/>
            <color indexed="81"/>
            <rFont val="Tahoma"/>
            <family val="2"/>
          </rPr>
          <t>21.91818_Spectrum_Freq 12211229200Hz</t>
        </r>
      </text>
    </comment>
    <comment ref="AI22" authorId="0" shapeId="0">
      <text>
        <r>
          <rPr>
            <sz val="9"/>
            <color indexed="81"/>
            <rFont val="Tahoma"/>
            <family val="2"/>
          </rPr>
          <t>21.90253_Spectrum_Freq 12423226000Hz</t>
        </r>
      </text>
    </comment>
    <comment ref="AR22" authorId="0" shapeId="0">
      <text>
        <r>
          <rPr>
            <sz val="9"/>
            <color indexed="81"/>
            <rFont val="Tahoma"/>
            <family val="2"/>
          </rPr>
          <t>21.92496_Spectrum_Freq 12707051200Hz</t>
        </r>
      </text>
    </comment>
    <comment ref="BA22" authorId="0" shapeId="0">
      <text>
        <r>
          <rPr>
            <sz val="9"/>
            <color indexed="81"/>
            <rFont val="Tahoma"/>
            <family val="2"/>
          </rPr>
          <t>20.95181_Spectrum_Freq 12282925000Hz</t>
        </r>
      </text>
    </comment>
    <comment ref="BJ22" authorId="0" shapeId="0">
      <text>
        <r>
          <rPr>
            <sz val="9"/>
            <color indexed="81"/>
            <rFont val="Tahoma"/>
            <family val="2"/>
          </rPr>
          <t>20.85794_Spectrum_Freq 12654375000Hz</t>
        </r>
      </text>
    </comment>
    <comment ref="BS22" authorId="0" shapeId="0">
      <text>
        <r>
          <rPr>
            <sz val="9"/>
            <color indexed="81"/>
            <rFont val="Tahoma"/>
            <family val="2"/>
          </rPr>
          <t>21.72064_Spectrum_Freq 12227168400Hz</t>
        </r>
      </text>
    </comment>
    <comment ref="CB22" authorId="0" shapeId="0">
      <text>
        <r>
          <rPr>
            <sz val="9"/>
            <color indexed="81"/>
            <rFont val="Tahoma"/>
            <family val="2"/>
          </rPr>
          <t>21.78635_Spectrum_Freq 12694784000Hz</t>
        </r>
      </text>
    </comment>
    <comment ref="CK22" authorId="0" shapeId="0">
      <text>
        <r>
          <rPr>
            <sz val="9"/>
            <color indexed="81"/>
            <rFont val="Tahoma"/>
            <family val="2"/>
          </rPr>
          <t>20.91339_Spectrum_Freq 12542940000Hz</t>
        </r>
      </text>
    </comment>
    <comment ref="CT22" authorId="0" shapeId="0">
      <text>
        <r>
          <rPr>
            <sz val="9"/>
            <color indexed="81"/>
            <rFont val="Tahoma"/>
            <family val="2"/>
          </rPr>
          <t>20.78223_Spectrum_Freq 12659220000Hz</t>
        </r>
      </text>
    </comment>
  </commentList>
</comments>
</file>

<file path=xl/comments18.xml><?xml version="1.0" encoding="utf-8"?>
<comments xmlns="http://schemas.openxmlformats.org/spreadsheetml/2006/main">
  <authors>
    <author>Long, WANG (HW-NB-TCT)</author>
  </authors>
  <commentList>
    <comment ref="H8" authorId="0" shapeId="0">
      <text>
        <r>
          <rPr>
            <sz val="9"/>
            <color indexed="81"/>
            <rFont val="Tahoma"/>
            <family val="2"/>
          </rPr>
          <t>23.5939_Spectrum_Freq 4610612800Hz</t>
        </r>
      </text>
    </comment>
    <comment ref="Q8" authorId="0" shapeId="0">
      <text>
        <r>
          <rPr>
            <sz val="9"/>
            <color indexed="81"/>
            <rFont val="Tahoma"/>
            <family val="2"/>
          </rPr>
          <t>23.39615_Spectrum_Freq 4615657600Hz</t>
        </r>
      </text>
    </comment>
    <comment ref="Z8" authorId="0" shapeId="0">
      <text>
        <r>
          <rPr>
            <sz val="9"/>
            <color indexed="81"/>
            <rFont val="Tahoma"/>
            <family val="2"/>
          </rPr>
          <t>23.10559_Spectrum_Freq 4629319200Hz</t>
        </r>
      </text>
    </comment>
    <comment ref="AI8" authorId="0" shapeId="0">
      <text>
        <r>
          <rPr>
            <sz val="9"/>
            <color indexed="81"/>
            <rFont val="Tahoma"/>
            <family val="2"/>
          </rPr>
          <t>22.22482_Spectrum_Freq 4614620000Hz</t>
        </r>
      </text>
    </comment>
    <comment ref="AR8" authorId="0" shapeId="0">
      <text>
        <r>
          <rPr>
            <sz val="9"/>
            <color indexed="81"/>
            <rFont val="Tahoma"/>
            <family val="2"/>
          </rPr>
          <t>22.28387_Spectrum_Freq 4623540000Hz</t>
        </r>
      </text>
    </comment>
    <comment ref="BA8" authorId="0" shapeId="0">
      <text>
        <r>
          <rPr>
            <sz val="9"/>
            <color indexed="81"/>
            <rFont val="Tahoma"/>
            <family val="2"/>
          </rPr>
          <t>23.77679_Spectrum_Freq 4629036000Hz</t>
        </r>
      </text>
    </comment>
    <comment ref="BJ8" authorId="0" shapeId="0">
      <text>
        <r>
          <rPr>
            <sz val="9"/>
            <color indexed="81"/>
            <rFont val="Tahoma"/>
            <family val="2"/>
          </rPr>
          <t>22.94791_Spectrum_Freq 4628800800Hz</t>
        </r>
      </text>
    </comment>
    <comment ref="BS8" authorId="0" shapeId="0">
      <text>
        <r>
          <rPr>
            <sz val="9"/>
            <color indexed="81"/>
            <rFont val="Tahoma"/>
            <family val="2"/>
          </rPr>
          <t>23.31723_Spectrum_Freq 4628767200Hz</t>
        </r>
      </text>
    </comment>
    <comment ref="CB8" authorId="0" shapeId="0">
      <text>
        <r>
          <rPr>
            <sz val="9"/>
            <color indexed="81"/>
            <rFont val="Tahoma"/>
            <family val="2"/>
          </rPr>
          <t>22.21042_Spectrum_Freq 4628429600Hz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23.57034_Spectrum_Freq 6916138800Hz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23.62683_Spectrum_Freq 6923982000Hz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23.18674_Spectrum_Freq 6944104800Hz</t>
        </r>
      </text>
    </comment>
    <comment ref="AI9" authorId="0" shapeId="0">
      <text>
        <r>
          <rPr>
            <sz val="9"/>
            <color indexed="81"/>
            <rFont val="Tahoma"/>
            <family val="2"/>
          </rPr>
          <t>22.28024_Spectrum_Freq 6928080000Hz</t>
        </r>
      </text>
    </comment>
    <comment ref="AR9" authorId="0" shapeId="0">
      <text>
        <r>
          <rPr>
            <sz val="9"/>
            <color indexed="81"/>
            <rFont val="Tahoma"/>
            <family val="2"/>
          </rPr>
          <t>22.27563_Spectrum_Freq 6944055000Hz</t>
        </r>
      </text>
    </comment>
    <comment ref="BA9" authorId="0" shapeId="0">
      <text>
        <r>
          <rPr>
            <sz val="9"/>
            <color indexed="81"/>
            <rFont val="Tahoma"/>
            <family val="2"/>
          </rPr>
          <t>23.51001_Spectrum_Freq 6943700400Hz</t>
        </r>
      </text>
    </comment>
    <comment ref="BJ9" authorId="0" shapeId="0">
      <text>
        <r>
          <rPr>
            <sz val="9"/>
            <color indexed="81"/>
            <rFont val="Tahoma"/>
            <family val="2"/>
          </rPr>
          <t>23.36987_Spectrum_Freq 6943783200Hz</t>
        </r>
      </text>
    </comment>
    <comment ref="BS9" authorId="0" shapeId="0">
      <text>
        <r>
          <rPr>
            <sz val="9"/>
            <color indexed="81"/>
            <rFont val="Tahoma"/>
            <family val="2"/>
          </rPr>
          <t>23.15213_Spectrum_Freq 6943332000Hz</t>
        </r>
      </text>
    </comment>
    <comment ref="CB9" authorId="0" shapeId="0">
      <text>
        <r>
          <rPr>
            <sz val="9"/>
            <color indexed="81"/>
            <rFont val="Tahoma"/>
            <family val="2"/>
          </rPr>
          <t>22.53079_Spectrum_Freq 6942909600Hz</t>
        </r>
      </text>
    </comment>
    <comment ref="H10" authorId="0" shapeId="0">
      <text>
        <r>
          <rPr>
            <sz val="9"/>
            <color indexed="81"/>
            <rFont val="Tahoma"/>
            <family val="2"/>
          </rPr>
          <t>23.18207_Spectrum_Freq 9221297600Hz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>23.61978_Spectrum_Freq 9231155200Hz</t>
        </r>
      </text>
    </comment>
    <comment ref="Z10" authorId="0" shapeId="0">
      <text>
        <r>
          <rPr>
            <sz val="9"/>
            <color indexed="81"/>
            <rFont val="Tahoma"/>
            <family val="2"/>
          </rPr>
          <t>23.26077_Spectrum_Freq 9259009600Hz</t>
        </r>
      </text>
    </comment>
    <comment ref="AI10" authorId="0" shapeId="0">
      <text>
        <r>
          <rPr>
            <sz val="9"/>
            <color indexed="81"/>
            <rFont val="Tahoma"/>
            <family val="2"/>
          </rPr>
          <t>22.23026_Spectrum_Freq 9226480000Hz</t>
        </r>
      </text>
    </comment>
    <comment ref="AR10" authorId="0" shapeId="0">
      <text>
        <r>
          <rPr>
            <sz val="9"/>
            <color indexed="81"/>
            <rFont val="Tahoma"/>
            <family val="2"/>
          </rPr>
          <t>22.27219_Spectrum_Freq 9241960000Hz</t>
        </r>
      </text>
    </comment>
    <comment ref="BA10" authorId="0" shapeId="0">
      <text>
        <r>
          <rPr>
            <sz val="9"/>
            <color indexed="81"/>
            <rFont val="Tahoma"/>
            <family val="2"/>
          </rPr>
          <t>23.49802_Spectrum_Freq 9258241600Hz</t>
        </r>
      </text>
    </comment>
    <comment ref="BJ10" authorId="0" shapeId="0">
      <text>
        <r>
          <rPr>
            <sz val="9"/>
            <color indexed="81"/>
            <rFont val="Tahoma"/>
            <family val="2"/>
          </rPr>
          <t>23.36102_Spectrum_Freq 9258059200Hz</t>
        </r>
      </text>
    </comment>
    <comment ref="BS10" authorId="0" shapeId="0">
      <text>
        <r>
          <rPr>
            <sz val="9"/>
            <color indexed="81"/>
            <rFont val="Tahoma"/>
            <family val="2"/>
          </rPr>
          <t>23.30713_Spectrum_Freq 9257452800Hz</t>
        </r>
      </text>
    </comment>
    <comment ref="CB10" authorId="0" shapeId="0">
      <text>
        <r>
          <rPr>
            <sz val="9"/>
            <color indexed="81"/>
            <rFont val="Tahoma"/>
            <family val="2"/>
          </rPr>
          <t>22.48267_Spectrum_Freq 9258156800Hz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23.17557_Spectrum_Freq 11526156000Hz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>23.43674_Spectrum_Freq 11539262000Hz</t>
        </r>
      </text>
    </comment>
    <comment ref="Z11" authorId="0" shapeId="0">
      <text>
        <r>
          <rPr>
            <sz val="9"/>
            <color indexed="81"/>
            <rFont val="Tahoma"/>
            <family val="2"/>
          </rPr>
          <t>23.17822_Spectrum_Freq 11572502000Hz</t>
        </r>
      </text>
    </comment>
    <comment ref="AI11" authorId="0" shapeId="0">
      <text>
        <r>
          <rPr>
            <sz val="9"/>
            <color indexed="81"/>
            <rFont val="Tahoma"/>
            <family val="2"/>
          </rPr>
          <t>22.28506_Spectrum_Freq 11528400000Hz</t>
        </r>
      </text>
    </comment>
    <comment ref="AR11" authorId="0" shapeId="0">
      <text>
        <r>
          <rPr>
            <sz val="9"/>
            <color indexed="81"/>
            <rFont val="Tahoma"/>
            <family val="2"/>
          </rPr>
          <t>22.27774_Spectrum_Freq 11550650000Hz</t>
        </r>
      </text>
    </comment>
    <comment ref="BA11" authorId="0" shapeId="0">
      <text>
        <r>
          <rPr>
            <sz val="9"/>
            <color indexed="81"/>
            <rFont val="Tahoma"/>
            <family val="2"/>
          </rPr>
          <t>23.49146_Spectrum_Freq 11571706000Hz</t>
        </r>
      </text>
    </comment>
    <comment ref="BJ11" authorId="0" shapeId="0">
      <text>
        <r>
          <rPr>
            <sz val="9"/>
            <color indexed="81"/>
            <rFont val="Tahoma"/>
            <family val="2"/>
          </rPr>
          <t>22.92676_Spectrum_Freq 11573016000Hz</t>
        </r>
      </text>
    </comment>
    <comment ref="BS11" authorId="0" shapeId="0">
      <text>
        <r>
          <rPr>
            <sz val="9"/>
            <color indexed="81"/>
            <rFont val="Tahoma"/>
            <family val="2"/>
          </rPr>
          <t>23.15012_Spectrum_Freq 11572810000Hz</t>
        </r>
      </text>
    </comment>
    <comment ref="CB11" authorId="0" shapeId="0">
      <text>
        <r>
          <rPr>
            <sz val="9"/>
            <color indexed="81"/>
            <rFont val="Tahoma"/>
            <family val="2"/>
          </rPr>
          <t>22.45273_Spectrum_Freq 11572700000Hz</t>
        </r>
      </text>
    </comment>
  </commentList>
</comments>
</file>

<file path=xl/comments19.xml><?xml version="1.0" encoding="utf-8"?>
<comments xmlns="http://schemas.openxmlformats.org/spreadsheetml/2006/main">
  <authors>
    <author>Long, WANG (HW-NB-TCT)</author>
  </authors>
  <commentList>
    <comment ref="H7" authorId="0" shapeId="0">
      <text>
        <r>
          <rPr>
            <sz val="9"/>
            <color indexed="81"/>
            <rFont val="Tahoma"/>
            <family val="2"/>
          </rPr>
          <t>23.75555_Spectrum_Freq 5140652000Hz</t>
        </r>
      </text>
    </comment>
    <comment ref="Q7" authorId="0" shapeId="0">
      <text>
        <r>
          <rPr>
            <sz val="9"/>
            <color indexed="81"/>
            <rFont val="Tahoma"/>
            <family val="2"/>
          </rPr>
          <t>24.13486_Spectrum_Freq 5185652000Hz</t>
        </r>
      </text>
    </comment>
    <comment ref="Z7" authorId="0" shapeId="0">
      <text>
        <r>
          <rPr>
            <sz val="9"/>
            <color indexed="81"/>
            <rFont val="Tahoma"/>
            <family val="2"/>
          </rPr>
          <t>23.74362_Spectrum_Freq 5239244800Hz</t>
        </r>
      </text>
    </comment>
    <comment ref="AI7" authorId="0" shapeId="0">
      <text>
        <r>
          <rPr>
            <sz val="9"/>
            <color indexed="81"/>
            <rFont val="Tahoma"/>
            <family val="2"/>
          </rPr>
          <t>22.68292_Spectrum_Freq 5145220000Hz</t>
        </r>
      </text>
    </comment>
    <comment ref="AR7" authorId="0" shapeId="0">
      <text>
        <r>
          <rPr>
            <sz val="9"/>
            <color indexed="81"/>
            <rFont val="Tahoma"/>
            <family val="2"/>
          </rPr>
          <t>23.05609_Spectrum_Freq 5235140000Hz</t>
        </r>
      </text>
    </comment>
    <comment ref="BA7" authorId="0" shapeId="0">
      <text>
        <r>
          <rPr>
            <sz val="9"/>
            <color indexed="81"/>
            <rFont val="Tahoma"/>
            <family val="2"/>
          </rPr>
          <t>24.31113_Spectrum_Freq 5142068000Hz</t>
        </r>
      </text>
    </comment>
    <comment ref="BJ7" authorId="0" shapeId="0">
      <text>
        <r>
          <rPr>
            <sz val="9"/>
            <color indexed="81"/>
            <rFont val="Tahoma"/>
            <family val="2"/>
          </rPr>
          <t>24.05261_Spectrum_Freq 5237752800Hz</t>
        </r>
      </text>
    </comment>
    <comment ref="BS7" authorId="0" shapeId="0">
      <text>
        <r>
          <rPr>
            <sz val="9"/>
            <color indexed="81"/>
            <rFont val="Tahoma"/>
            <family val="2"/>
          </rPr>
          <t>22.83932_Spectrum_Freq 5156360000Hz</t>
        </r>
      </text>
    </comment>
    <comment ref="CB7" authorId="0" shapeId="0">
      <text>
        <r>
          <rPr>
            <sz val="9"/>
            <color indexed="81"/>
            <rFont val="Tahoma"/>
            <family val="2"/>
          </rPr>
          <t>23.15182_Spectrum_Freq 5225920000Hz</t>
        </r>
      </text>
    </comment>
    <comment ref="H8" authorId="0" shapeId="0">
      <text>
        <r>
          <rPr>
            <sz val="9"/>
            <color indexed="81"/>
            <rFont val="Tahoma"/>
            <family val="2"/>
          </rPr>
          <t>23.72769_Spectrum_Freq 7710978000Hz</t>
        </r>
      </text>
    </comment>
    <comment ref="Q8" authorId="0" shapeId="0">
      <text>
        <r>
          <rPr>
            <sz val="9"/>
            <color indexed="81"/>
            <rFont val="Tahoma"/>
            <family val="2"/>
          </rPr>
          <t>24.12216_Spectrum_Freq 7778324400Hz</t>
        </r>
      </text>
    </comment>
    <comment ref="Z8" authorId="0" shapeId="0">
      <text>
        <r>
          <rPr>
            <sz val="9"/>
            <color indexed="81"/>
            <rFont val="Tahoma"/>
            <family val="2"/>
          </rPr>
          <t>23.99695_Spectrum_Freq 7858938000Hz</t>
        </r>
      </text>
    </comment>
    <comment ref="AI8" authorId="0" shapeId="0">
      <text>
        <r>
          <rPr>
            <sz val="9"/>
            <color indexed="81"/>
            <rFont val="Tahoma"/>
            <family val="2"/>
          </rPr>
          <t>22.6792_Spectrum_Freq 7719435000Hz</t>
        </r>
      </text>
    </comment>
    <comment ref="AR8" authorId="0" shapeId="0">
      <text>
        <r>
          <rPr>
            <sz val="9"/>
            <color indexed="81"/>
            <rFont val="Tahoma"/>
            <family val="2"/>
          </rPr>
          <t>22.8541_Spectrum_Freq 7851240000Hz</t>
        </r>
      </text>
    </comment>
    <comment ref="BA8" authorId="0" shapeId="0">
      <text>
        <r>
          <rPr>
            <sz val="9"/>
            <color indexed="81"/>
            <rFont val="Tahoma"/>
            <family val="2"/>
          </rPr>
          <t>24.10541_Spectrum_Freq 7713169200Hz</t>
        </r>
      </text>
    </comment>
    <comment ref="BJ8" authorId="0" shapeId="0">
      <text>
        <r>
          <rPr>
            <sz val="9"/>
            <color indexed="81"/>
            <rFont val="Tahoma"/>
            <family val="2"/>
          </rPr>
          <t>24.11139_Spectrum_Freq 7856629200Hz</t>
        </r>
      </text>
    </comment>
    <comment ref="BS8" authorId="0" shapeId="0">
      <text>
        <r>
          <rPr>
            <sz val="9"/>
            <color indexed="81"/>
            <rFont val="Tahoma"/>
            <family val="2"/>
          </rPr>
          <t>22.74966_Spectrum_Freq 7718160000Hz</t>
        </r>
      </text>
    </comment>
    <comment ref="CB8" authorId="0" shapeId="0">
      <text>
        <r>
          <rPr>
            <sz val="9"/>
            <color indexed="81"/>
            <rFont val="Tahoma"/>
            <family val="2"/>
          </rPr>
          <t>23.32437_Spectrum_Freq 7833360000Hz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23.90057_Spectrum_Freq 10281244800Hz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24.11166_Spectrum_Freq 10370992000Hz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23.67874_Spectrum_Freq 10478766400Hz</t>
        </r>
      </text>
    </comment>
    <comment ref="AI9" authorId="0" shapeId="0">
      <text>
        <r>
          <rPr>
            <sz val="9"/>
            <color indexed="81"/>
            <rFont val="Tahoma"/>
            <family val="2"/>
          </rPr>
          <t>22.6925_Spectrum_Freq 10290200000Hz</t>
        </r>
      </text>
    </comment>
    <comment ref="AR9" authorId="0" shapeId="0">
      <text>
        <r>
          <rPr>
            <sz val="9"/>
            <color indexed="81"/>
            <rFont val="Tahoma"/>
            <family val="2"/>
          </rPr>
          <t>22.85059_Spectrum_Freq 10478420000Hz</t>
        </r>
      </text>
    </comment>
    <comment ref="BA9" authorId="0" shapeId="0">
      <text>
        <r>
          <rPr>
            <sz val="9"/>
            <color indexed="81"/>
            <rFont val="Tahoma"/>
            <family val="2"/>
          </rPr>
          <t>24.24329_Spectrum_Freq 10285147200Hz</t>
        </r>
      </text>
    </comment>
    <comment ref="BJ9" authorId="0" shapeId="0">
      <text>
        <r>
          <rPr>
            <sz val="9"/>
            <color indexed="81"/>
            <rFont val="Tahoma"/>
            <family val="2"/>
          </rPr>
          <t>24.16525_Spectrum_Freq 10475708800Hz</t>
        </r>
      </text>
    </comment>
    <comment ref="BS9" authorId="0" shapeId="0">
      <text>
        <r>
          <rPr>
            <sz val="9"/>
            <color indexed="81"/>
            <rFont val="Tahoma"/>
            <family val="2"/>
          </rPr>
          <t>22.73767_Spectrum_Freq 10354400000Hz</t>
        </r>
      </text>
    </comment>
    <comment ref="CB9" authorId="0" shapeId="0">
      <text>
        <r>
          <rPr>
            <sz val="9"/>
            <color indexed="81"/>
            <rFont val="Tahoma"/>
            <family val="2"/>
          </rPr>
          <t>23.22473_Spectrum_Freq 10440160000Hz</t>
        </r>
      </text>
    </comment>
  </commentList>
</comments>
</file>

<file path=xl/comments20.xml><?xml version="1.0" encoding="utf-8"?>
<comments xmlns="http://schemas.openxmlformats.org/spreadsheetml/2006/main">
  <authors>
    <author>Long, WANG (HW-NB-TCT)</author>
  </authors>
  <commentList>
    <comment ref="H7" authorId="0" shapeId="0">
      <text>
        <r>
          <rPr>
            <sz val="9"/>
            <color indexed="81"/>
            <rFont val="Tahoma"/>
            <family val="2"/>
          </rPr>
          <t>22.60764_Spectrum_Freq 3760705600Hz</t>
        </r>
      </text>
    </comment>
    <comment ref="Q7" authorId="0" shapeId="0">
      <text>
        <r>
          <rPr>
            <sz val="9"/>
            <color indexed="81"/>
            <rFont val="Tahoma"/>
            <family val="2"/>
          </rPr>
          <t>22.98584_Spectrum_Freq 3795670400Hz</t>
        </r>
      </text>
    </comment>
    <comment ref="Z7" authorId="0" shapeId="0">
      <text>
        <r>
          <rPr>
            <sz val="9"/>
            <color indexed="81"/>
            <rFont val="Tahoma"/>
            <family val="2"/>
          </rPr>
          <t>22.97131_Spectrum_Freq 3839311200Hz</t>
        </r>
      </text>
    </comment>
    <comment ref="AI7" authorId="0" shapeId="0">
      <text>
        <r>
          <rPr>
            <sz val="9"/>
            <color indexed="81"/>
            <rFont val="Tahoma"/>
            <family val="2"/>
          </rPr>
          <t>21.84814_Spectrum_Freq 3765040000Hz</t>
        </r>
      </text>
    </comment>
    <comment ref="AR7" authorId="0" shapeId="0">
      <text>
        <r>
          <rPr>
            <sz val="9"/>
            <color indexed="81"/>
            <rFont val="Tahoma"/>
            <family val="2"/>
          </rPr>
          <t>21.91818_Spectrum_Freq 3835040000Hz</t>
        </r>
      </text>
    </comment>
    <comment ref="BA7" authorId="0" shapeId="0">
      <text>
        <r>
          <rPr>
            <sz val="9"/>
            <color indexed="81"/>
            <rFont val="Tahoma"/>
            <family val="2"/>
          </rPr>
          <t>23.64151_Spectrum_Freq 3762082400Hz</t>
        </r>
      </text>
    </comment>
    <comment ref="BJ7" authorId="0" shapeId="0">
      <text>
        <r>
          <rPr>
            <sz val="9"/>
            <color indexed="81"/>
            <rFont val="Tahoma"/>
            <family val="2"/>
          </rPr>
          <t>23.10184_Spectrum_Freq 3837740800Hz</t>
        </r>
      </text>
    </comment>
    <comment ref="BS7" authorId="0" shapeId="0">
      <text>
        <r>
          <rPr>
            <sz val="9"/>
            <color indexed="81"/>
            <rFont val="Tahoma"/>
            <family val="2"/>
          </rPr>
          <t>21.98044_Spectrum_Freq 3776400000Hz</t>
        </r>
      </text>
    </comment>
    <comment ref="CB7" authorId="0" shapeId="0">
      <text>
        <r>
          <rPr>
            <sz val="9"/>
            <color indexed="81"/>
            <rFont val="Tahoma"/>
            <family val="2"/>
          </rPr>
          <t>22.10956_Spectrum_Freq 3815200000Hz</t>
        </r>
      </text>
    </comment>
    <comment ref="H8" authorId="0" shapeId="0">
      <text>
        <r>
          <rPr>
            <sz val="9"/>
            <color indexed="81"/>
            <rFont val="Tahoma"/>
            <family val="2"/>
          </rPr>
          <t>22.69812_Spectrum_Freq 5640620400Hz</t>
        </r>
      </text>
    </comment>
    <comment ref="Q8" authorId="0" shapeId="0">
      <text>
        <r>
          <rPr>
            <sz val="9"/>
            <color indexed="81"/>
            <rFont val="Tahoma"/>
            <family val="2"/>
          </rPr>
          <t>22.97818_Spectrum_Freq 5693041200Hz</t>
        </r>
      </text>
    </comment>
    <comment ref="Z8" authorId="0" shapeId="0">
      <text>
        <r>
          <rPr>
            <sz val="9"/>
            <color indexed="81"/>
            <rFont val="Tahoma"/>
            <family val="2"/>
          </rPr>
          <t>22.9682_Spectrum_Freq 5759041200Hz</t>
        </r>
      </text>
    </comment>
    <comment ref="AI8" authorId="0" shapeId="0">
      <text>
        <r>
          <rPr>
            <sz val="9"/>
            <color indexed="81"/>
            <rFont val="Tahoma"/>
            <family val="2"/>
          </rPr>
          <t>21.84323_Spectrum_Freq 5640660000Hz</t>
        </r>
      </text>
    </comment>
    <comment ref="AR8" authorId="0" shapeId="0">
      <text>
        <r>
          <rPr>
            <sz val="9"/>
            <color indexed="81"/>
            <rFont val="Tahoma"/>
            <family val="2"/>
          </rPr>
          <t>22.03027_Spectrum_Freq 5756775000Hz</t>
        </r>
      </text>
    </comment>
    <comment ref="BA8" authorId="0" shapeId="0">
      <text>
        <r>
          <rPr>
            <sz val="9"/>
            <color indexed="81"/>
            <rFont val="Tahoma"/>
            <family val="2"/>
          </rPr>
          <t>23.5029_Spectrum_Freq 5643344400Hz</t>
        </r>
      </text>
    </comment>
    <comment ref="BJ8" authorId="0" shapeId="0">
      <text>
        <r>
          <rPr>
            <sz val="9"/>
            <color indexed="81"/>
            <rFont val="Tahoma"/>
            <family val="2"/>
          </rPr>
          <t>23.24756_Spectrum_Freq 5756217600Hz</t>
        </r>
      </text>
    </comment>
    <comment ref="BS8" authorId="0" shapeId="0">
      <text>
        <r>
          <rPr>
            <sz val="9"/>
            <color indexed="81"/>
            <rFont val="Tahoma"/>
            <family val="2"/>
          </rPr>
          <t>21.98184_Spectrum_Freq 5649060000Hz</t>
        </r>
      </text>
    </comment>
    <comment ref="CB8" authorId="0" shapeId="0">
      <text>
        <r>
          <rPr>
            <sz val="9"/>
            <color indexed="81"/>
            <rFont val="Tahoma"/>
            <family val="2"/>
          </rPr>
          <t>22.10461_Spectrum_Freq 5711040000Hz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22.69952_Spectrum_Freq 7521411200Hz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22.87506_Spectrum_Freq 7591500800Hz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23.06363_Spectrum_Freq 7678513600Hz</t>
        </r>
      </text>
    </comment>
    <comment ref="AI9" authorId="0" shapeId="0">
      <text>
        <r>
          <rPr>
            <sz val="9"/>
            <color indexed="81"/>
            <rFont val="Tahoma"/>
            <family val="2"/>
          </rPr>
          <t>21.72424_Spectrum_Freq 7530220000Hz</t>
        </r>
      </text>
    </comment>
    <comment ref="AR9" authorId="0" shapeId="0">
      <text>
        <r>
          <rPr>
            <sz val="9"/>
            <color indexed="81"/>
            <rFont val="Tahoma"/>
            <family val="2"/>
          </rPr>
          <t>22.02686_Spectrum_Freq 7678340000Hz</t>
        </r>
      </text>
    </comment>
    <comment ref="BA9" authorId="0" shapeId="0">
      <text>
        <r>
          <rPr>
            <sz val="9"/>
            <color indexed="81"/>
            <rFont val="Tahoma"/>
            <family val="2"/>
          </rPr>
          <t>23.69772_Spectrum_Freq 7524115200Hz</t>
        </r>
      </text>
    </comment>
    <comment ref="BJ9" authorId="0" shapeId="0">
      <text>
        <r>
          <rPr>
            <sz val="9"/>
            <color indexed="81"/>
            <rFont val="Tahoma"/>
            <family val="2"/>
          </rPr>
          <t>23.2309_Spectrum_Freq 7675867200Hz</t>
        </r>
      </text>
    </comment>
    <comment ref="BS9" authorId="0" shapeId="0">
      <text>
        <r>
          <rPr>
            <sz val="9"/>
            <color indexed="81"/>
            <rFont val="Tahoma"/>
            <family val="2"/>
          </rPr>
          <t>22.0755_Spectrum_Freq 7587120000Hz</t>
        </r>
      </text>
    </comment>
    <comment ref="CB9" authorId="0" shapeId="0">
      <text>
        <r>
          <rPr>
            <sz val="9"/>
            <color indexed="81"/>
            <rFont val="Tahoma"/>
            <family val="2"/>
          </rPr>
          <t>22.01279_Spectrum_Freq 7608880000Hz</t>
        </r>
      </text>
    </comment>
    <comment ref="H10" authorId="0" shapeId="0">
      <text>
        <r>
          <rPr>
            <sz val="9"/>
            <color indexed="81"/>
            <rFont val="Tahoma"/>
            <family val="2"/>
          </rPr>
          <t>22.68533_Spectrum_Freq 9401678000Hz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>22.95831_Spectrum_Freq 9489342000Hz</t>
        </r>
      </text>
    </comment>
    <comment ref="Z10" authorId="0" shapeId="0">
      <text>
        <r>
          <rPr>
            <sz val="9"/>
            <color indexed="81"/>
            <rFont val="Tahoma"/>
            <family val="2"/>
          </rPr>
          <t>22.84769_Spectrum_Freq 9598210000Hz</t>
        </r>
      </text>
    </comment>
    <comment ref="AI10" authorId="0" shapeId="0">
      <text>
        <r>
          <rPr>
            <sz val="9"/>
            <color indexed="81"/>
            <rFont val="Tahoma"/>
            <family val="2"/>
          </rPr>
          <t>21.73203_Spectrum_Freq 9413850000Hz</t>
        </r>
      </text>
    </comment>
    <comment ref="AR10" authorId="0" shapeId="0">
      <text>
        <r>
          <rPr>
            <sz val="9"/>
            <color indexed="81"/>
            <rFont val="Tahoma"/>
            <family val="2"/>
          </rPr>
          <t>22.01999_Spectrum_Freq 9580700000Hz</t>
        </r>
      </text>
    </comment>
    <comment ref="BA10" authorId="0" shapeId="0">
      <text>
        <r>
          <rPr>
            <sz val="9"/>
            <color indexed="81"/>
            <rFont val="Tahoma"/>
            <family val="2"/>
          </rPr>
          <t>23.47971_Spectrum_Freq 9405172000Hz</t>
        </r>
      </text>
    </comment>
    <comment ref="BJ10" authorId="0" shapeId="0">
      <text>
        <r>
          <rPr>
            <sz val="9"/>
            <color indexed="81"/>
            <rFont val="Tahoma"/>
            <family val="2"/>
          </rPr>
          <t>23.34384_Spectrum_Freq 9594404000Hz</t>
        </r>
      </text>
    </comment>
    <comment ref="BS10" authorId="0" shapeId="0">
      <text>
        <r>
          <rPr>
            <sz val="9"/>
            <color indexed="81"/>
            <rFont val="Tahoma"/>
            <family val="2"/>
          </rPr>
          <t>21.98016_Spectrum_Freq 9428000000Hz</t>
        </r>
      </text>
    </comment>
    <comment ref="CB10" authorId="0" shapeId="0">
      <text>
        <r>
          <rPr>
            <sz val="9"/>
            <color indexed="81"/>
            <rFont val="Tahoma"/>
            <family val="2"/>
          </rPr>
          <t>22.09912_Spectrum_Freq 9570700000Hz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22.68832_Spectrum_Freq 11281951200Hz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>22.95563_Spectrum_Freq 11388206400Hz</t>
        </r>
      </text>
    </comment>
    <comment ref="Z11" authorId="0" shapeId="0">
      <text>
        <r>
          <rPr>
            <sz val="9"/>
            <color indexed="81"/>
            <rFont val="Tahoma"/>
            <family val="2"/>
          </rPr>
          <t>22.95636_Spectrum_Freq 11518341600Hz</t>
        </r>
      </text>
    </comment>
    <comment ref="AI11" authorId="0" shapeId="0">
      <text>
        <r>
          <rPr>
            <sz val="9"/>
            <color indexed="81"/>
            <rFont val="Tahoma"/>
            <family val="2"/>
          </rPr>
          <t>21.73267_Spectrum_Freq 11280510000Hz</t>
        </r>
      </text>
    </comment>
    <comment ref="AR11" authorId="0" shapeId="0">
      <text>
        <r>
          <rPr>
            <sz val="9"/>
            <color indexed="81"/>
            <rFont val="Tahoma"/>
            <family val="2"/>
          </rPr>
          <t>22.01862_Spectrum_Freq 11501940000Hz</t>
        </r>
      </text>
    </comment>
    <comment ref="BA11" authorId="0" shapeId="0">
      <text>
        <r>
          <rPr>
            <sz val="9"/>
            <color indexed="81"/>
            <rFont val="Tahoma"/>
            <family val="2"/>
          </rPr>
          <t>23.68744_Spectrum_Freq 11286957600Hz</t>
        </r>
      </text>
    </comment>
    <comment ref="BJ11" authorId="0" shapeId="0">
      <text>
        <r>
          <rPr>
            <sz val="9"/>
            <color indexed="81"/>
            <rFont val="Tahoma"/>
            <family val="2"/>
          </rPr>
          <t>23.26859_Spectrum_Freq 11513464800Hz</t>
        </r>
      </text>
    </comment>
    <comment ref="BS11" authorId="0" shapeId="0">
      <text>
        <r>
          <rPr>
            <sz val="9"/>
            <color indexed="81"/>
            <rFont val="Tahoma"/>
            <family val="2"/>
          </rPr>
          <t>21.97546_Spectrum_Freq 11369520000Hz</t>
        </r>
      </text>
    </comment>
    <comment ref="CB11" authorId="0" shapeId="0">
      <text>
        <r>
          <rPr>
            <sz val="9"/>
            <color indexed="81"/>
            <rFont val="Tahoma"/>
            <family val="2"/>
          </rPr>
          <t>22.09332_Spectrum_Freq 11466600000Hz</t>
        </r>
      </text>
    </comment>
  </commentList>
</comments>
</file>

<file path=xl/comments21.xml><?xml version="1.0" encoding="utf-8"?>
<comments xmlns="http://schemas.openxmlformats.org/spreadsheetml/2006/main">
  <authors>
    <author>Long, WANG (HW-NB-TCT)</author>
  </authors>
  <commentList>
    <comment ref="H7" authorId="0" shapeId="0">
      <text>
        <r>
          <rPr>
            <sz val="9"/>
            <color indexed="81"/>
            <rFont val="Tahoma"/>
            <family val="2"/>
          </rPr>
          <t>23.42511_Spectrum_Freq 4600812000Hz</t>
        </r>
      </text>
    </comment>
    <comment ref="Q7" authorId="0" shapeId="0">
      <text>
        <r>
          <rPr>
            <sz val="9"/>
            <color indexed="81"/>
            <rFont val="Tahoma"/>
            <family val="2"/>
          </rPr>
          <t>22.34052_Spectrum_Freq 4695618400Hz</t>
        </r>
      </text>
    </comment>
    <comment ref="Z7" authorId="0" shapeId="0">
      <text>
        <r>
          <rPr>
            <sz val="9"/>
            <color indexed="81"/>
            <rFont val="Tahoma"/>
            <family val="2"/>
          </rPr>
          <t>22.69461_Spectrum_Freq 4799349600Hz</t>
        </r>
      </text>
    </comment>
    <comment ref="AI7" authorId="0" shapeId="0">
      <text>
        <r>
          <rPr>
            <sz val="9"/>
            <color indexed="81"/>
            <rFont val="Tahoma"/>
            <family val="2"/>
          </rPr>
          <t>22.19812_Spectrum_Freq 4605010000Hz</t>
        </r>
      </text>
    </comment>
    <comment ref="AR7" authorId="0" shapeId="0">
      <text>
        <r>
          <rPr>
            <sz val="9"/>
            <color indexed="81"/>
            <rFont val="Tahoma"/>
            <family val="2"/>
          </rPr>
          <t>21.74408_Spectrum_Freq 4792550000Hz</t>
        </r>
      </text>
    </comment>
    <comment ref="BA7" authorId="0" shapeId="0">
      <text>
        <r>
          <rPr>
            <sz val="9"/>
            <color indexed="81"/>
            <rFont val="Tahoma"/>
            <family val="2"/>
          </rPr>
          <t>23.68518_Spectrum_Freq 4602057600Hz</t>
        </r>
      </text>
    </comment>
    <comment ref="BJ7" authorId="0" shapeId="0">
      <text>
        <r>
          <rPr>
            <sz val="9"/>
            <color indexed="81"/>
            <rFont val="Tahoma"/>
            <family val="2"/>
          </rPr>
          <t>22.77106_Spectrum_Freq 4797851200Hz</t>
        </r>
      </text>
    </comment>
    <comment ref="BS7" authorId="0" shapeId="0">
      <text>
        <r>
          <rPr>
            <sz val="9"/>
            <color indexed="81"/>
            <rFont val="Tahoma"/>
            <family val="2"/>
          </rPr>
          <t>22.22223_Spectrum_Freq 4616400000Hz</t>
        </r>
      </text>
    </comment>
    <comment ref="CB7" authorId="0" shapeId="0">
      <text>
        <r>
          <rPr>
            <sz val="9"/>
            <color indexed="81"/>
            <rFont val="Tahoma"/>
            <family val="2"/>
          </rPr>
          <t>21.82626_Spectrum_Freq 4769240000Hz</t>
        </r>
      </text>
    </comment>
    <comment ref="H8" authorId="0" shapeId="0">
      <text>
        <r>
          <rPr>
            <sz val="9"/>
            <color indexed="81"/>
            <rFont val="Tahoma"/>
            <family val="2"/>
          </rPr>
          <t>23.50299_Spectrum_Freq 6901096800Hz</t>
        </r>
      </text>
    </comment>
    <comment ref="Q8" authorId="0" shapeId="0">
      <text>
        <r>
          <rPr>
            <sz val="9"/>
            <color indexed="81"/>
            <rFont val="Tahoma"/>
            <family val="2"/>
          </rPr>
          <t>22.44727_Spectrum_Freq 7044103200Hz</t>
        </r>
      </text>
    </comment>
    <comment ref="Z8" authorId="0" shapeId="0">
      <text>
        <r>
          <rPr>
            <sz val="9"/>
            <color indexed="81"/>
            <rFont val="Tahoma"/>
            <family val="2"/>
          </rPr>
          <t>22.69247_Spectrum_Freq 7198394400Hz</t>
        </r>
      </text>
    </comment>
    <comment ref="AI8" authorId="0" shapeId="0">
      <text>
        <r>
          <rPr>
            <sz val="9"/>
            <color indexed="81"/>
            <rFont val="Tahoma"/>
            <family val="2"/>
          </rPr>
          <t>22.47388_Spectrum_Freq 6904935000Hz</t>
        </r>
      </text>
    </comment>
    <comment ref="AR8" authorId="0" shapeId="0">
      <text>
        <r>
          <rPr>
            <sz val="9"/>
            <color indexed="81"/>
            <rFont val="Tahoma"/>
            <family val="2"/>
          </rPr>
          <t>21.7431_Spectrum_Freq 7191120000Hz</t>
        </r>
      </text>
    </comment>
    <comment ref="BA8" authorId="0" shapeId="0">
      <text>
        <r>
          <rPr>
            <sz val="9"/>
            <color indexed="81"/>
            <rFont val="Tahoma"/>
            <family val="2"/>
          </rPr>
          <t>23.66537_Spectrum_Freq 6903319200Hz</t>
        </r>
      </text>
    </comment>
    <comment ref="BJ8" authorId="0" shapeId="0">
      <text>
        <r>
          <rPr>
            <sz val="9"/>
            <color indexed="81"/>
            <rFont val="Tahoma"/>
            <family val="2"/>
          </rPr>
          <t>22.76392_Spectrum_Freq 7196564400Hz</t>
        </r>
      </text>
    </comment>
    <comment ref="BS8" authorId="0" shapeId="0">
      <text>
        <r>
          <rPr>
            <sz val="9"/>
            <color indexed="81"/>
            <rFont val="Tahoma"/>
            <family val="2"/>
          </rPr>
          <t>22.61029_Spectrum_Freq 6958920000Hz</t>
        </r>
      </text>
    </comment>
    <comment ref="CB8" authorId="0" shapeId="0">
      <text>
        <r>
          <rPr>
            <sz val="9"/>
            <color indexed="81"/>
            <rFont val="Tahoma"/>
            <family val="2"/>
          </rPr>
          <t>21.82083_Spectrum_Freq 7154040000Hz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23.50104_Spectrum_Freq 9200928000Hz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22.43506_Spectrum_Freq 9390808000Hz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22.68719_Spectrum_Freq 9599262400Hz</t>
        </r>
      </text>
    </comment>
    <comment ref="AI9" authorId="0" shapeId="0">
      <text>
        <r>
          <rPr>
            <sz val="9"/>
            <color indexed="81"/>
            <rFont val="Tahoma"/>
            <family val="2"/>
          </rPr>
          <t>22.65527_Spectrum_Freq 9219420000Hz</t>
        </r>
      </text>
    </comment>
    <comment ref="AR9" authorId="0" shapeId="0">
      <text>
        <r>
          <rPr>
            <sz val="9"/>
            <color indexed="81"/>
            <rFont val="Tahoma"/>
            <family val="2"/>
          </rPr>
          <t>21.66727_Spectrum_Freq 9586920000Hz</t>
        </r>
      </text>
    </comment>
    <comment ref="BA9" authorId="0" shapeId="0">
      <text>
        <r>
          <rPr>
            <sz val="9"/>
            <color indexed="81"/>
            <rFont val="Tahoma"/>
            <family val="2"/>
          </rPr>
          <t>23.65302_Spectrum_Freq 9204296000Hz</t>
        </r>
      </text>
    </comment>
    <comment ref="BJ9" authorId="0" shapeId="0">
      <text>
        <r>
          <rPr>
            <sz val="9"/>
            <color indexed="81"/>
            <rFont val="Tahoma"/>
            <family val="2"/>
          </rPr>
          <t>22.77499_Spectrum_Freq 9595838400Hz</t>
        </r>
      </text>
    </comment>
    <comment ref="BS9" authorId="0" shapeId="0">
      <text>
        <r>
          <rPr>
            <sz val="9"/>
            <color indexed="81"/>
            <rFont val="Tahoma"/>
            <family val="2"/>
          </rPr>
          <t>22.57263_Spectrum_Freq 9239920000Hz</t>
        </r>
      </text>
    </comment>
    <comment ref="CB9" authorId="0" shapeId="0">
      <text>
        <r>
          <rPr>
            <sz val="9"/>
            <color indexed="81"/>
            <rFont val="Tahoma"/>
            <family val="2"/>
          </rPr>
          <t>21.82364_Spectrum_Freq 9586720000Hz</t>
        </r>
      </text>
    </comment>
    <comment ref="H10" authorId="0" shapeId="0">
      <text>
        <r>
          <rPr>
            <sz val="9"/>
            <color indexed="81"/>
            <rFont val="Tahoma"/>
            <family val="2"/>
          </rPr>
          <t>23.39749_Spectrum_Freq 11501130000Hz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>22.44418_Spectrum_Freq 11738474000Hz</t>
        </r>
      </text>
    </comment>
    <comment ref="Z10" authorId="0" shapeId="0">
      <text>
        <r>
          <rPr>
            <sz val="9"/>
            <color indexed="81"/>
            <rFont val="Tahoma"/>
            <family val="2"/>
          </rPr>
          <t>22.6727_Spectrum_Freq 11998088000Hz</t>
        </r>
      </text>
    </comment>
    <comment ref="AI10" authorId="0" shapeId="0">
      <text>
        <r>
          <rPr>
            <sz val="9"/>
            <color indexed="81"/>
            <rFont val="Tahoma"/>
            <family val="2"/>
          </rPr>
          <t>22.17157_Spectrum_Freq 11504925000Hz</t>
        </r>
      </text>
    </comment>
    <comment ref="AR10" authorId="0" shapeId="0">
      <text>
        <r>
          <rPr>
            <sz val="9"/>
            <color indexed="81"/>
            <rFont val="Tahoma"/>
            <family val="2"/>
          </rPr>
          <t>21.66342_Spectrum_Freq 11984100000Hz</t>
        </r>
      </text>
    </comment>
    <comment ref="BA10" authorId="0" shapeId="0">
      <text>
        <r>
          <rPr>
            <sz val="9"/>
            <color indexed="81"/>
            <rFont val="Tahoma"/>
            <family val="2"/>
          </rPr>
          <t>24.35919_Spectrum_Freq 11504982000Hz</t>
        </r>
      </text>
    </comment>
    <comment ref="BJ10" authorId="0" shapeId="0">
      <text>
        <r>
          <rPr>
            <sz val="9"/>
            <color indexed="81"/>
            <rFont val="Tahoma"/>
            <family val="2"/>
          </rPr>
          <t>22.76007_Spectrum_Freq 11995486000Hz</t>
        </r>
      </text>
    </comment>
    <comment ref="BS10" authorId="0" shapeId="0">
      <text>
        <r>
          <rPr>
            <sz val="9"/>
            <color indexed="81"/>
            <rFont val="Tahoma"/>
            <family val="2"/>
          </rPr>
          <t>22.52722_Spectrum_Freq 11531200000Hz</t>
        </r>
      </text>
    </comment>
    <comment ref="CB10" authorId="0" shapeId="0">
      <text>
        <r>
          <rPr>
            <sz val="9"/>
            <color indexed="81"/>
            <rFont val="Tahoma"/>
            <family val="2"/>
          </rPr>
          <t>21.8269_Spectrum_Freq 11956400000Hz</t>
        </r>
      </text>
    </comment>
  </commentList>
</comments>
</file>

<file path=xl/comments22.xml><?xml version="1.0" encoding="utf-8"?>
<comments xmlns="http://schemas.openxmlformats.org/spreadsheetml/2006/main">
  <authors>
    <author>Long, WANG (HW-NB-TCT)</author>
  </authors>
  <commentList>
    <comment ref="H7" authorId="0" shapeId="0">
      <text>
        <r>
          <rPr>
            <sz val="9"/>
            <color indexed="81"/>
            <rFont val="Tahoma"/>
            <family val="2"/>
          </rPr>
          <t>24.0665_Spectrum_Freq 4992684000Hz</t>
        </r>
      </text>
    </comment>
    <comment ref="Q7" authorId="0" shapeId="0">
      <text>
        <r>
          <rPr>
            <sz val="9"/>
            <color indexed="81"/>
            <rFont val="Tahoma"/>
            <family val="2"/>
          </rPr>
          <t>24.17542_Spectrum_Freq 5181626400Hz</t>
        </r>
      </text>
    </comment>
    <comment ref="Z7" authorId="0" shapeId="0">
      <text>
        <r>
          <rPr>
            <sz val="9"/>
            <color indexed="81"/>
            <rFont val="Tahoma"/>
            <family val="2"/>
          </rPr>
          <t>23.6041_Spectrum_Freq 5379267200Hz</t>
        </r>
      </text>
    </comment>
    <comment ref="AI7" authorId="0" shapeId="0">
      <text>
        <r>
          <rPr>
            <sz val="9"/>
            <color indexed="81"/>
            <rFont val="Tahoma"/>
            <family val="2"/>
          </rPr>
          <t>23.1333_Spectrum_Freq 4997360000Hz</t>
        </r>
      </text>
    </comment>
    <comment ref="AR7" authorId="0" shapeId="0">
      <text>
        <r>
          <rPr>
            <sz val="9"/>
            <color indexed="81"/>
            <rFont val="Tahoma"/>
            <family val="2"/>
          </rPr>
          <t>22.98227_Spectrum_Freq 5375040000Hz</t>
        </r>
      </text>
    </comment>
    <comment ref="BA7" authorId="0" shapeId="0">
      <text>
        <r>
          <rPr>
            <sz val="9"/>
            <color indexed="81"/>
            <rFont val="Tahoma"/>
            <family val="2"/>
          </rPr>
          <t>24.54431_Spectrum_Freq 4993963200Hz</t>
        </r>
      </text>
    </comment>
    <comment ref="BJ7" authorId="0" shapeId="0">
      <text>
        <r>
          <rPr>
            <sz val="9"/>
            <color indexed="81"/>
            <rFont val="Tahoma"/>
            <family val="2"/>
          </rPr>
          <t>23.79153_Spectrum_Freq 5377841600Hz</t>
        </r>
      </text>
    </comment>
    <comment ref="BS7" authorId="0" shapeId="0">
      <text>
        <r>
          <rPr>
            <sz val="9"/>
            <color indexed="81"/>
            <rFont val="Tahoma"/>
            <family val="2"/>
          </rPr>
          <t>23.43005_Spectrum_Freq 5028200000Hz</t>
        </r>
      </text>
    </comment>
    <comment ref="CB7" authorId="0" shapeId="0">
      <text>
        <r>
          <rPr>
            <sz val="9"/>
            <color indexed="81"/>
            <rFont val="Tahoma"/>
            <family val="2"/>
          </rPr>
          <t>23.00253_Spectrum_Freq 5359680000Hz</t>
        </r>
      </text>
    </comment>
    <comment ref="H8" authorId="0" shapeId="0">
      <text>
        <r>
          <rPr>
            <sz val="9"/>
            <color indexed="81"/>
            <rFont val="Tahoma"/>
            <family val="2"/>
          </rPr>
          <t>24.04373_Spectrum_Freq 7488658800Hz</t>
        </r>
      </text>
    </comment>
    <comment ref="Q8" authorId="0" shapeId="0">
      <text>
        <r>
          <rPr>
            <sz val="9"/>
            <color indexed="81"/>
            <rFont val="Tahoma"/>
            <family val="2"/>
          </rPr>
          <t>24.22046_Spectrum_Freq 7772625600Hz</t>
        </r>
      </text>
    </comment>
    <comment ref="Z8" authorId="0" shapeId="0">
      <text>
        <r>
          <rPr>
            <sz val="9"/>
            <color indexed="81"/>
            <rFont val="Tahoma"/>
            <family val="2"/>
          </rPr>
          <t>23.60077_Spectrum_Freq 8068987200Hz</t>
        </r>
      </text>
    </comment>
    <comment ref="AI8" authorId="0" shapeId="0">
      <text>
        <r>
          <rPr>
            <sz val="9"/>
            <color indexed="81"/>
            <rFont val="Tahoma"/>
            <family val="2"/>
          </rPr>
          <t>23.21341_Spectrum_Freq 7501620000Hz</t>
        </r>
      </text>
    </comment>
    <comment ref="AR8" authorId="0" shapeId="0">
      <text>
        <r>
          <rPr>
            <sz val="9"/>
            <color indexed="81"/>
            <rFont val="Tahoma"/>
            <family val="2"/>
          </rPr>
          <t>22.98218_Spectrum_Freq 8064225000Hz</t>
        </r>
      </text>
    </comment>
    <comment ref="BA8" authorId="0" shapeId="0">
      <text>
        <r>
          <rPr>
            <sz val="9"/>
            <color indexed="81"/>
            <rFont val="Tahoma"/>
            <family val="2"/>
          </rPr>
          <t>24.60632_Spectrum_Freq 7491153600Hz</t>
        </r>
      </text>
    </comment>
    <comment ref="BJ8" authorId="0" shapeId="0">
      <text>
        <r>
          <rPr>
            <sz val="9"/>
            <color indexed="81"/>
            <rFont val="Tahoma"/>
            <family val="2"/>
          </rPr>
          <t>24.06442_Spectrum_Freq 8066563200Hz</t>
        </r>
      </text>
    </comment>
    <comment ref="BS8" authorId="0" shapeId="0">
      <text>
        <r>
          <rPr>
            <sz val="9"/>
            <color indexed="81"/>
            <rFont val="Tahoma"/>
            <family val="2"/>
          </rPr>
          <t>23.29742_Spectrum_Freq 7509480000Hz</t>
        </r>
      </text>
    </comment>
    <comment ref="CB8" authorId="0" shapeId="0">
      <text>
        <r>
          <rPr>
            <sz val="9"/>
            <color indexed="81"/>
            <rFont val="Tahoma"/>
            <family val="2"/>
          </rPr>
          <t>23.16412_Spectrum_Freq 8050380000Hz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24.1088_Spectrum_Freq 9985580800Hz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24.11816_Spectrum_Freq 10363662400Hz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23.66138_Spectrum_Freq 10759326400Hz</t>
        </r>
      </text>
    </comment>
    <comment ref="AI9" authorId="0" shapeId="0">
      <text>
        <r>
          <rPr>
            <sz val="9"/>
            <color indexed="81"/>
            <rFont val="Tahoma"/>
            <family val="2"/>
          </rPr>
          <t>23.11951_Spectrum_Freq 9995120000Hz</t>
        </r>
      </text>
    </comment>
    <comment ref="AR9" authorId="0" shapeId="0">
      <text>
        <r>
          <rPr>
            <sz val="9"/>
            <color indexed="81"/>
            <rFont val="Tahoma"/>
            <family val="2"/>
          </rPr>
          <t>22.97989_Spectrum_Freq 10747440000Hz</t>
        </r>
      </text>
    </comment>
    <comment ref="BA9" authorId="0" shapeId="0">
      <text>
        <r>
          <rPr>
            <sz val="9"/>
            <color indexed="81"/>
            <rFont val="Tahoma"/>
            <family val="2"/>
          </rPr>
          <t>24.52231_Spectrum_Freq 9988337600Hz</t>
        </r>
      </text>
    </comment>
    <comment ref="BJ9" authorId="0" shapeId="0">
      <text>
        <r>
          <rPr>
            <sz val="9"/>
            <color indexed="81"/>
            <rFont val="Tahoma"/>
            <family val="2"/>
          </rPr>
          <t>23.96982_Spectrum_Freq 10756379200Hz</t>
        </r>
      </text>
    </comment>
    <comment ref="BS9" authorId="0" shapeId="0">
      <text>
        <r>
          <rPr>
            <sz val="9"/>
            <color indexed="81"/>
            <rFont val="Tahoma"/>
            <family val="2"/>
          </rPr>
          <t>23.28983_Spectrum_Freq 10056400000Hz</t>
        </r>
      </text>
    </comment>
    <comment ref="CB9" authorId="0" shapeId="0">
      <text>
        <r>
          <rPr>
            <sz val="9"/>
            <color indexed="81"/>
            <rFont val="Tahoma"/>
            <family val="2"/>
          </rPr>
          <t>22.98621_Spectrum_Freq 10747600000Hz</t>
        </r>
      </text>
    </comment>
  </commentList>
</comments>
</file>

<file path=xl/sharedStrings.xml><?xml version="1.0" encoding="utf-8"?>
<sst xmlns="http://schemas.openxmlformats.org/spreadsheetml/2006/main" count="10644" uniqueCount="176">
  <si>
    <t>6.6.3.2</t>
  </si>
  <si>
    <t>6.6.3.3</t>
  </si>
  <si>
    <t>B41</t>
    <phoneticPr fontId="2" type="noConversion"/>
  </si>
  <si>
    <t>RB offset</t>
  </si>
  <si>
    <t>Tx Power</t>
  </si>
  <si>
    <t>Result(dBm)</t>
  </si>
  <si>
    <t>Max</t>
  </si>
  <si>
    <t>Max</t>
    <phoneticPr fontId="2" type="noConversion"/>
  </si>
  <si>
    <t>B13</t>
    <phoneticPr fontId="2" type="noConversion"/>
  </si>
  <si>
    <r>
      <t>1</t>
    </r>
    <r>
      <rPr>
        <sz val="11"/>
        <color indexed="8"/>
        <rFont val="Arial"/>
        <family val="2"/>
      </rPr>
      <t>M</t>
    </r>
  </si>
  <si>
    <t>QPSK</t>
  </si>
  <si>
    <t>Mod</t>
    <phoneticPr fontId="2" type="noConversion"/>
  </si>
  <si>
    <t>RB</t>
    <phoneticPr fontId="2" type="noConversion"/>
  </si>
  <si>
    <t>GPIB_Spec</t>
  </si>
  <si>
    <t>GPIB_CMW</t>
  </si>
  <si>
    <t>Low</t>
  </si>
  <si>
    <r>
      <t>F</t>
    </r>
    <r>
      <rPr>
        <sz val="11"/>
        <color indexed="8"/>
        <rFont val="Arial"/>
        <family val="2"/>
      </rPr>
      <t>requency Range</t>
    </r>
  </si>
  <si>
    <r>
      <t>R</t>
    </r>
    <r>
      <rPr>
        <sz val="11"/>
        <color indexed="8"/>
        <rFont val="Arial"/>
        <family val="2"/>
      </rPr>
      <t>BW</t>
    </r>
  </si>
  <si>
    <t>IL_Spectrum</t>
  </si>
  <si>
    <t>IL_CMW</t>
  </si>
  <si>
    <t>comments</t>
  </si>
  <si>
    <t>B3</t>
    <phoneticPr fontId="6" type="noConversion"/>
  </si>
  <si>
    <r>
      <t>Channel BW support: 1.4/3/5/</t>
    </r>
    <r>
      <rPr>
        <b/>
        <sz val="14"/>
        <color indexed="12"/>
        <rFont val="Arial"/>
        <family val="2"/>
      </rPr>
      <t>10</t>
    </r>
    <r>
      <rPr>
        <b/>
        <sz val="14"/>
        <color indexed="8"/>
        <rFont val="Arial"/>
        <family val="2"/>
      </rPr>
      <t>/15/20MHz</t>
    </r>
  </si>
  <si>
    <t>6.6.3.1</t>
    <phoneticPr fontId="2" type="noConversion"/>
  </si>
  <si>
    <t>Transmitter Spurious emissions</t>
    <phoneticPr fontId="2" type="noConversion"/>
  </si>
  <si>
    <t>Spurious emission band UE co-existence</t>
    <phoneticPr fontId="2" type="noConversion"/>
  </si>
  <si>
    <t>Channel</t>
    <phoneticPr fontId="2" type="noConversion"/>
  </si>
  <si>
    <t>Freq(MHz)</t>
    <phoneticPr fontId="2" type="noConversion"/>
  </si>
  <si>
    <t>BW(MHz)</t>
    <phoneticPr fontId="2" type="noConversion"/>
  </si>
  <si>
    <t>6.6.3.2  
Limit</t>
    <phoneticPr fontId="2" type="noConversion"/>
  </si>
  <si>
    <t>Low</t>
    <phoneticPr fontId="2" type="noConversion"/>
  </si>
  <si>
    <t>High</t>
    <phoneticPr fontId="2" type="noConversion"/>
  </si>
  <si>
    <t>Mid</t>
    <phoneticPr fontId="2" type="noConversion"/>
  </si>
  <si>
    <r>
      <t>V</t>
    </r>
    <r>
      <rPr>
        <sz val="11"/>
        <color indexed="8"/>
        <rFont val="Arial"/>
        <family val="2"/>
      </rPr>
      <t>BW</t>
    </r>
  </si>
  <si>
    <r>
      <t>L</t>
    </r>
    <r>
      <rPr>
        <sz val="11"/>
        <color indexed="8"/>
        <rFont val="Arial"/>
        <family val="2"/>
      </rPr>
      <t>imit</t>
    </r>
  </si>
  <si>
    <r>
      <t>-</t>
    </r>
    <r>
      <rPr>
        <sz val="11"/>
        <color indexed="8"/>
        <rFont val="Arial"/>
        <family val="2"/>
      </rPr>
      <t>30dBm</t>
    </r>
  </si>
  <si>
    <t>H2</t>
    <phoneticPr fontId="2" type="noConversion"/>
  </si>
  <si>
    <t>H3</t>
    <phoneticPr fontId="2" type="noConversion"/>
  </si>
  <si>
    <t>H4</t>
    <phoneticPr fontId="2" type="noConversion"/>
  </si>
  <si>
    <r>
      <t>-</t>
    </r>
    <r>
      <rPr>
        <sz val="11"/>
        <color indexed="8"/>
        <rFont val="Arial"/>
        <family val="2"/>
      </rPr>
      <t>30dBm</t>
    </r>
    <r>
      <rPr>
        <sz val="11"/>
        <color indexed="8"/>
        <rFont val="宋体"/>
        <family val="3"/>
        <charset val="134"/>
      </rPr>
      <t/>
    </r>
  </si>
  <si>
    <t>H5</t>
  </si>
  <si>
    <t>H6</t>
  </si>
  <si>
    <t>H7</t>
    <phoneticPr fontId="2" type="noConversion"/>
  </si>
  <si>
    <t>B7</t>
    <phoneticPr fontId="6" type="noConversion"/>
  </si>
  <si>
    <r>
      <t>Channel BW support: 5/</t>
    </r>
    <r>
      <rPr>
        <b/>
        <sz val="14"/>
        <color indexed="12"/>
        <rFont val="Arial"/>
        <family val="2"/>
      </rPr>
      <t>10</t>
    </r>
    <r>
      <rPr>
        <b/>
        <sz val="14"/>
        <color indexed="8"/>
        <rFont val="Arial"/>
        <family val="2"/>
      </rPr>
      <t>/15/20MHz</t>
    </r>
  </si>
  <si>
    <t>B38</t>
    <phoneticPr fontId="2" type="noConversion"/>
  </si>
  <si>
    <r>
      <t xml:space="preserve">Channel BW support: </t>
    </r>
    <r>
      <rPr>
        <b/>
        <sz val="14"/>
        <color indexed="12"/>
        <rFont val="Arial"/>
        <family val="2"/>
      </rPr>
      <t>5</t>
    </r>
    <r>
      <rPr>
        <b/>
        <sz val="14"/>
        <color indexed="8"/>
        <rFont val="Arial"/>
        <family val="2"/>
      </rPr>
      <t>/</t>
    </r>
    <r>
      <rPr>
        <b/>
        <sz val="14"/>
        <rFont val="Arial"/>
        <family val="2"/>
      </rPr>
      <t>10</t>
    </r>
    <r>
      <rPr>
        <b/>
        <sz val="14"/>
        <color indexed="8"/>
        <rFont val="Arial"/>
        <family val="2"/>
      </rPr>
      <t>/15/20MHz</t>
    </r>
  </si>
  <si>
    <t>Notes: B38 ,Full bandwith =50M (2570M-2620M), so for  BW=20M , we just test Low/High channel for Hamoric test , it can cover all band performance .</t>
    <phoneticPr fontId="2" type="noConversion"/>
  </si>
  <si>
    <t>B39</t>
    <phoneticPr fontId="2" type="noConversion"/>
  </si>
  <si>
    <r>
      <rPr>
        <sz val="14"/>
        <color indexed="8"/>
        <rFont val="Arial"/>
        <family val="2"/>
      </rPr>
      <t>Channel BW support: 5/</t>
    </r>
    <r>
      <rPr>
        <b/>
        <sz val="14"/>
        <color indexed="12"/>
        <rFont val="Arial"/>
        <family val="2"/>
      </rPr>
      <t>10/</t>
    </r>
    <r>
      <rPr>
        <sz val="14"/>
        <rFont val="Arial"/>
        <family val="2"/>
      </rPr>
      <t>15/20</t>
    </r>
    <r>
      <rPr>
        <sz val="14"/>
        <color indexed="8"/>
        <rFont val="Arial"/>
        <family val="2"/>
      </rPr>
      <t>MHz</t>
    </r>
  </si>
  <si>
    <t>Notes: B39 ,Full bandwith =40M (1880M-1920M), so for  BW=20M , we just test Low/High channel for Hamoric test to cover full bandwith</t>
    <phoneticPr fontId="2" type="noConversion"/>
  </si>
  <si>
    <t>H5</t>
    <phoneticPr fontId="2" type="noConversion"/>
  </si>
  <si>
    <t>H6</t>
    <phoneticPr fontId="2" type="noConversion"/>
  </si>
  <si>
    <t>B40</t>
    <phoneticPr fontId="2" type="noConversion"/>
  </si>
  <si>
    <t>B1</t>
    <phoneticPr fontId="6" type="noConversion"/>
  </si>
  <si>
    <t>Additional spurious emissions</t>
    <phoneticPr fontId="2" type="noConversion"/>
  </si>
  <si>
    <t>Mod</t>
    <phoneticPr fontId="2" type="noConversion"/>
  </si>
  <si>
    <t>RB</t>
    <phoneticPr fontId="2" type="noConversion"/>
  </si>
  <si>
    <t>B2</t>
    <phoneticPr fontId="6" type="noConversion"/>
  </si>
  <si>
    <t>B4</t>
    <phoneticPr fontId="6" type="noConversion"/>
  </si>
  <si>
    <t>B5</t>
    <phoneticPr fontId="6" type="noConversion"/>
  </si>
  <si>
    <r>
      <t>Channel BW support: 1.4/3/5/</t>
    </r>
    <r>
      <rPr>
        <b/>
        <sz val="14"/>
        <color indexed="12"/>
        <rFont val="Arial"/>
        <family val="2"/>
      </rPr>
      <t>10</t>
    </r>
    <r>
      <rPr>
        <b/>
        <sz val="14"/>
        <color indexed="8"/>
        <rFont val="Arial"/>
        <family val="2"/>
      </rPr>
      <t>MHz</t>
    </r>
  </si>
  <si>
    <t>H7</t>
    <phoneticPr fontId="6" type="noConversion"/>
  </si>
  <si>
    <r>
      <t>1M</t>
    </r>
    <r>
      <rPr>
        <sz val="11"/>
        <color indexed="8"/>
        <rFont val="Arial"/>
        <family val="2"/>
      </rPr>
      <t/>
    </r>
  </si>
  <si>
    <r>
      <t>-</t>
    </r>
    <r>
      <rPr>
        <sz val="11"/>
        <color indexed="8"/>
        <rFont val="Arial"/>
        <family val="2"/>
      </rPr>
      <t>31dBm</t>
    </r>
    <r>
      <rPr>
        <sz val="11"/>
        <color indexed="8"/>
        <rFont val="宋体"/>
        <family val="3"/>
        <charset val="134"/>
      </rPr>
      <t/>
    </r>
  </si>
  <si>
    <t>H7</t>
  </si>
  <si>
    <t>H8</t>
    <phoneticPr fontId="6" type="noConversion"/>
  </si>
  <si>
    <r>
      <t>-</t>
    </r>
    <r>
      <rPr>
        <sz val="11"/>
        <color indexed="8"/>
        <rFont val="Arial"/>
        <family val="2"/>
      </rPr>
      <t>32dBm</t>
    </r>
    <r>
      <rPr>
        <sz val="11"/>
        <color indexed="8"/>
        <rFont val="宋体"/>
        <family val="3"/>
        <charset val="134"/>
      </rPr>
      <t/>
    </r>
  </si>
  <si>
    <t>H8</t>
  </si>
  <si>
    <t>H9</t>
    <phoneticPr fontId="6" type="noConversion"/>
  </si>
  <si>
    <r>
      <t>-</t>
    </r>
    <r>
      <rPr>
        <sz val="11"/>
        <color indexed="8"/>
        <rFont val="Arial"/>
        <family val="2"/>
      </rPr>
      <t>33dBm</t>
    </r>
    <r>
      <rPr>
        <sz val="11"/>
        <color indexed="8"/>
        <rFont val="宋体"/>
        <family val="3"/>
        <charset val="134"/>
      </rPr>
      <t/>
    </r>
  </si>
  <si>
    <t>H9</t>
  </si>
  <si>
    <t>H10</t>
    <phoneticPr fontId="6" type="noConversion"/>
  </si>
  <si>
    <r>
      <t>-</t>
    </r>
    <r>
      <rPr>
        <sz val="11"/>
        <color indexed="8"/>
        <rFont val="Arial"/>
        <family val="2"/>
      </rPr>
      <t>34dBm</t>
    </r>
    <r>
      <rPr>
        <sz val="11"/>
        <color indexed="8"/>
        <rFont val="宋体"/>
        <family val="3"/>
        <charset val="134"/>
      </rPr>
      <t/>
    </r>
  </si>
  <si>
    <t>H10</t>
  </si>
  <si>
    <t>H11</t>
    <phoneticPr fontId="6" type="noConversion"/>
  </si>
  <si>
    <r>
      <t>-</t>
    </r>
    <r>
      <rPr>
        <sz val="11"/>
        <color indexed="8"/>
        <rFont val="Arial"/>
        <family val="2"/>
      </rPr>
      <t>35dBm</t>
    </r>
    <r>
      <rPr>
        <sz val="11"/>
        <color indexed="8"/>
        <rFont val="宋体"/>
        <family val="3"/>
        <charset val="134"/>
      </rPr>
      <t/>
    </r>
  </si>
  <si>
    <t>H11</t>
  </si>
  <si>
    <t>H12</t>
    <phoneticPr fontId="6" type="noConversion"/>
  </si>
  <si>
    <r>
      <t>-</t>
    </r>
    <r>
      <rPr>
        <sz val="11"/>
        <color indexed="8"/>
        <rFont val="Arial"/>
        <family val="2"/>
      </rPr>
      <t>36dBm</t>
    </r>
    <r>
      <rPr>
        <sz val="11"/>
        <color indexed="8"/>
        <rFont val="宋体"/>
        <family val="3"/>
        <charset val="134"/>
      </rPr>
      <t/>
    </r>
  </si>
  <si>
    <t>H12</t>
  </si>
  <si>
    <t>H13</t>
    <phoneticPr fontId="6" type="noConversion"/>
  </si>
  <si>
    <r>
      <t>-</t>
    </r>
    <r>
      <rPr>
        <sz val="11"/>
        <color indexed="8"/>
        <rFont val="Arial"/>
        <family val="2"/>
      </rPr>
      <t>37dBm</t>
    </r>
    <r>
      <rPr>
        <sz val="11"/>
        <color indexed="8"/>
        <rFont val="宋体"/>
        <family val="3"/>
        <charset val="134"/>
      </rPr>
      <t/>
    </r>
  </si>
  <si>
    <t>H13</t>
  </si>
  <si>
    <t>H14</t>
    <phoneticPr fontId="6" type="noConversion"/>
  </si>
  <si>
    <r>
      <t>-</t>
    </r>
    <r>
      <rPr>
        <sz val="11"/>
        <color indexed="8"/>
        <rFont val="Arial"/>
        <family val="2"/>
      </rPr>
      <t>38dBm</t>
    </r>
    <r>
      <rPr>
        <sz val="11"/>
        <color indexed="8"/>
        <rFont val="宋体"/>
        <family val="3"/>
        <charset val="134"/>
      </rPr>
      <t/>
    </r>
  </si>
  <si>
    <t>H14</t>
  </si>
  <si>
    <t>B8</t>
    <phoneticPr fontId="6" type="noConversion"/>
  </si>
  <si>
    <t>B12</t>
    <phoneticPr fontId="6" type="noConversion"/>
  </si>
  <si>
    <r>
      <t>H14</t>
    </r>
    <r>
      <rPr>
        <sz val="11"/>
        <color indexed="8"/>
        <rFont val="宋体"/>
        <family val="3"/>
        <charset val="134"/>
      </rPr>
      <t/>
    </r>
  </si>
  <si>
    <t>H15</t>
  </si>
  <si>
    <t>H15</t>
    <phoneticPr fontId="17" type="noConversion"/>
  </si>
  <si>
    <r>
      <t>-</t>
    </r>
    <r>
      <rPr>
        <sz val="11"/>
        <color indexed="8"/>
        <rFont val="Arial"/>
        <family val="2"/>
      </rPr>
      <t>39dBm</t>
    </r>
    <r>
      <rPr>
        <sz val="11"/>
        <color indexed="8"/>
        <rFont val="宋体"/>
        <family val="3"/>
        <charset val="134"/>
      </rPr>
      <t/>
    </r>
  </si>
  <si>
    <t>H16</t>
  </si>
  <si>
    <t>H16</t>
    <phoneticPr fontId="17" type="noConversion"/>
  </si>
  <si>
    <r>
      <t>-</t>
    </r>
    <r>
      <rPr>
        <sz val="11"/>
        <color indexed="8"/>
        <rFont val="Arial"/>
        <family val="2"/>
      </rPr>
      <t>40dBm</t>
    </r>
    <r>
      <rPr>
        <sz val="11"/>
        <color indexed="8"/>
        <rFont val="宋体"/>
        <family val="3"/>
        <charset val="134"/>
      </rPr>
      <t/>
    </r>
  </si>
  <si>
    <t>H17</t>
  </si>
  <si>
    <t>H17</t>
    <phoneticPr fontId="17" type="noConversion"/>
  </si>
  <si>
    <r>
      <t>-</t>
    </r>
    <r>
      <rPr>
        <sz val="11"/>
        <color indexed="8"/>
        <rFont val="Arial"/>
        <family val="2"/>
      </rPr>
      <t>41dBm</t>
    </r>
    <r>
      <rPr>
        <sz val="11"/>
        <color indexed="8"/>
        <rFont val="宋体"/>
        <family val="3"/>
        <charset val="134"/>
      </rPr>
      <t/>
    </r>
  </si>
  <si>
    <t>Channel BW support: 5/10MHz</t>
    <phoneticPr fontId="2" type="noConversion"/>
  </si>
  <si>
    <r>
      <t xml:space="preserve">Notes: B13 band range only have 10M,so we just test BW=10M . H2 should be less than </t>
    </r>
    <r>
      <rPr>
        <b/>
        <sz val="11"/>
        <color indexed="10"/>
        <rFont val="Arial"/>
        <family val="2"/>
      </rPr>
      <t>-80dBm</t>
    </r>
    <r>
      <rPr>
        <sz val="11"/>
        <color indexed="8"/>
        <rFont val="Arial"/>
        <family val="2"/>
      </rPr>
      <t xml:space="preserve"> to protect GPS performance(according to VZW test requirements)</t>
    </r>
  </si>
  <si>
    <t>6.6.3.3</t>
    <phoneticPr fontId="2" type="noConversion"/>
  </si>
  <si>
    <t>B17</t>
    <phoneticPr fontId="6" type="noConversion"/>
  </si>
  <si>
    <r>
      <t>Channel BW support: 5/</t>
    </r>
    <r>
      <rPr>
        <b/>
        <sz val="14"/>
        <color indexed="12"/>
        <rFont val="Arial"/>
        <family val="2"/>
      </rPr>
      <t>10</t>
    </r>
    <r>
      <rPr>
        <b/>
        <sz val="14"/>
        <color indexed="8"/>
        <rFont val="Arial"/>
        <family val="2"/>
      </rPr>
      <t>MHz</t>
    </r>
  </si>
  <si>
    <t xml:space="preserve">Notes: B17 band range only have 12M,so we just test BW=10M . </t>
    <phoneticPr fontId="2" type="noConversion"/>
  </si>
  <si>
    <t>B20</t>
    <phoneticPr fontId="6" type="noConversion"/>
  </si>
  <si>
    <t>B25</t>
    <phoneticPr fontId="2" type="noConversion"/>
  </si>
  <si>
    <r>
      <t>Channel BW support: 1.4/3/</t>
    </r>
    <r>
      <rPr>
        <b/>
        <sz val="14"/>
        <color indexed="12"/>
        <rFont val="Arial"/>
        <family val="2"/>
      </rPr>
      <t>5</t>
    </r>
    <r>
      <rPr>
        <b/>
        <sz val="14"/>
        <color indexed="8"/>
        <rFont val="Arial"/>
        <family val="2"/>
      </rPr>
      <t>/</t>
    </r>
    <r>
      <rPr>
        <b/>
        <sz val="14"/>
        <rFont val="Arial"/>
        <family val="2"/>
      </rPr>
      <t>10</t>
    </r>
    <r>
      <rPr>
        <b/>
        <sz val="14"/>
        <color indexed="8"/>
        <rFont val="Arial"/>
        <family val="2"/>
      </rPr>
      <t>/15/20MHz</t>
    </r>
  </si>
  <si>
    <t>B26</t>
    <phoneticPr fontId="2" type="noConversion"/>
  </si>
  <si>
    <r>
      <t>Channel BW support: 1.4/3/5/</t>
    </r>
    <r>
      <rPr>
        <b/>
        <sz val="14"/>
        <color indexed="12"/>
        <rFont val="Arial"/>
        <family val="2"/>
      </rPr>
      <t>10</t>
    </r>
    <r>
      <rPr>
        <b/>
        <sz val="14"/>
        <rFont val="Arial"/>
        <family val="2"/>
      </rPr>
      <t>/15</t>
    </r>
    <r>
      <rPr>
        <b/>
        <sz val="14"/>
        <color indexed="8"/>
        <rFont val="Arial"/>
        <family val="2"/>
      </rPr>
      <t>MHz</t>
    </r>
  </si>
  <si>
    <t>B28A</t>
    <phoneticPr fontId="2" type="noConversion"/>
  </si>
  <si>
    <r>
      <t>Channel BW support: 3/5/</t>
    </r>
    <r>
      <rPr>
        <b/>
        <sz val="14"/>
        <color indexed="12"/>
        <rFont val="Arial"/>
        <family val="2"/>
      </rPr>
      <t>10</t>
    </r>
    <r>
      <rPr>
        <b/>
        <sz val="14"/>
        <rFont val="Arial"/>
        <family val="2"/>
      </rPr>
      <t>/15/20</t>
    </r>
    <r>
      <rPr>
        <b/>
        <sz val="14"/>
        <color indexed="8"/>
        <rFont val="Arial"/>
        <family val="2"/>
      </rPr>
      <t>MHz</t>
    </r>
  </si>
  <si>
    <t>H14</t>
    <phoneticPr fontId="2" type="noConversion"/>
  </si>
  <si>
    <t>H15</t>
    <phoneticPr fontId="2" type="noConversion"/>
  </si>
  <si>
    <t>H16</t>
    <phoneticPr fontId="2" type="noConversion"/>
  </si>
  <si>
    <t>H17</t>
    <phoneticPr fontId="2" type="noConversion"/>
  </si>
  <si>
    <t>B28B</t>
    <phoneticPr fontId="2" type="noConversion"/>
  </si>
  <si>
    <t>High</t>
  </si>
  <si>
    <t>V2.0</t>
    <phoneticPr fontId="2" type="noConversion"/>
  </si>
  <si>
    <t>1.Change to BW=Lowest , 5M,Highest . 1RB(low/High,full)
2.TDD must use "Max hold" mode to test Hamornic .</t>
    <phoneticPr fontId="2" type="noConversion"/>
  </si>
  <si>
    <t>Get_ShotScreen</t>
  </si>
  <si>
    <t>ATT_Spectrum</t>
  </si>
  <si>
    <t>check_Trigger</t>
  </si>
  <si>
    <t>(DETector:RMS)</t>
  </si>
  <si>
    <t>Sheet_Name</t>
  </si>
  <si>
    <t>38225_5_1_High-10477.8410479.44</t>
  </si>
  <si>
    <t>37850_20_1_Low-5141.785142.58</t>
  </si>
  <si>
    <t>37850_20_1_Low-7712.677713.87</t>
  </si>
  <si>
    <t>37850_20_1_Low-10283.5610285.16</t>
  </si>
  <si>
    <t>38150_20_1_High-5237.425238.22</t>
  </si>
  <si>
    <t>38150_20_1_High-7856.137857.33</t>
  </si>
  <si>
    <t>38150_20_1_High-10474.8410476.44</t>
  </si>
  <si>
    <t>41565_5_1_High-5378.925379.72</t>
  </si>
  <si>
    <t>41565_5_1_High-8068.388069.58</t>
  </si>
  <si>
    <t>41565_5_1_High-10757.8410759.44</t>
  </si>
  <si>
    <t>B30</t>
  </si>
  <si>
    <t>Channel</t>
  </si>
  <si>
    <t>Freq(MHz)</t>
  </si>
  <si>
    <t>BW(MHz)</t>
  </si>
  <si>
    <t>Mod</t>
  </si>
  <si>
    <t>RB</t>
  </si>
  <si>
    <t>B19</t>
  </si>
  <si>
    <t>Channel</t>
    <phoneticPr fontId="1" type="noConversion"/>
  </si>
  <si>
    <t>Freq(MHz)</t>
    <phoneticPr fontId="1" type="noConversion"/>
  </si>
  <si>
    <t>BW(MHz)</t>
    <phoneticPr fontId="1" type="noConversion"/>
  </si>
  <si>
    <t>Mod</t>
    <phoneticPr fontId="1" type="noConversion"/>
  </si>
  <si>
    <t>RB</t>
    <phoneticPr fontId="1" type="noConversion"/>
  </si>
  <si>
    <t>6.6.3.2  
Limit</t>
    <phoneticPr fontId="7" type="noConversion"/>
  </si>
  <si>
    <t>Low</t>
    <phoneticPr fontId="1" type="noConversion"/>
  </si>
  <si>
    <t>Low</t>
    <phoneticPr fontId="7" type="noConversion"/>
  </si>
  <si>
    <t>Mid</t>
  </si>
  <si>
    <t>Band1,Band2,Band3,Band4,Band25</t>
    <phoneticPr fontId="1" type="noConversion"/>
  </si>
  <si>
    <t>23230_10_1_Low-1554.781555.58</t>
    <phoneticPr fontId="1" type="noConversion"/>
  </si>
  <si>
    <t>23230_10_1_High-1572.421573.22</t>
    <phoneticPr fontId="1" type="noConversion"/>
  </si>
  <si>
    <t>23230_10_50_Low-15541574</t>
    <phoneticPr fontId="1" type="noConversion"/>
  </si>
  <si>
    <t>Band7,Band30</t>
    <phoneticPr fontId="1" type="noConversion"/>
  </si>
  <si>
    <t>37775_5_1_Low-5140.285141.08</t>
    <phoneticPr fontId="1" type="noConversion"/>
  </si>
  <si>
    <t>38000_5_1_Low-5185.285186.08</t>
    <phoneticPr fontId="1" type="noConversion"/>
  </si>
  <si>
    <t>38225_5_1_High-5238.925239.72</t>
    <phoneticPr fontId="1" type="noConversion"/>
  </si>
  <si>
    <t>37850_20_1_Low-5141.785142.58</t>
    <phoneticPr fontId="1" type="noConversion"/>
  </si>
  <si>
    <t>38150_20_1_High-5237.425238.22</t>
    <phoneticPr fontId="1" type="noConversion"/>
  </si>
  <si>
    <t>38675_5_1_Low-6900.426901.62</t>
  </si>
  <si>
    <t>39150_5_1_Low-4695.284696.08</t>
  </si>
  <si>
    <t>39625_5_1_High-4798.924799.72</t>
  </si>
  <si>
    <t>Band39,Band38,Band40,Band41</t>
    <phoneticPr fontId="1" type="noConversion"/>
  </si>
  <si>
    <t>Band5,Band8,Band12,Band13,Band17,Band19,Band20,Band26,Band28A,Band28B</t>
  </si>
  <si>
    <t>Band5,Band8,Band12,Band13,Band17,Band19(JP),Band20,Band26,Band28A,Band28B</t>
  </si>
  <si>
    <t>NS01</t>
  </si>
  <si>
    <t>Band7,Band30,Band38,Band39,Band40,Band41</t>
  </si>
  <si>
    <t>Band1,Band2,Band3,Band4,Band25</t>
  </si>
  <si>
    <t>pass,pass,pass,pass,pass,</t>
  </si>
  <si>
    <t>V6.0</t>
  </si>
  <si>
    <t>Modify LTE B26 H3 limit from -30dBm to -75dBm to make sure that sprint LTE/WIFI co-ex performance is OK.</t>
  </si>
  <si>
    <t>-80dBm</t>
  </si>
  <si>
    <t xml:space="preserve"> </t>
  </si>
  <si>
    <t>Band2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</si>
</sst>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\ &quot;dB&quot;"/>
  </numFmts>
  <fonts count="32">
    <font>
      <sz val="11"/>
      <color theme="1"/>
      <name val="宋体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b/>
      <sz val="8"/>
      <color indexed="81"/>
      <name val="Tahoma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0"/>
      <color indexed="8"/>
      <name val="Arial"/>
      <family val="2"/>
    </font>
    <font>
      <b/>
      <sz val="28"/>
      <color indexed="12"/>
      <name val="Arial"/>
      <family val="2"/>
    </font>
    <font>
      <b/>
      <sz val="11"/>
      <color indexed="12"/>
      <name val="arial"/>
      <family val="2"/>
    </font>
    <font>
      <sz val="11"/>
      <color indexed="8"/>
      <name val="Arial Unicode MS"/>
      <family val="2"/>
      <charset val="134"/>
    </font>
    <font>
      <b/>
      <sz val="12"/>
      <name val="Arial Unicode MS"/>
      <family val="2"/>
      <charset val="134"/>
    </font>
    <font>
      <b/>
      <sz val="14"/>
      <color indexed="8"/>
      <name val="Arial"/>
      <family val="2"/>
    </font>
    <font>
      <b/>
      <sz val="14"/>
      <color indexed="12"/>
      <name val="Arial"/>
      <family val="2"/>
    </font>
    <font>
      <sz val="14"/>
      <name val="Arial"/>
      <family val="2"/>
    </font>
    <font>
      <sz val="14"/>
      <color indexed="8"/>
      <name val="Arial"/>
      <family val="2"/>
    </font>
    <font>
      <b/>
      <sz val="14"/>
      <name val="Arial"/>
      <family val="2"/>
    </font>
    <font>
      <b/>
      <sz val="9"/>
      <color indexed="81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Calibri"/>
      <family val="2"/>
      <scheme val="minor"/>
    </font>
    <font>
      <b/>
      <sz val="11"/>
      <color rgb="FF0000FF"/>
      <name val="Arial"/>
      <family val="2"/>
    </font>
    <font>
      <i/>
      <sz val="11"/>
      <color theme="1"/>
      <name val="Calibri"/>
      <family val="2"/>
      <scheme val="minor"/>
    </font>
    <font>
      <b/>
      <sz val="11"/>
      <color indexed="10"/>
      <name val="Arial"/>
      <family val="2"/>
    </font>
    <font>
      <b/>
      <sz val="9"/>
      <color indexed="81"/>
      <name val="Tahoma"/>
      <family val="2"/>
    </font>
    <font>
      <sz val="9"/>
      <color rgb="FF000000"/>
      <name val="宋体"/>
      <family val="3"/>
      <charset val="134"/>
    </font>
    <font>
      <sz val="11"/>
      <color theme="1"/>
      <name val="宋体"/>
      <family val="3"/>
      <charset val="134"/>
    </font>
    <font>
      <sz val="9"/>
      <color indexed="81"/>
      <name val="Tahoma"/>
      <family val="2"/>
    </font>
    <font>
      <sz val="11"/>
      <color rgb="FF000000"/>
      <name val="Arial"/>
      <family val="2"/>
    </font>
    <font>
      <b/>
      <sz val="11"/>
      <color rgb="FFFF0000"/>
      <name val="Arial"/>
      <family val="2"/>
    </font>
    <font>
      <sz val="9"/>
      <color indexed="81"/>
      <name val="宋体"/>
      <charset val="134"/>
    </font>
  </fonts>
  <fills count="11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3" fillId="0" borderId="0" applyFont="0" applyFill="0" applyBorder="0" applyAlignment="0" applyProtection="0"/>
    <xf numFmtId="0" fontId="21" fillId="0" borderId="0">
      <alignment vertical="center"/>
    </xf>
    <xf numFmtId="9" fontId="3" fillId="0" borderId="0" applyFont="0" applyFill="0" applyBorder="0" applyAlignment="0" applyProtection="0"/>
    <xf numFmtId="0" fontId="20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</cellStyleXfs>
  <cellXfs count="108">
    <xf numFmtId="0" fontId="0" fillId="0" borderId="0" xfId="0">
      <alignment vertical="center"/>
    </xf>
    <xf numFmtId="0" fontId="8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1" fillId="2" borderId="1" xfId="0" applyFont="1" applyFill="1" applyBorder="1" applyAlignment="1">
      <alignment horizontal="left" vertical="center"/>
    </xf>
    <xf numFmtId="0" fontId="9" fillId="3" borderId="2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left" vertical="center"/>
    </xf>
    <xf numFmtId="0" fontId="5" fillId="5" borderId="1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5" fillId="7" borderId="0" xfId="0" applyFont="1" applyFill="1" applyAlignment="1">
      <alignment horizontal="center" vertical="center"/>
    </xf>
    <xf numFmtId="0" fontId="8" fillId="0" borderId="0" xfId="5" applyFont="1" applyAlignment="1">
      <alignment horizontal="center" vertical="center"/>
    </xf>
    <xf numFmtId="0" fontId="5" fillId="0" borderId="0" xfId="5" applyFont="1" applyAlignment="1">
      <alignment horizontal="center" vertical="center"/>
    </xf>
    <xf numFmtId="0" fontId="21" fillId="0" borderId="0" xfId="5">
      <alignment vertical="center"/>
    </xf>
    <xf numFmtId="0" fontId="11" fillId="2" borderId="1" xfId="5" applyFont="1" applyFill="1" applyBorder="1" applyAlignment="1">
      <alignment horizontal="left" vertical="center"/>
    </xf>
    <xf numFmtId="0" fontId="5" fillId="7" borderId="0" xfId="5" applyFont="1" applyFill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6" fillId="9" borderId="3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22" fillId="9" borderId="1" xfId="0" applyFont="1" applyFill="1" applyBorder="1" applyAlignment="1">
      <alignment horizontal="center" vertical="center"/>
    </xf>
    <xf numFmtId="0" fontId="5" fillId="9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vertical="center"/>
    </xf>
    <xf numFmtId="0" fontId="6" fillId="9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0" xfId="0" applyFont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23" fillId="0" borderId="0" xfId="0" applyFont="1" applyFill="1" applyAlignment="1">
      <alignment horizontal="center"/>
    </xf>
    <xf numFmtId="0" fontId="5" fillId="3" borderId="2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 wrapText="1"/>
    </xf>
    <xf numFmtId="0" fontId="5" fillId="9" borderId="7" xfId="0" applyFont="1" applyFill="1" applyBorder="1" applyAlignment="1">
      <alignment horizontal="center" vertical="center"/>
    </xf>
    <xf numFmtId="0" fontId="5" fillId="9" borderId="9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 wrapText="1"/>
    </xf>
    <xf numFmtId="0" fontId="5" fillId="9" borderId="7" xfId="0" applyFont="1" applyFill="1" applyBorder="1" applyAlignment="1">
      <alignment horizontal="center" vertical="center"/>
    </xf>
    <xf numFmtId="0" fontId="5" fillId="9" borderId="9" xfId="0" applyFont="1" applyFill="1" applyBorder="1" applyAlignment="1">
      <alignment horizontal="center" vertical="center"/>
    </xf>
    <xf numFmtId="0" fontId="5" fillId="9" borderId="8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left" vertical="center"/>
    </xf>
    <xf numFmtId="0" fontId="10" fillId="2" borderId="0" xfId="0" applyFont="1" applyFill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vertical="center" wrapText="1"/>
    </xf>
    <xf numFmtId="0" fontId="22" fillId="3" borderId="2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vertical="center"/>
    </xf>
    <xf numFmtId="0" fontId="6" fillId="5" borderId="1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10" fillId="2" borderId="9" xfId="0" applyFont="1" applyFill="1" applyBorder="1" applyAlignment="1">
      <alignment horizontal="left" vertical="center"/>
    </xf>
    <xf numFmtId="0" fontId="5" fillId="3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164" fontId="0" fillId="0" borderId="0" xfId="0" applyNumberFormat="1">
      <alignment vertical="center"/>
    </xf>
    <xf numFmtId="0" fontId="0" fillId="6" borderId="0" xfId="0" applyFill="1">
      <alignment vertical="center"/>
    </xf>
    <xf numFmtId="0" fontId="5" fillId="9" borderId="1" xfId="0" applyFont="1" applyFill="1" applyBorder="1" applyAlignment="1">
      <alignment horizontal="center" vertical="center" wrapText="1"/>
    </xf>
    <xf numFmtId="0" fontId="10" fillId="2" borderId="4" xfId="0" applyFont="1" applyFill="1" applyBorder="1" applyAlignment="1">
      <alignment horizontal="left" vertical="center"/>
    </xf>
    <xf numFmtId="0" fontId="10" fillId="2" borderId="0" xfId="0" applyFont="1" applyFill="1" applyBorder="1" applyAlignment="1">
      <alignment horizontal="left" vertical="center"/>
    </xf>
    <xf numFmtId="0" fontId="10" fillId="2" borderId="4" xfId="0" applyFont="1" applyFill="1" applyBorder="1" applyAlignment="1">
      <alignment horizontal="left" vertical="center"/>
    </xf>
    <xf numFmtId="0" fontId="10" fillId="2" borderId="0" xfId="0" applyFont="1" applyFill="1" applyBorder="1" applyAlignment="1">
      <alignment horizontal="left" vertical="center"/>
    </xf>
    <xf numFmtId="0" fontId="5" fillId="9" borderId="1" xfId="0" applyFont="1" applyFill="1" applyBorder="1" applyAlignment="1">
      <alignment horizontal="center" vertical="center" wrapText="1"/>
    </xf>
    <xf numFmtId="0" fontId="26" fillId="0" borderId="0" xfId="0" applyFont="1">
      <alignment vertical="center"/>
    </xf>
    <xf numFmtId="0" fontId="5" fillId="0" borderId="2" xfId="0" applyFont="1" applyBorder="1" applyAlignment="1">
      <alignment horizontal="center" vertical="center"/>
    </xf>
    <xf numFmtId="11" fontId="0" fillId="0" borderId="0" xfId="0" applyNumberFormat="1">
      <alignment vertical="center"/>
    </xf>
    <xf numFmtId="0" fontId="27" fillId="0" borderId="0" xfId="0" applyFont="1">
      <alignment vertical="center"/>
    </xf>
    <xf numFmtId="11" fontId="21" fillId="0" borderId="0" xfId="5" applyNumberFormat="1">
      <alignment vertical="center"/>
    </xf>
    <xf numFmtId="0" fontId="29" fillId="10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right" vertical="center"/>
    </xf>
    <xf numFmtId="0" fontId="30" fillId="10" borderId="1" xfId="0" applyFont="1" applyFill="1" applyBorder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0" fillId="2" borderId="4" xfId="0" applyFont="1" applyFill="1" applyBorder="1" applyAlignment="1">
      <alignment horizontal="left" vertical="center"/>
    </xf>
    <xf numFmtId="0" fontId="10" fillId="2" borderId="0" xfId="0" applyFont="1" applyFill="1" applyBorder="1" applyAlignment="1">
      <alignment horizontal="left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6" xfId="0" applyFont="1" applyFill="1" applyBorder="1" applyAlignment="1">
      <alignment horizontal="center" vertical="center" wrapText="1"/>
    </xf>
    <xf numFmtId="0" fontId="5" fillId="9" borderId="7" xfId="0" applyFont="1" applyFill="1" applyBorder="1" applyAlignment="1">
      <alignment horizontal="center" vertical="center"/>
    </xf>
    <xf numFmtId="0" fontId="5" fillId="9" borderId="9" xfId="0" applyFont="1" applyFill="1" applyBorder="1" applyAlignment="1">
      <alignment horizontal="center" vertical="center"/>
    </xf>
    <xf numFmtId="0" fontId="5" fillId="9" borderId="8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 wrapText="1"/>
    </xf>
    <xf numFmtId="49" fontId="5" fillId="5" borderId="7" xfId="0" applyNumberFormat="1" applyFont="1" applyFill="1" applyBorder="1" applyAlignment="1">
      <alignment horizontal="center" vertical="center"/>
    </xf>
    <xf numFmtId="49" fontId="5" fillId="5" borderId="8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5" borderId="1" xfId="0" applyNumberFormat="1" applyFont="1" applyFill="1" applyBorder="1" applyAlignment="1">
      <alignment horizontal="center" vertical="center"/>
    </xf>
    <xf numFmtId="0" fontId="5" fillId="6" borderId="0" xfId="0" applyFont="1" applyFill="1" applyAlignment="1">
      <alignment horizontal="left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center" vertical="center"/>
    </xf>
    <xf numFmtId="0" fontId="12" fillId="8" borderId="0" xfId="5" applyFont="1" applyFill="1" applyAlignment="1">
      <alignment horizontal="center" vertical="center"/>
    </xf>
    <xf numFmtId="0" fontId="10" fillId="2" borderId="4" xfId="5" applyFont="1" applyFill="1" applyBorder="1" applyAlignment="1">
      <alignment horizontal="left" vertical="center"/>
    </xf>
    <xf numFmtId="0" fontId="10" fillId="2" borderId="0" xfId="5" applyFont="1" applyFill="1" applyBorder="1" applyAlignment="1">
      <alignment horizontal="left" vertical="center"/>
    </xf>
    <xf numFmtId="0" fontId="29" fillId="6" borderId="1" xfId="0" applyFont="1" applyFill="1" applyBorder="1" applyAlignment="1">
      <alignment horizontal="center" vertical="center"/>
    </xf>
    <xf numFmtId="49" fontId="0" fillId="0" borderId="11" xfId="0" applyNumberFormat="1" applyBorder="1">
      <alignment vertical="center"/>
    </xf>
    <xf numFmtId="0" fontId="0" fillId="0" borderId="12" xfId="0" applyBorder="1" applyAlignment="1">
      <alignment horizontal="right" vertical="center"/>
    </xf>
    <xf numFmtId="49" fontId="0" fillId="0" borderId="13" xfId="0" applyNumberFormat="1" applyBorder="1">
      <alignment vertical="center"/>
    </xf>
    <xf numFmtId="49" fontId="0" fillId="0" borderId="14" xfId="0" applyNumberFormat="1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Font="1" applyFill="1" applyBorder="1" applyAlignment="1">
      <alignment horizontal="right" vertical="center"/>
    </xf>
    <xf numFmtId="0" fontId="0" fillId="0" borderId="18" xfId="0" applyBorder="1">
      <alignment vertical="center"/>
    </xf>
    <xf numFmtId="0" fontId="0" fillId="0" borderId="10" xfId="0" applyBorder="1">
      <alignment vertical="center"/>
    </xf>
  </cellXfs>
  <cellStyles count="7">
    <cellStyle name="Comma 2" xfId="1"/>
    <cellStyle name="Normal 4" xfId="2"/>
    <cellStyle name="Percent 2" xfId="3"/>
    <cellStyle name="常规" xfId="0" builtinId="0"/>
    <cellStyle name="常规 2" xfId="4"/>
    <cellStyle name="常规 2 2" xfId="5"/>
    <cellStyle name="常规 2 2 2" xfId="6"/>
  </cellStyles>
  <dxfs count="3126"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6</xdr:row>
          <xdr:rowOff>57150</xdr:rowOff>
        </xdr:from>
        <xdr:to>
          <xdr:col>2</xdr:col>
          <xdr:colOff>1085850</xdr:colOff>
          <xdr:row>8</xdr:row>
          <xdr:rowOff>19050</xdr:rowOff>
        </xdr:to>
        <xdr:sp macro="" textlink="">
          <xdr:nvSpPr>
            <xdr:cNvPr id="46081" name="Ru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0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8</xdr:row>
          <xdr:rowOff>38100</xdr:rowOff>
        </xdr:from>
        <xdr:to>
          <xdr:col>2</xdr:col>
          <xdr:colOff>1076325</xdr:colOff>
          <xdr:row>9</xdr:row>
          <xdr:rowOff>0</xdr:rowOff>
        </xdr:to>
        <xdr:sp macro="" textlink="">
          <xdr:nvSpPr>
            <xdr:cNvPr id="46082" name="USB_Port_Enable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0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1323975</xdr:colOff>
          <xdr:row>6</xdr:row>
          <xdr:rowOff>66675</xdr:rowOff>
        </xdr:from>
        <xdr:to>
          <xdr:col>2</xdr:col>
          <xdr:colOff>2343150</xdr:colOff>
          <xdr:row>8</xdr:row>
          <xdr:rowOff>47625</xdr:rowOff>
        </xdr:to>
        <xdr:sp macro="" textlink="">
          <xdr:nvSpPr>
            <xdr:cNvPr id="46083" name="Display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0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6</xdr:row>
          <xdr:rowOff>76200</xdr:rowOff>
        </xdr:from>
        <xdr:to>
          <xdr:col>3</xdr:col>
          <xdr:colOff>1009650</xdr:colOff>
          <xdr:row>8</xdr:row>
          <xdr:rowOff>28575</xdr:rowOff>
        </xdr:to>
        <xdr:sp macro="" textlink="">
          <xdr:nvSpPr>
            <xdr:cNvPr id="46084" name="ENDD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0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</xdr:row>
          <xdr:rowOff>19050</xdr:rowOff>
        </xdr:from>
        <xdr:to>
          <xdr:col>2</xdr:col>
          <xdr:colOff>1066800</xdr:colOff>
          <xdr:row>9</xdr:row>
          <xdr:rowOff>171450</xdr:rowOff>
        </xdr:to>
        <xdr:sp macro="" textlink="">
          <xdr:nvSpPr>
            <xdr:cNvPr id="46085" name="Shot_or_not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0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10</xdr:row>
          <xdr:rowOff>38100</xdr:rowOff>
        </xdr:from>
        <xdr:to>
          <xdr:col>2</xdr:col>
          <xdr:colOff>1076325</xdr:colOff>
          <xdr:row>11</xdr:row>
          <xdr:rowOff>0</xdr:rowOff>
        </xdr:to>
        <xdr:sp macro="" textlink="">
          <xdr:nvSpPr>
            <xdr:cNvPr id="46086" name="Trigger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0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J100"/>
  <sheetViews>
    <sheetView tabSelected="1" zoomScale="115" zoomScaleNormal="115" workbookViewId="0">
      <selection activeCell="D30" sqref="D30"/>
    </sheetView>
  </sheetViews>
  <sheetFormatPr defaultRowHeight="13.5"/>
  <cols>
    <col min="1" max="1" width="9.5" bestFit="1" customWidth="1"/>
    <col min="2" max="2" width="13.625" customWidth="1"/>
    <col min="3" max="3" width="31.125" customWidth="1"/>
    <col min="4" max="4" width="31.25" customWidth="1"/>
  </cols>
  <sheetData>
    <row r="2" spans="1:6" ht="67.5">
      <c r="A2" s="30"/>
      <c r="B2" t="s">
        <v>118</v>
      </c>
      <c r="C2" s="30">
        <v>42074</v>
      </c>
      <c r="D2" s="31" t="s">
        <v>119</v>
      </c>
    </row>
    <row r="3" spans="1:6" ht="54">
      <c r="B3" t="s">
        <v>171</v>
      </c>
      <c r="C3" s="30">
        <v>42730</v>
      </c>
      <c r="D3" s="31" t="s">
        <v>172</v>
      </c>
    </row>
    <row r="4" spans="1:6">
      <c r="C4" s="30"/>
    </row>
    <row r="9" spans="1:6" ht="15">
      <c r="B9" s="35"/>
      <c r="D9" s="34" t="s">
        <v>20</v>
      </c>
      <c r="E9" s="63" t="s">
        <v>123</v>
      </c>
      <c r="F9" s="63"/>
    </row>
    <row r="10" spans="1:6" ht="15">
      <c r="B10" s="35" t="s">
        <v>120</v>
      </c>
      <c r="D10" s="34"/>
    </row>
    <row r="11" spans="1:6" ht="15">
      <c r="B11" s="35" t="s">
        <v>122</v>
      </c>
      <c r="C11" s="62"/>
      <c r="D11" s="34"/>
    </row>
    <row r="12" spans="1:6" ht="15.75" thickBot="1">
      <c r="B12" s="35" t="s">
        <v>121</v>
      </c>
      <c r="C12" s="62">
        <v>0</v>
      </c>
      <c r="D12" s="34"/>
    </row>
    <row r="13" spans="1:6">
      <c r="B13" s="99" t="s">
        <v>14</v>
      </c>
      <c r="C13" s="100">
        <v>20</v>
      </c>
      <c r="D13" s="103"/>
    </row>
    <row r="14" spans="1:6">
      <c r="B14" s="101" t="s">
        <v>13</v>
      </c>
      <c r="C14" s="61">
        <v>18</v>
      </c>
      <c r="D14" s="104"/>
    </row>
    <row r="15" spans="1:6">
      <c r="B15" s="101" t="s">
        <v>18</v>
      </c>
      <c r="C15" s="61">
        <v>25</v>
      </c>
      <c r="D15" s="104"/>
    </row>
    <row r="16" spans="1:6">
      <c r="B16" s="101" t="s">
        <v>19</v>
      </c>
      <c r="C16" s="61">
        <v>3</v>
      </c>
      <c r="D16" s="104"/>
    </row>
    <row r="17" spans="2:10" ht="14.25" thickBot="1">
      <c r="B17" s="102" t="s">
        <v>124</v>
      </c>
      <c r="C17" s="105" t="s">
        <v>175</v>
      </c>
      <c r="D17" s="106"/>
    </row>
    <row r="18" spans="2:10">
      <c r="B18" s="33"/>
    </row>
    <row r="19" spans="2:10">
      <c r="B19" s="33"/>
      <c r="C19" s="76" t="s">
        <v>166</v>
      </c>
    </row>
    <row r="20" spans="2:10">
      <c r="B20" s="33"/>
      <c r="C20" s="76" t="s">
        <v>168</v>
      </c>
    </row>
    <row r="21" spans="2:10" ht="14.25" thickBot="1">
      <c r="B21" s="33"/>
      <c r="C21" s="76"/>
    </row>
    <row r="22" spans="2:10" ht="14.25" thickBot="1">
      <c r="B22" s="33"/>
      <c r="C22" s="76" t="s">
        <v>169</v>
      </c>
      <c r="D22" s="107" t="s">
        <v>170</v>
      </c>
    </row>
    <row r="23" spans="2:10">
      <c r="B23" s="33"/>
    </row>
    <row r="24" spans="2:10">
      <c r="B24" s="33"/>
      <c r="C24" s="73"/>
    </row>
    <row r="25" spans="2:10">
      <c r="B25" s="33"/>
    </row>
    <row r="26" spans="2:10">
      <c r="B26" s="33"/>
    </row>
    <row r="27" spans="2:10">
      <c r="B27" s="33"/>
    </row>
    <row r="28" spans="2:10">
      <c r="B28" s="33"/>
      <c r="J28" t="s">
        <v>174</v>
      </c>
    </row>
    <row r="29" spans="2:10">
      <c r="B29" s="33"/>
    </row>
    <row r="30" spans="2:10">
      <c r="B30" s="33"/>
    </row>
    <row r="31" spans="2:10">
      <c r="B31" s="33"/>
    </row>
    <row r="32" spans="2:10">
      <c r="B32" s="33"/>
    </row>
    <row r="33" spans="2:3">
      <c r="B33" s="33"/>
      <c r="C33" t="s">
        <v>151</v>
      </c>
    </row>
    <row r="34" spans="2:3">
      <c r="B34" s="33"/>
      <c r="C34" s="73" t="s">
        <v>165</v>
      </c>
    </row>
    <row r="35" spans="2:3">
      <c r="B35" s="33"/>
      <c r="C35" s="73" t="s">
        <v>155</v>
      </c>
    </row>
    <row r="36" spans="2:3">
      <c r="B36" s="33"/>
    </row>
    <row r="37" spans="2:3">
      <c r="B37" s="33"/>
      <c r="C37" s="73" t="s">
        <v>164</v>
      </c>
    </row>
    <row r="38" spans="2:3">
      <c r="B38" s="33"/>
    </row>
    <row r="39" spans="2:3">
      <c r="B39" s="33"/>
    </row>
    <row r="40" spans="2:3">
      <c r="B40" s="33"/>
    </row>
    <row r="41" spans="2:3">
      <c r="B41" s="33"/>
    </row>
    <row r="42" spans="2:3">
      <c r="B42" s="33"/>
    </row>
    <row r="43" spans="2:3">
      <c r="B43" s="33"/>
    </row>
    <row r="44" spans="2:3">
      <c r="B44" s="33"/>
    </row>
    <row r="45" spans="2:3">
      <c r="B45" s="33"/>
    </row>
    <row r="46" spans="2:3">
      <c r="B46" s="33"/>
    </row>
    <row r="47" spans="2:3">
      <c r="B47" s="33"/>
    </row>
    <row r="48" spans="2:3">
      <c r="B48" s="33"/>
    </row>
    <row r="49" spans="2:2">
      <c r="B49" s="33"/>
    </row>
    <row r="50" spans="2:2">
      <c r="B50" s="33"/>
    </row>
    <row r="51" spans="2:2">
      <c r="B51" s="33"/>
    </row>
    <row r="52" spans="2:2">
      <c r="B52" s="33"/>
    </row>
    <row r="53" spans="2:2">
      <c r="B53" s="33"/>
    </row>
    <row r="54" spans="2:2">
      <c r="B54" s="33"/>
    </row>
    <row r="55" spans="2:2">
      <c r="B55" s="33"/>
    </row>
    <row r="56" spans="2:2">
      <c r="B56" s="33"/>
    </row>
    <row r="57" spans="2:2">
      <c r="B57" s="33"/>
    </row>
    <row r="58" spans="2:2">
      <c r="B58" s="33"/>
    </row>
    <row r="59" spans="2:2">
      <c r="B59" s="33"/>
    </row>
    <row r="60" spans="2:2">
      <c r="B60" s="33"/>
    </row>
    <row r="61" spans="2:2">
      <c r="B61" s="33"/>
    </row>
    <row r="62" spans="2:2">
      <c r="B62" s="33"/>
    </row>
    <row r="63" spans="2:2">
      <c r="B63" s="33"/>
    </row>
    <row r="64" spans="2:2">
      <c r="B64" s="33"/>
    </row>
    <row r="65" spans="2:2">
      <c r="B65" s="33"/>
    </row>
    <row r="66" spans="2:2">
      <c r="B66" s="33"/>
    </row>
    <row r="67" spans="2:2">
      <c r="B67" s="33"/>
    </row>
    <row r="68" spans="2:2">
      <c r="B68" s="33"/>
    </row>
    <row r="69" spans="2:2">
      <c r="B69" s="33"/>
    </row>
    <row r="70" spans="2:2">
      <c r="B70" s="33"/>
    </row>
    <row r="71" spans="2:2">
      <c r="B71" s="33"/>
    </row>
    <row r="72" spans="2:2">
      <c r="B72" s="33"/>
    </row>
    <row r="73" spans="2:2">
      <c r="B73" s="33"/>
    </row>
    <row r="74" spans="2:2">
      <c r="B74" s="33"/>
    </row>
    <row r="75" spans="2:2">
      <c r="B75" s="33"/>
    </row>
    <row r="76" spans="2:2">
      <c r="B76" s="33"/>
    </row>
    <row r="77" spans="2:2">
      <c r="B77" s="33"/>
    </row>
    <row r="78" spans="2:2">
      <c r="B78" s="33"/>
    </row>
    <row r="79" spans="2:2">
      <c r="B79" s="33"/>
    </row>
    <row r="80" spans="2:2">
      <c r="B80" s="33"/>
    </row>
    <row r="81" spans="2:2">
      <c r="B81" s="33"/>
    </row>
    <row r="82" spans="2:2">
      <c r="B82" s="33"/>
    </row>
    <row r="83" spans="2:2">
      <c r="B83" s="33"/>
    </row>
    <row r="84" spans="2:2">
      <c r="B84" s="33"/>
    </row>
    <row r="85" spans="2:2">
      <c r="B85" s="33"/>
    </row>
    <row r="86" spans="2:2">
      <c r="B86" s="33"/>
    </row>
    <row r="87" spans="2:2">
      <c r="B87" s="33"/>
    </row>
    <row r="88" spans="2:2">
      <c r="B88" s="33"/>
    </row>
    <row r="89" spans="2:2">
      <c r="B89" s="33"/>
    </row>
    <row r="90" spans="2:2">
      <c r="B90" s="33"/>
    </row>
    <row r="91" spans="2:2">
      <c r="B91" s="33"/>
    </row>
    <row r="92" spans="2:2">
      <c r="B92" s="33"/>
    </row>
    <row r="93" spans="2:2">
      <c r="B93" s="33"/>
    </row>
    <row r="94" spans="2:2">
      <c r="B94" s="33"/>
    </row>
    <row r="95" spans="2:2">
      <c r="B95" s="33"/>
    </row>
    <row r="96" spans="2:2">
      <c r="B96" s="33"/>
    </row>
    <row r="97" spans="2:2">
      <c r="B97" s="33"/>
    </row>
    <row r="98" spans="2:2">
      <c r="B98" s="33"/>
    </row>
    <row r="99" spans="2:2">
      <c r="B99" s="33"/>
    </row>
    <row r="100" spans="2:2">
      <c r="B100" s="33"/>
    </row>
  </sheetData>
  <phoneticPr fontId="1" type="noConversion"/>
  <conditionalFormatting sqref="B9 B11:B12">
    <cfRule type="cellIs" priority="3" stopIfTrue="1" operator="equal">
      <formula>""</formula>
    </cfRule>
  </conditionalFormatting>
  <conditionalFormatting sqref="B10">
    <cfRule type="cellIs" priority="2" stopIfTrue="1" operator="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6" r:id="rId4" name="Trigger">
          <controlPr defaultSize="0" autoLine="0" r:id="rId5">
            <anchor moveWithCells="1">
              <from>
                <xdr:col>2</xdr:col>
                <xdr:colOff>47625</xdr:colOff>
                <xdr:row>10</xdr:row>
                <xdr:rowOff>38100</xdr:rowOff>
              </from>
              <to>
                <xdr:col>2</xdr:col>
                <xdr:colOff>1076325</xdr:colOff>
                <xdr:row>11</xdr:row>
                <xdr:rowOff>0</xdr:rowOff>
              </to>
            </anchor>
          </controlPr>
        </control>
      </mc:Choice>
      <mc:Fallback>
        <control shapeId="46086" r:id="rId4" name="Trigger"/>
      </mc:Fallback>
    </mc:AlternateContent>
    <mc:AlternateContent xmlns:mc="http://schemas.openxmlformats.org/markup-compatibility/2006">
      <mc:Choice Requires="x14">
        <control shapeId="46082" r:id="rId6" name="USB_Port_Enable">
          <controlPr defaultSize="0" autoLine="0" r:id="rId7">
            <anchor moveWithCells="1">
              <from>
                <xdr:col>2</xdr:col>
                <xdr:colOff>47625</xdr:colOff>
                <xdr:row>8</xdr:row>
                <xdr:rowOff>38100</xdr:rowOff>
              </from>
              <to>
                <xdr:col>2</xdr:col>
                <xdr:colOff>1076325</xdr:colOff>
                <xdr:row>9</xdr:row>
                <xdr:rowOff>0</xdr:rowOff>
              </to>
            </anchor>
          </controlPr>
        </control>
      </mc:Choice>
      <mc:Fallback>
        <control shapeId="46082" r:id="rId6" name="USB_Port_Enable"/>
      </mc:Fallback>
    </mc:AlternateContent>
    <mc:AlternateContent xmlns:mc="http://schemas.openxmlformats.org/markup-compatibility/2006">
      <mc:Choice Requires="x14">
        <control shapeId="46081" r:id="rId8" name="Run">
          <controlPr defaultSize="0" autoLine="0" r:id="rId9">
            <anchor moveWithCells="1">
              <from>
                <xdr:col>1</xdr:col>
                <xdr:colOff>66675</xdr:colOff>
                <xdr:row>6</xdr:row>
                <xdr:rowOff>57150</xdr:rowOff>
              </from>
              <to>
                <xdr:col>2</xdr:col>
                <xdr:colOff>1085850</xdr:colOff>
                <xdr:row>8</xdr:row>
                <xdr:rowOff>19050</xdr:rowOff>
              </to>
            </anchor>
          </controlPr>
        </control>
      </mc:Choice>
      <mc:Fallback>
        <control shapeId="46081" r:id="rId8" name="Run"/>
      </mc:Fallback>
    </mc:AlternateContent>
    <mc:AlternateContent xmlns:mc="http://schemas.openxmlformats.org/markup-compatibility/2006">
      <mc:Choice Requires="x14">
        <control shapeId="46083" r:id="rId10" name="Display">
          <controlPr defaultSize="0" autoLine="0" r:id="rId11">
            <anchor moveWithCells="1">
              <from>
                <xdr:col>2</xdr:col>
                <xdr:colOff>1323975</xdr:colOff>
                <xdr:row>6</xdr:row>
                <xdr:rowOff>66675</xdr:rowOff>
              </from>
              <to>
                <xdr:col>2</xdr:col>
                <xdr:colOff>2343150</xdr:colOff>
                <xdr:row>8</xdr:row>
                <xdr:rowOff>47625</xdr:rowOff>
              </to>
            </anchor>
          </controlPr>
        </control>
      </mc:Choice>
      <mc:Fallback>
        <control shapeId="46083" r:id="rId10" name="Display"/>
      </mc:Fallback>
    </mc:AlternateContent>
    <mc:AlternateContent xmlns:mc="http://schemas.openxmlformats.org/markup-compatibility/2006">
      <mc:Choice Requires="x14">
        <control shapeId="46084" r:id="rId12" name="ENDD">
          <controlPr defaultSize="0" autoLine="0" r:id="rId13">
            <anchor moveWithCells="1">
              <from>
                <xdr:col>3</xdr:col>
                <xdr:colOff>114300</xdr:colOff>
                <xdr:row>6</xdr:row>
                <xdr:rowOff>76200</xdr:rowOff>
              </from>
              <to>
                <xdr:col>3</xdr:col>
                <xdr:colOff>1009650</xdr:colOff>
                <xdr:row>8</xdr:row>
                <xdr:rowOff>28575</xdr:rowOff>
              </to>
            </anchor>
          </controlPr>
        </control>
      </mc:Choice>
      <mc:Fallback>
        <control shapeId="46084" r:id="rId12" name="ENDD"/>
      </mc:Fallback>
    </mc:AlternateContent>
    <mc:AlternateContent xmlns:mc="http://schemas.openxmlformats.org/markup-compatibility/2006">
      <mc:Choice Requires="x14">
        <control shapeId="46085" r:id="rId14" name="Shot_or_not">
          <controlPr defaultSize="0" autoLine="0" r:id="rId15">
            <anchor moveWithCells="1">
              <from>
                <xdr:col>2</xdr:col>
                <xdr:colOff>38100</xdr:colOff>
                <xdr:row>9</xdr:row>
                <xdr:rowOff>19050</xdr:rowOff>
              </from>
              <to>
                <xdr:col>2</xdr:col>
                <xdr:colOff>1066800</xdr:colOff>
                <xdr:row>9</xdr:row>
                <xdr:rowOff>171450</xdr:rowOff>
              </to>
            </anchor>
          </controlPr>
        </control>
      </mc:Choice>
      <mc:Fallback>
        <control shapeId="46085" r:id="rId14" name="Shot_or_no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C12"/>
  <sheetViews>
    <sheetView topLeftCell="BD1" zoomScale="90" zoomScaleNormal="90" workbookViewId="0">
      <selection activeCell="CB8" sqref="CB8:CB12"/>
    </sheetView>
  </sheetViews>
  <sheetFormatPr defaultRowHeight="13.5"/>
  <cols>
    <col min="3" max="3" width="9.875" bestFit="1" customWidth="1"/>
    <col min="4" max="4" width="9" customWidth="1"/>
    <col min="9" max="9" width="7.625" bestFit="1" customWidth="1"/>
    <col min="10" max="10" width="7.75" bestFit="1" customWidth="1"/>
    <col min="11" max="11" width="8" bestFit="1" customWidth="1"/>
    <col min="12" max="12" width="9.875" bestFit="1" customWidth="1"/>
    <col min="13" max="13" width="9" customWidth="1"/>
    <col min="18" max="18" width="7.625" bestFit="1" customWidth="1"/>
    <col min="19" max="19" width="7.75" bestFit="1" customWidth="1"/>
    <col min="20" max="20" width="8" bestFit="1" customWidth="1"/>
    <col min="21" max="21" width="9.875" bestFit="1" customWidth="1"/>
    <col min="22" max="22" width="9" customWidth="1"/>
    <col min="27" max="27" width="7.625" bestFit="1" customWidth="1"/>
    <col min="259" max="259" width="9.875" bestFit="1" customWidth="1"/>
    <col min="260" max="260" width="9" customWidth="1"/>
    <col min="265" max="265" width="7.625" bestFit="1" customWidth="1"/>
    <col min="266" max="266" width="7.75" bestFit="1" customWidth="1"/>
    <col min="267" max="267" width="8" bestFit="1" customWidth="1"/>
    <col min="268" max="268" width="9.875" bestFit="1" customWidth="1"/>
    <col min="269" max="269" width="9" customWidth="1"/>
    <col min="274" max="274" width="7.625" bestFit="1" customWidth="1"/>
    <col min="275" max="275" width="7.75" bestFit="1" customWidth="1"/>
    <col min="276" max="276" width="8" bestFit="1" customWidth="1"/>
    <col min="277" max="277" width="9.875" bestFit="1" customWidth="1"/>
    <col min="278" max="278" width="9" customWidth="1"/>
    <col min="283" max="283" width="7.625" bestFit="1" customWidth="1"/>
    <col min="515" max="515" width="9.875" bestFit="1" customWidth="1"/>
    <col min="516" max="516" width="9" customWidth="1"/>
    <col min="521" max="521" width="7.625" bestFit="1" customWidth="1"/>
    <col min="522" max="522" width="7.75" bestFit="1" customWidth="1"/>
    <col min="523" max="523" width="8" bestFit="1" customWidth="1"/>
    <col min="524" max="524" width="9.875" bestFit="1" customWidth="1"/>
    <col min="525" max="525" width="9" customWidth="1"/>
    <col min="530" max="530" width="7.625" bestFit="1" customWidth="1"/>
    <col min="531" max="531" width="7.75" bestFit="1" customWidth="1"/>
    <col min="532" max="532" width="8" bestFit="1" customWidth="1"/>
    <col min="533" max="533" width="9.875" bestFit="1" customWidth="1"/>
    <col min="534" max="534" width="9" customWidth="1"/>
    <col min="539" max="539" width="7.625" bestFit="1" customWidth="1"/>
    <col min="771" max="771" width="9.875" bestFit="1" customWidth="1"/>
    <col min="772" max="772" width="9" customWidth="1"/>
    <col min="777" max="777" width="7.625" bestFit="1" customWidth="1"/>
    <col min="778" max="778" width="7.75" bestFit="1" customWidth="1"/>
    <col min="779" max="779" width="8" bestFit="1" customWidth="1"/>
    <col min="780" max="780" width="9.875" bestFit="1" customWidth="1"/>
    <col min="781" max="781" width="9" customWidth="1"/>
    <col min="786" max="786" width="7.625" bestFit="1" customWidth="1"/>
    <col min="787" max="787" width="7.75" bestFit="1" customWidth="1"/>
    <col min="788" max="788" width="8" bestFit="1" customWidth="1"/>
    <col min="789" max="789" width="9.875" bestFit="1" customWidth="1"/>
    <col min="790" max="790" width="9" customWidth="1"/>
    <col min="795" max="795" width="7.625" bestFit="1" customWidth="1"/>
    <col min="1027" max="1027" width="9.875" bestFit="1" customWidth="1"/>
    <col min="1028" max="1028" width="9" customWidth="1"/>
    <col min="1033" max="1033" width="7.625" bestFit="1" customWidth="1"/>
    <col min="1034" max="1034" width="7.75" bestFit="1" customWidth="1"/>
    <col min="1035" max="1035" width="8" bestFit="1" customWidth="1"/>
    <col min="1036" max="1036" width="9.875" bestFit="1" customWidth="1"/>
    <col min="1037" max="1037" width="9" customWidth="1"/>
    <col min="1042" max="1042" width="7.625" bestFit="1" customWidth="1"/>
    <col min="1043" max="1043" width="7.75" bestFit="1" customWidth="1"/>
    <col min="1044" max="1044" width="8" bestFit="1" customWidth="1"/>
    <col min="1045" max="1045" width="9.875" bestFit="1" customWidth="1"/>
    <col min="1046" max="1046" width="9" customWidth="1"/>
    <col min="1051" max="1051" width="7.625" bestFit="1" customWidth="1"/>
    <col min="1283" max="1283" width="9.875" bestFit="1" customWidth="1"/>
    <col min="1284" max="1284" width="9" customWidth="1"/>
    <col min="1289" max="1289" width="7.625" bestFit="1" customWidth="1"/>
    <col min="1290" max="1290" width="7.75" bestFit="1" customWidth="1"/>
    <col min="1291" max="1291" width="8" bestFit="1" customWidth="1"/>
    <col min="1292" max="1292" width="9.875" bestFit="1" customWidth="1"/>
    <col min="1293" max="1293" width="9" customWidth="1"/>
    <col min="1298" max="1298" width="7.625" bestFit="1" customWidth="1"/>
    <col min="1299" max="1299" width="7.75" bestFit="1" customWidth="1"/>
    <col min="1300" max="1300" width="8" bestFit="1" customWidth="1"/>
    <col min="1301" max="1301" width="9.875" bestFit="1" customWidth="1"/>
    <col min="1302" max="1302" width="9" customWidth="1"/>
    <col min="1307" max="1307" width="7.625" bestFit="1" customWidth="1"/>
    <col min="1539" max="1539" width="9.875" bestFit="1" customWidth="1"/>
    <col min="1540" max="1540" width="9" customWidth="1"/>
    <col min="1545" max="1545" width="7.625" bestFit="1" customWidth="1"/>
    <col min="1546" max="1546" width="7.75" bestFit="1" customWidth="1"/>
    <col min="1547" max="1547" width="8" bestFit="1" customWidth="1"/>
    <col min="1548" max="1548" width="9.875" bestFit="1" customWidth="1"/>
    <col min="1549" max="1549" width="9" customWidth="1"/>
    <col min="1554" max="1554" width="7.625" bestFit="1" customWidth="1"/>
    <col min="1555" max="1555" width="7.75" bestFit="1" customWidth="1"/>
    <col min="1556" max="1556" width="8" bestFit="1" customWidth="1"/>
    <col min="1557" max="1557" width="9.875" bestFit="1" customWidth="1"/>
    <col min="1558" max="1558" width="9" customWidth="1"/>
    <col min="1563" max="1563" width="7.625" bestFit="1" customWidth="1"/>
    <col min="1795" max="1795" width="9.875" bestFit="1" customWidth="1"/>
    <col min="1796" max="1796" width="9" customWidth="1"/>
    <col min="1801" max="1801" width="7.625" bestFit="1" customWidth="1"/>
    <col min="1802" max="1802" width="7.75" bestFit="1" customWidth="1"/>
    <col min="1803" max="1803" width="8" bestFit="1" customWidth="1"/>
    <col min="1804" max="1804" width="9.875" bestFit="1" customWidth="1"/>
    <col min="1805" max="1805" width="9" customWidth="1"/>
    <col min="1810" max="1810" width="7.625" bestFit="1" customWidth="1"/>
    <col min="1811" max="1811" width="7.75" bestFit="1" customWidth="1"/>
    <col min="1812" max="1812" width="8" bestFit="1" customWidth="1"/>
    <col min="1813" max="1813" width="9.875" bestFit="1" customWidth="1"/>
    <col min="1814" max="1814" width="9" customWidth="1"/>
    <col min="1819" max="1819" width="7.625" bestFit="1" customWidth="1"/>
    <col min="2051" max="2051" width="9.875" bestFit="1" customWidth="1"/>
    <col min="2052" max="2052" width="9" customWidth="1"/>
    <col min="2057" max="2057" width="7.625" bestFit="1" customWidth="1"/>
    <col min="2058" max="2058" width="7.75" bestFit="1" customWidth="1"/>
    <col min="2059" max="2059" width="8" bestFit="1" customWidth="1"/>
    <col min="2060" max="2060" width="9.875" bestFit="1" customWidth="1"/>
    <col min="2061" max="2061" width="9" customWidth="1"/>
    <col min="2066" max="2066" width="7.625" bestFit="1" customWidth="1"/>
    <col min="2067" max="2067" width="7.75" bestFit="1" customWidth="1"/>
    <col min="2068" max="2068" width="8" bestFit="1" customWidth="1"/>
    <col min="2069" max="2069" width="9.875" bestFit="1" customWidth="1"/>
    <col min="2070" max="2070" width="9" customWidth="1"/>
    <col min="2075" max="2075" width="7.625" bestFit="1" customWidth="1"/>
    <col min="2307" max="2307" width="9.875" bestFit="1" customWidth="1"/>
    <col min="2308" max="2308" width="9" customWidth="1"/>
    <col min="2313" max="2313" width="7.625" bestFit="1" customWidth="1"/>
    <col min="2314" max="2314" width="7.75" bestFit="1" customWidth="1"/>
    <col min="2315" max="2315" width="8" bestFit="1" customWidth="1"/>
    <col min="2316" max="2316" width="9.875" bestFit="1" customWidth="1"/>
    <col min="2317" max="2317" width="9" customWidth="1"/>
    <col min="2322" max="2322" width="7.625" bestFit="1" customWidth="1"/>
    <col min="2323" max="2323" width="7.75" bestFit="1" customWidth="1"/>
    <col min="2324" max="2324" width="8" bestFit="1" customWidth="1"/>
    <col min="2325" max="2325" width="9.875" bestFit="1" customWidth="1"/>
    <col min="2326" max="2326" width="9" customWidth="1"/>
    <col min="2331" max="2331" width="7.625" bestFit="1" customWidth="1"/>
    <col min="2563" max="2563" width="9.875" bestFit="1" customWidth="1"/>
    <col min="2564" max="2564" width="9" customWidth="1"/>
    <col min="2569" max="2569" width="7.625" bestFit="1" customWidth="1"/>
    <col min="2570" max="2570" width="7.75" bestFit="1" customWidth="1"/>
    <col min="2571" max="2571" width="8" bestFit="1" customWidth="1"/>
    <col min="2572" max="2572" width="9.875" bestFit="1" customWidth="1"/>
    <col min="2573" max="2573" width="9" customWidth="1"/>
    <col min="2578" max="2578" width="7.625" bestFit="1" customWidth="1"/>
    <col min="2579" max="2579" width="7.75" bestFit="1" customWidth="1"/>
    <col min="2580" max="2580" width="8" bestFit="1" customWidth="1"/>
    <col min="2581" max="2581" width="9.875" bestFit="1" customWidth="1"/>
    <col min="2582" max="2582" width="9" customWidth="1"/>
    <col min="2587" max="2587" width="7.625" bestFit="1" customWidth="1"/>
    <col min="2819" max="2819" width="9.875" bestFit="1" customWidth="1"/>
    <col min="2820" max="2820" width="9" customWidth="1"/>
    <col min="2825" max="2825" width="7.625" bestFit="1" customWidth="1"/>
    <col min="2826" max="2826" width="7.75" bestFit="1" customWidth="1"/>
    <col min="2827" max="2827" width="8" bestFit="1" customWidth="1"/>
    <col min="2828" max="2828" width="9.875" bestFit="1" customWidth="1"/>
    <col min="2829" max="2829" width="9" customWidth="1"/>
    <col min="2834" max="2834" width="7.625" bestFit="1" customWidth="1"/>
    <col min="2835" max="2835" width="7.75" bestFit="1" customWidth="1"/>
    <col min="2836" max="2836" width="8" bestFit="1" customWidth="1"/>
    <col min="2837" max="2837" width="9.875" bestFit="1" customWidth="1"/>
    <col min="2838" max="2838" width="9" customWidth="1"/>
    <col min="2843" max="2843" width="7.625" bestFit="1" customWidth="1"/>
    <col min="3075" max="3075" width="9.875" bestFit="1" customWidth="1"/>
    <col min="3076" max="3076" width="9" customWidth="1"/>
    <col min="3081" max="3081" width="7.625" bestFit="1" customWidth="1"/>
    <col min="3082" max="3082" width="7.75" bestFit="1" customWidth="1"/>
    <col min="3083" max="3083" width="8" bestFit="1" customWidth="1"/>
    <col min="3084" max="3084" width="9.875" bestFit="1" customWidth="1"/>
    <col min="3085" max="3085" width="9" customWidth="1"/>
    <col min="3090" max="3090" width="7.625" bestFit="1" customWidth="1"/>
    <col min="3091" max="3091" width="7.75" bestFit="1" customWidth="1"/>
    <col min="3092" max="3092" width="8" bestFit="1" customWidth="1"/>
    <col min="3093" max="3093" width="9.875" bestFit="1" customWidth="1"/>
    <col min="3094" max="3094" width="9" customWidth="1"/>
    <col min="3099" max="3099" width="7.625" bestFit="1" customWidth="1"/>
    <col min="3331" max="3331" width="9.875" bestFit="1" customWidth="1"/>
    <col min="3332" max="3332" width="9" customWidth="1"/>
    <col min="3337" max="3337" width="7.625" bestFit="1" customWidth="1"/>
    <col min="3338" max="3338" width="7.75" bestFit="1" customWidth="1"/>
    <col min="3339" max="3339" width="8" bestFit="1" customWidth="1"/>
    <col min="3340" max="3340" width="9.875" bestFit="1" customWidth="1"/>
    <col min="3341" max="3341" width="9" customWidth="1"/>
    <col min="3346" max="3346" width="7.625" bestFit="1" customWidth="1"/>
    <col min="3347" max="3347" width="7.75" bestFit="1" customWidth="1"/>
    <col min="3348" max="3348" width="8" bestFit="1" customWidth="1"/>
    <col min="3349" max="3349" width="9.875" bestFit="1" customWidth="1"/>
    <col min="3350" max="3350" width="9" customWidth="1"/>
    <col min="3355" max="3355" width="7.625" bestFit="1" customWidth="1"/>
    <col min="3587" max="3587" width="9.875" bestFit="1" customWidth="1"/>
    <col min="3588" max="3588" width="9" customWidth="1"/>
    <col min="3593" max="3593" width="7.625" bestFit="1" customWidth="1"/>
    <col min="3594" max="3594" width="7.75" bestFit="1" customWidth="1"/>
    <col min="3595" max="3595" width="8" bestFit="1" customWidth="1"/>
    <col min="3596" max="3596" width="9.875" bestFit="1" customWidth="1"/>
    <col min="3597" max="3597" width="9" customWidth="1"/>
    <col min="3602" max="3602" width="7.625" bestFit="1" customWidth="1"/>
    <col min="3603" max="3603" width="7.75" bestFit="1" customWidth="1"/>
    <col min="3604" max="3604" width="8" bestFit="1" customWidth="1"/>
    <col min="3605" max="3605" width="9.875" bestFit="1" customWidth="1"/>
    <col min="3606" max="3606" width="9" customWidth="1"/>
    <col min="3611" max="3611" width="7.625" bestFit="1" customWidth="1"/>
    <col min="3843" max="3843" width="9.875" bestFit="1" customWidth="1"/>
    <col min="3844" max="3844" width="9" customWidth="1"/>
    <col min="3849" max="3849" width="7.625" bestFit="1" customWidth="1"/>
    <col min="3850" max="3850" width="7.75" bestFit="1" customWidth="1"/>
    <col min="3851" max="3851" width="8" bestFit="1" customWidth="1"/>
    <col min="3852" max="3852" width="9.875" bestFit="1" customWidth="1"/>
    <col min="3853" max="3853" width="9" customWidth="1"/>
    <col min="3858" max="3858" width="7.625" bestFit="1" customWidth="1"/>
    <col min="3859" max="3859" width="7.75" bestFit="1" customWidth="1"/>
    <col min="3860" max="3860" width="8" bestFit="1" customWidth="1"/>
    <col min="3861" max="3861" width="9.875" bestFit="1" customWidth="1"/>
    <col min="3862" max="3862" width="9" customWidth="1"/>
    <col min="3867" max="3867" width="7.625" bestFit="1" customWidth="1"/>
    <col min="4099" max="4099" width="9.875" bestFit="1" customWidth="1"/>
    <col min="4100" max="4100" width="9" customWidth="1"/>
    <col min="4105" max="4105" width="7.625" bestFit="1" customWidth="1"/>
    <col min="4106" max="4106" width="7.75" bestFit="1" customWidth="1"/>
    <col min="4107" max="4107" width="8" bestFit="1" customWidth="1"/>
    <col min="4108" max="4108" width="9.875" bestFit="1" customWidth="1"/>
    <col min="4109" max="4109" width="9" customWidth="1"/>
    <col min="4114" max="4114" width="7.625" bestFit="1" customWidth="1"/>
    <col min="4115" max="4115" width="7.75" bestFit="1" customWidth="1"/>
    <col min="4116" max="4116" width="8" bestFit="1" customWidth="1"/>
    <col min="4117" max="4117" width="9.875" bestFit="1" customWidth="1"/>
    <col min="4118" max="4118" width="9" customWidth="1"/>
    <col min="4123" max="4123" width="7.625" bestFit="1" customWidth="1"/>
    <col min="4355" max="4355" width="9.875" bestFit="1" customWidth="1"/>
    <col min="4356" max="4356" width="9" customWidth="1"/>
    <col min="4361" max="4361" width="7.625" bestFit="1" customWidth="1"/>
    <col min="4362" max="4362" width="7.75" bestFit="1" customWidth="1"/>
    <col min="4363" max="4363" width="8" bestFit="1" customWidth="1"/>
    <col min="4364" max="4364" width="9.875" bestFit="1" customWidth="1"/>
    <col min="4365" max="4365" width="9" customWidth="1"/>
    <col min="4370" max="4370" width="7.625" bestFit="1" customWidth="1"/>
    <col min="4371" max="4371" width="7.75" bestFit="1" customWidth="1"/>
    <col min="4372" max="4372" width="8" bestFit="1" customWidth="1"/>
    <col min="4373" max="4373" width="9.875" bestFit="1" customWidth="1"/>
    <col min="4374" max="4374" width="9" customWidth="1"/>
    <col min="4379" max="4379" width="7.625" bestFit="1" customWidth="1"/>
    <col min="4611" max="4611" width="9.875" bestFit="1" customWidth="1"/>
    <col min="4612" max="4612" width="9" customWidth="1"/>
    <col min="4617" max="4617" width="7.625" bestFit="1" customWidth="1"/>
    <col min="4618" max="4618" width="7.75" bestFit="1" customWidth="1"/>
    <col min="4619" max="4619" width="8" bestFit="1" customWidth="1"/>
    <col min="4620" max="4620" width="9.875" bestFit="1" customWidth="1"/>
    <col min="4621" max="4621" width="9" customWidth="1"/>
    <col min="4626" max="4626" width="7.625" bestFit="1" customWidth="1"/>
    <col min="4627" max="4627" width="7.75" bestFit="1" customWidth="1"/>
    <col min="4628" max="4628" width="8" bestFit="1" customWidth="1"/>
    <col min="4629" max="4629" width="9.875" bestFit="1" customWidth="1"/>
    <col min="4630" max="4630" width="9" customWidth="1"/>
    <col min="4635" max="4635" width="7.625" bestFit="1" customWidth="1"/>
    <col min="4867" max="4867" width="9.875" bestFit="1" customWidth="1"/>
    <col min="4868" max="4868" width="9" customWidth="1"/>
    <col min="4873" max="4873" width="7.625" bestFit="1" customWidth="1"/>
    <col min="4874" max="4874" width="7.75" bestFit="1" customWidth="1"/>
    <col min="4875" max="4875" width="8" bestFit="1" customWidth="1"/>
    <col min="4876" max="4876" width="9.875" bestFit="1" customWidth="1"/>
    <col min="4877" max="4877" width="9" customWidth="1"/>
    <col min="4882" max="4882" width="7.625" bestFit="1" customWidth="1"/>
    <col min="4883" max="4883" width="7.75" bestFit="1" customWidth="1"/>
    <col min="4884" max="4884" width="8" bestFit="1" customWidth="1"/>
    <col min="4885" max="4885" width="9.875" bestFit="1" customWidth="1"/>
    <col min="4886" max="4886" width="9" customWidth="1"/>
    <col min="4891" max="4891" width="7.625" bestFit="1" customWidth="1"/>
    <col min="5123" max="5123" width="9.875" bestFit="1" customWidth="1"/>
    <col min="5124" max="5124" width="9" customWidth="1"/>
    <col min="5129" max="5129" width="7.625" bestFit="1" customWidth="1"/>
    <col min="5130" max="5130" width="7.75" bestFit="1" customWidth="1"/>
    <col min="5131" max="5131" width="8" bestFit="1" customWidth="1"/>
    <col min="5132" max="5132" width="9.875" bestFit="1" customWidth="1"/>
    <col min="5133" max="5133" width="9" customWidth="1"/>
    <col min="5138" max="5138" width="7.625" bestFit="1" customWidth="1"/>
    <col min="5139" max="5139" width="7.75" bestFit="1" customWidth="1"/>
    <col min="5140" max="5140" width="8" bestFit="1" customWidth="1"/>
    <col min="5141" max="5141" width="9.875" bestFit="1" customWidth="1"/>
    <col min="5142" max="5142" width="9" customWidth="1"/>
    <col min="5147" max="5147" width="7.625" bestFit="1" customWidth="1"/>
    <col min="5379" max="5379" width="9.875" bestFit="1" customWidth="1"/>
    <col min="5380" max="5380" width="9" customWidth="1"/>
    <col min="5385" max="5385" width="7.625" bestFit="1" customWidth="1"/>
    <col min="5386" max="5386" width="7.75" bestFit="1" customWidth="1"/>
    <col min="5387" max="5387" width="8" bestFit="1" customWidth="1"/>
    <col min="5388" max="5388" width="9.875" bestFit="1" customWidth="1"/>
    <col min="5389" max="5389" width="9" customWidth="1"/>
    <col min="5394" max="5394" width="7.625" bestFit="1" customWidth="1"/>
    <col min="5395" max="5395" width="7.75" bestFit="1" customWidth="1"/>
    <col min="5396" max="5396" width="8" bestFit="1" customWidth="1"/>
    <col min="5397" max="5397" width="9.875" bestFit="1" customWidth="1"/>
    <col min="5398" max="5398" width="9" customWidth="1"/>
    <col min="5403" max="5403" width="7.625" bestFit="1" customWidth="1"/>
    <col min="5635" max="5635" width="9.875" bestFit="1" customWidth="1"/>
    <col min="5636" max="5636" width="9" customWidth="1"/>
    <col min="5641" max="5641" width="7.625" bestFit="1" customWidth="1"/>
    <col min="5642" max="5642" width="7.75" bestFit="1" customWidth="1"/>
    <col min="5643" max="5643" width="8" bestFit="1" customWidth="1"/>
    <col min="5644" max="5644" width="9.875" bestFit="1" customWidth="1"/>
    <col min="5645" max="5645" width="9" customWidth="1"/>
    <col min="5650" max="5650" width="7.625" bestFit="1" customWidth="1"/>
    <col min="5651" max="5651" width="7.75" bestFit="1" customWidth="1"/>
    <col min="5652" max="5652" width="8" bestFit="1" customWidth="1"/>
    <col min="5653" max="5653" width="9.875" bestFit="1" customWidth="1"/>
    <col min="5654" max="5654" width="9" customWidth="1"/>
    <col min="5659" max="5659" width="7.625" bestFit="1" customWidth="1"/>
    <col min="5891" max="5891" width="9.875" bestFit="1" customWidth="1"/>
    <col min="5892" max="5892" width="9" customWidth="1"/>
    <col min="5897" max="5897" width="7.625" bestFit="1" customWidth="1"/>
    <col min="5898" max="5898" width="7.75" bestFit="1" customWidth="1"/>
    <col min="5899" max="5899" width="8" bestFit="1" customWidth="1"/>
    <col min="5900" max="5900" width="9.875" bestFit="1" customWidth="1"/>
    <col min="5901" max="5901" width="9" customWidth="1"/>
    <col min="5906" max="5906" width="7.625" bestFit="1" customWidth="1"/>
    <col min="5907" max="5907" width="7.75" bestFit="1" customWidth="1"/>
    <col min="5908" max="5908" width="8" bestFit="1" customWidth="1"/>
    <col min="5909" max="5909" width="9.875" bestFit="1" customWidth="1"/>
    <col min="5910" max="5910" width="9" customWidth="1"/>
    <col min="5915" max="5915" width="7.625" bestFit="1" customWidth="1"/>
    <col min="6147" max="6147" width="9.875" bestFit="1" customWidth="1"/>
    <col min="6148" max="6148" width="9" customWidth="1"/>
    <col min="6153" max="6153" width="7.625" bestFit="1" customWidth="1"/>
    <col min="6154" max="6154" width="7.75" bestFit="1" customWidth="1"/>
    <col min="6155" max="6155" width="8" bestFit="1" customWidth="1"/>
    <col min="6156" max="6156" width="9.875" bestFit="1" customWidth="1"/>
    <col min="6157" max="6157" width="9" customWidth="1"/>
    <col min="6162" max="6162" width="7.625" bestFit="1" customWidth="1"/>
    <col min="6163" max="6163" width="7.75" bestFit="1" customWidth="1"/>
    <col min="6164" max="6164" width="8" bestFit="1" customWidth="1"/>
    <col min="6165" max="6165" width="9.875" bestFit="1" customWidth="1"/>
    <col min="6166" max="6166" width="9" customWidth="1"/>
    <col min="6171" max="6171" width="7.625" bestFit="1" customWidth="1"/>
    <col min="6403" max="6403" width="9.875" bestFit="1" customWidth="1"/>
    <col min="6404" max="6404" width="9" customWidth="1"/>
    <col min="6409" max="6409" width="7.625" bestFit="1" customWidth="1"/>
    <col min="6410" max="6410" width="7.75" bestFit="1" customWidth="1"/>
    <col min="6411" max="6411" width="8" bestFit="1" customWidth="1"/>
    <col min="6412" max="6412" width="9.875" bestFit="1" customWidth="1"/>
    <col min="6413" max="6413" width="9" customWidth="1"/>
    <col min="6418" max="6418" width="7.625" bestFit="1" customWidth="1"/>
    <col min="6419" max="6419" width="7.75" bestFit="1" customWidth="1"/>
    <col min="6420" max="6420" width="8" bestFit="1" customWidth="1"/>
    <col min="6421" max="6421" width="9.875" bestFit="1" customWidth="1"/>
    <col min="6422" max="6422" width="9" customWidth="1"/>
    <col min="6427" max="6427" width="7.625" bestFit="1" customWidth="1"/>
    <col min="6659" max="6659" width="9.875" bestFit="1" customWidth="1"/>
    <col min="6660" max="6660" width="9" customWidth="1"/>
    <col min="6665" max="6665" width="7.625" bestFit="1" customWidth="1"/>
    <col min="6666" max="6666" width="7.75" bestFit="1" customWidth="1"/>
    <col min="6667" max="6667" width="8" bestFit="1" customWidth="1"/>
    <col min="6668" max="6668" width="9.875" bestFit="1" customWidth="1"/>
    <col min="6669" max="6669" width="9" customWidth="1"/>
    <col min="6674" max="6674" width="7.625" bestFit="1" customWidth="1"/>
    <col min="6675" max="6675" width="7.75" bestFit="1" customWidth="1"/>
    <col min="6676" max="6676" width="8" bestFit="1" customWidth="1"/>
    <col min="6677" max="6677" width="9.875" bestFit="1" customWidth="1"/>
    <col min="6678" max="6678" width="9" customWidth="1"/>
    <col min="6683" max="6683" width="7.625" bestFit="1" customWidth="1"/>
    <col min="6915" max="6915" width="9.875" bestFit="1" customWidth="1"/>
    <col min="6916" max="6916" width="9" customWidth="1"/>
    <col min="6921" max="6921" width="7.625" bestFit="1" customWidth="1"/>
    <col min="6922" max="6922" width="7.75" bestFit="1" customWidth="1"/>
    <col min="6923" max="6923" width="8" bestFit="1" customWidth="1"/>
    <col min="6924" max="6924" width="9.875" bestFit="1" customWidth="1"/>
    <col min="6925" max="6925" width="9" customWidth="1"/>
    <col min="6930" max="6930" width="7.625" bestFit="1" customWidth="1"/>
    <col min="6931" max="6931" width="7.75" bestFit="1" customWidth="1"/>
    <col min="6932" max="6932" width="8" bestFit="1" customWidth="1"/>
    <col min="6933" max="6933" width="9.875" bestFit="1" customWidth="1"/>
    <col min="6934" max="6934" width="9" customWidth="1"/>
    <col min="6939" max="6939" width="7.625" bestFit="1" customWidth="1"/>
    <col min="7171" max="7171" width="9.875" bestFit="1" customWidth="1"/>
    <col min="7172" max="7172" width="9" customWidth="1"/>
    <col min="7177" max="7177" width="7.625" bestFit="1" customWidth="1"/>
    <col min="7178" max="7178" width="7.75" bestFit="1" customWidth="1"/>
    <col min="7179" max="7179" width="8" bestFit="1" customWidth="1"/>
    <col min="7180" max="7180" width="9.875" bestFit="1" customWidth="1"/>
    <col min="7181" max="7181" width="9" customWidth="1"/>
    <col min="7186" max="7186" width="7.625" bestFit="1" customWidth="1"/>
    <col min="7187" max="7187" width="7.75" bestFit="1" customWidth="1"/>
    <col min="7188" max="7188" width="8" bestFit="1" customWidth="1"/>
    <col min="7189" max="7189" width="9.875" bestFit="1" customWidth="1"/>
    <col min="7190" max="7190" width="9" customWidth="1"/>
    <col min="7195" max="7195" width="7.625" bestFit="1" customWidth="1"/>
    <col min="7427" max="7427" width="9.875" bestFit="1" customWidth="1"/>
    <col min="7428" max="7428" width="9" customWidth="1"/>
    <col min="7433" max="7433" width="7.625" bestFit="1" customWidth="1"/>
    <col min="7434" max="7434" width="7.75" bestFit="1" customWidth="1"/>
    <col min="7435" max="7435" width="8" bestFit="1" customWidth="1"/>
    <col min="7436" max="7436" width="9.875" bestFit="1" customWidth="1"/>
    <col min="7437" max="7437" width="9" customWidth="1"/>
    <col min="7442" max="7442" width="7.625" bestFit="1" customWidth="1"/>
    <col min="7443" max="7443" width="7.75" bestFit="1" customWidth="1"/>
    <col min="7444" max="7444" width="8" bestFit="1" customWidth="1"/>
    <col min="7445" max="7445" width="9.875" bestFit="1" customWidth="1"/>
    <col min="7446" max="7446" width="9" customWidth="1"/>
    <col min="7451" max="7451" width="7.625" bestFit="1" customWidth="1"/>
    <col min="7683" max="7683" width="9.875" bestFit="1" customWidth="1"/>
    <col min="7684" max="7684" width="9" customWidth="1"/>
    <col min="7689" max="7689" width="7.625" bestFit="1" customWidth="1"/>
    <col min="7690" max="7690" width="7.75" bestFit="1" customWidth="1"/>
    <col min="7691" max="7691" width="8" bestFit="1" customWidth="1"/>
    <col min="7692" max="7692" width="9.875" bestFit="1" customWidth="1"/>
    <col min="7693" max="7693" width="9" customWidth="1"/>
    <col min="7698" max="7698" width="7.625" bestFit="1" customWidth="1"/>
    <col min="7699" max="7699" width="7.75" bestFit="1" customWidth="1"/>
    <col min="7700" max="7700" width="8" bestFit="1" customWidth="1"/>
    <col min="7701" max="7701" width="9.875" bestFit="1" customWidth="1"/>
    <col min="7702" max="7702" width="9" customWidth="1"/>
    <col min="7707" max="7707" width="7.625" bestFit="1" customWidth="1"/>
    <col min="7939" max="7939" width="9.875" bestFit="1" customWidth="1"/>
    <col min="7940" max="7940" width="9" customWidth="1"/>
    <col min="7945" max="7945" width="7.625" bestFit="1" customWidth="1"/>
    <col min="7946" max="7946" width="7.75" bestFit="1" customWidth="1"/>
    <col min="7947" max="7947" width="8" bestFit="1" customWidth="1"/>
    <col min="7948" max="7948" width="9.875" bestFit="1" customWidth="1"/>
    <col min="7949" max="7949" width="9" customWidth="1"/>
    <col min="7954" max="7954" width="7.625" bestFit="1" customWidth="1"/>
    <col min="7955" max="7955" width="7.75" bestFit="1" customWidth="1"/>
    <col min="7956" max="7956" width="8" bestFit="1" customWidth="1"/>
    <col min="7957" max="7957" width="9.875" bestFit="1" customWidth="1"/>
    <col min="7958" max="7958" width="9" customWidth="1"/>
    <col min="7963" max="7963" width="7.625" bestFit="1" customWidth="1"/>
    <col min="8195" max="8195" width="9.875" bestFit="1" customWidth="1"/>
    <col min="8196" max="8196" width="9" customWidth="1"/>
    <col min="8201" max="8201" width="7.625" bestFit="1" customWidth="1"/>
    <col min="8202" max="8202" width="7.75" bestFit="1" customWidth="1"/>
    <col min="8203" max="8203" width="8" bestFit="1" customWidth="1"/>
    <col min="8204" max="8204" width="9.875" bestFit="1" customWidth="1"/>
    <col min="8205" max="8205" width="9" customWidth="1"/>
    <col min="8210" max="8210" width="7.625" bestFit="1" customWidth="1"/>
    <col min="8211" max="8211" width="7.75" bestFit="1" customWidth="1"/>
    <col min="8212" max="8212" width="8" bestFit="1" customWidth="1"/>
    <col min="8213" max="8213" width="9.875" bestFit="1" customWidth="1"/>
    <col min="8214" max="8214" width="9" customWidth="1"/>
    <col min="8219" max="8219" width="7.625" bestFit="1" customWidth="1"/>
    <col min="8451" max="8451" width="9.875" bestFit="1" customWidth="1"/>
    <col min="8452" max="8452" width="9" customWidth="1"/>
    <col min="8457" max="8457" width="7.625" bestFit="1" customWidth="1"/>
    <col min="8458" max="8458" width="7.75" bestFit="1" customWidth="1"/>
    <col min="8459" max="8459" width="8" bestFit="1" customWidth="1"/>
    <col min="8460" max="8460" width="9.875" bestFit="1" customWidth="1"/>
    <col min="8461" max="8461" width="9" customWidth="1"/>
    <col min="8466" max="8466" width="7.625" bestFit="1" customWidth="1"/>
    <col min="8467" max="8467" width="7.75" bestFit="1" customWidth="1"/>
    <col min="8468" max="8468" width="8" bestFit="1" customWidth="1"/>
    <col min="8469" max="8469" width="9.875" bestFit="1" customWidth="1"/>
    <col min="8470" max="8470" width="9" customWidth="1"/>
    <col min="8475" max="8475" width="7.625" bestFit="1" customWidth="1"/>
    <col min="8707" max="8707" width="9.875" bestFit="1" customWidth="1"/>
    <col min="8708" max="8708" width="9" customWidth="1"/>
    <col min="8713" max="8713" width="7.625" bestFit="1" customWidth="1"/>
    <col min="8714" max="8714" width="7.75" bestFit="1" customWidth="1"/>
    <col min="8715" max="8715" width="8" bestFit="1" customWidth="1"/>
    <col min="8716" max="8716" width="9.875" bestFit="1" customWidth="1"/>
    <col min="8717" max="8717" width="9" customWidth="1"/>
    <col min="8722" max="8722" width="7.625" bestFit="1" customWidth="1"/>
    <col min="8723" max="8723" width="7.75" bestFit="1" customWidth="1"/>
    <col min="8724" max="8724" width="8" bestFit="1" customWidth="1"/>
    <col min="8725" max="8725" width="9.875" bestFit="1" customWidth="1"/>
    <col min="8726" max="8726" width="9" customWidth="1"/>
    <col min="8731" max="8731" width="7.625" bestFit="1" customWidth="1"/>
    <col min="8963" max="8963" width="9.875" bestFit="1" customWidth="1"/>
    <col min="8964" max="8964" width="9" customWidth="1"/>
    <col min="8969" max="8969" width="7.625" bestFit="1" customWidth="1"/>
    <col min="8970" max="8970" width="7.75" bestFit="1" customWidth="1"/>
    <col min="8971" max="8971" width="8" bestFit="1" customWidth="1"/>
    <col min="8972" max="8972" width="9.875" bestFit="1" customWidth="1"/>
    <col min="8973" max="8973" width="9" customWidth="1"/>
    <col min="8978" max="8978" width="7.625" bestFit="1" customWidth="1"/>
    <col min="8979" max="8979" width="7.75" bestFit="1" customWidth="1"/>
    <col min="8980" max="8980" width="8" bestFit="1" customWidth="1"/>
    <col min="8981" max="8981" width="9.875" bestFit="1" customWidth="1"/>
    <col min="8982" max="8982" width="9" customWidth="1"/>
    <col min="8987" max="8987" width="7.625" bestFit="1" customWidth="1"/>
    <col min="9219" max="9219" width="9.875" bestFit="1" customWidth="1"/>
    <col min="9220" max="9220" width="9" customWidth="1"/>
    <col min="9225" max="9225" width="7.625" bestFit="1" customWidth="1"/>
    <col min="9226" max="9226" width="7.75" bestFit="1" customWidth="1"/>
    <col min="9227" max="9227" width="8" bestFit="1" customWidth="1"/>
    <col min="9228" max="9228" width="9.875" bestFit="1" customWidth="1"/>
    <col min="9229" max="9229" width="9" customWidth="1"/>
    <col min="9234" max="9234" width="7.625" bestFit="1" customWidth="1"/>
    <col min="9235" max="9235" width="7.75" bestFit="1" customWidth="1"/>
    <col min="9236" max="9236" width="8" bestFit="1" customWidth="1"/>
    <col min="9237" max="9237" width="9.875" bestFit="1" customWidth="1"/>
    <col min="9238" max="9238" width="9" customWidth="1"/>
    <col min="9243" max="9243" width="7.625" bestFit="1" customWidth="1"/>
    <col min="9475" max="9475" width="9.875" bestFit="1" customWidth="1"/>
    <col min="9476" max="9476" width="9" customWidth="1"/>
    <col min="9481" max="9481" width="7.625" bestFit="1" customWidth="1"/>
    <col min="9482" max="9482" width="7.75" bestFit="1" customWidth="1"/>
    <col min="9483" max="9483" width="8" bestFit="1" customWidth="1"/>
    <col min="9484" max="9484" width="9.875" bestFit="1" customWidth="1"/>
    <col min="9485" max="9485" width="9" customWidth="1"/>
    <col min="9490" max="9490" width="7.625" bestFit="1" customWidth="1"/>
    <col min="9491" max="9491" width="7.75" bestFit="1" customWidth="1"/>
    <col min="9492" max="9492" width="8" bestFit="1" customWidth="1"/>
    <col min="9493" max="9493" width="9.875" bestFit="1" customWidth="1"/>
    <col min="9494" max="9494" width="9" customWidth="1"/>
    <col min="9499" max="9499" width="7.625" bestFit="1" customWidth="1"/>
    <col min="9731" max="9731" width="9.875" bestFit="1" customWidth="1"/>
    <col min="9732" max="9732" width="9" customWidth="1"/>
    <col min="9737" max="9737" width="7.625" bestFit="1" customWidth="1"/>
    <col min="9738" max="9738" width="7.75" bestFit="1" customWidth="1"/>
    <col min="9739" max="9739" width="8" bestFit="1" customWidth="1"/>
    <col min="9740" max="9740" width="9.875" bestFit="1" customWidth="1"/>
    <col min="9741" max="9741" width="9" customWidth="1"/>
    <col min="9746" max="9746" width="7.625" bestFit="1" customWidth="1"/>
    <col min="9747" max="9747" width="7.75" bestFit="1" customWidth="1"/>
    <col min="9748" max="9748" width="8" bestFit="1" customWidth="1"/>
    <col min="9749" max="9749" width="9.875" bestFit="1" customWidth="1"/>
    <col min="9750" max="9750" width="9" customWidth="1"/>
    <col min="9755" max="9755" width="7.625" bestFit="1" customWidth="1"/>
    <col min="9987" max="9987" width="9.875" bestFit="1" customWidth="1"/>
    <col min="9988" max="9988" width="9" customWidth="1"/>
    <col min="9993" max="9993" width="7.625" bestFit="1" customWidth="1"/>
    <col min="9994" max="9994" width="7.75" bestFit="1" customWidth="1"/>
    <col min="9995" max="9995" width="8" bestFit="1" customWidth="1"/>
    <col min="9996" max="9996" width="9.875" bestFit="1" customWidth="1"/>
    <col min="9997" max="9997" width="9" customWidth="1"/>
    <col min="10002" max="10002" width="7.625" bestFit="1" customWidth="1"/>
    <col min="10003" max="10003" width="7.75" bestFit="1" customWidth="1"/>
    <col min="10004" max="10004" width="8" bestFit="1" customWidth="1"/>
    <col min="10005" max="10005" width="9.875" bestFit="1" customWidth="1"/>
    <col min="10006" max="10006" width="9" customWidth="1"/>
    <col min="10011" max="10011" width="7.625" bestFit="1" customWidth="1"/>
    <col min="10243" max="10243" width="9.875" bestFit="1" customWidth="1"/>
    <col min="10244" max="10244" width="9" customWidth="1"/>
    <col min="10249" max="10249" width="7.625" bestFit="1" customWidth="1"/>
    <col min="10250" max="10250" width="7.75" bestFit="1" customWidth="1"/>
    <col min="10251" max="10251" width="8" bestFit="1" customWidth="1"/>
    <col min="10252" max="10252" width="9.875" bestFit="1" customWidth="1"/>
    <col min="10253" max="10253" width="9" customWidth="1"/>
    <col min="10258" max="10258" width="7.625" bestFit="1" customWidth="1"/>
    <col min="10259" max="10259" width="7.75" bestFit="1" customWidth="1"/>
    <col min="10260" max="10260" width="8" bestFit="1" customWidth="1"/>
    <col min="10261" max="10261" width="9.875" bestFit="1" customWidth="1"/>
    <col min="10262" max="10262" width="9" customWidth="1"/>
    <col min="10267" max="10267" width="7.625" bestFit="1" customWidth="1"/>
    <col min="10499" max="10499" width="9.875" bestFit="1" customWidth="1"/>
    <col min="10500" max="10500" width="9" customWidth="1"/>
    <col min="10505" max="10505" width="7.625" bestFit="1" customWidth="1"/>
    <col min="10506" max="10506" width="7.75" bestFit="1" customWidth="1"/>
    <col min="10507" max="10507" width="8" bestFit="1" customWidth="1"/>
    <col min="10508" max="10508" width="9.875" bestFit="1" customWidth="1"/>
    <col min="10509" max="10509" width="9" customWidth="1"/>
    <col min="10514" max="10514" width="7.625" bestFit="1" customWidth="1"/>
    <col min="10515" max="10515" width="7.75" bestFit="1" customWidth="1"/>
    <col min="10516" max="10516" width="8" bestFit="1" customWidth="1"/>
    <col min="10517" max="10517" width="9.875" bestFit="1" customWidth="1"/>
    <col min="10518" max="10518" width="9" customWidth="1"/>
    <col min="10523" max="10523" width="7.625" bestFit="1" customWidth="1"/>
    <col min="10755" max="10755" width="9.875" bestFit="1" customWidth="1"/>
    <col min="10756" max="10756" width="9" customWidth="1"/>
    <col min="10761" max="10761" width="7.625" bestFit="1" customWidth="1"/>
    <col min="10762" max="10762" width="7.75" bestFit="1" customWidth="1"/>
    <col min="10763" max="10763" width="8" bestFit="1" customWidth="1"/>
    <col min="10764" max="10764" width="9.875" bestFit="1" customWidth="1"/>
    <col min="10765" max="10765" width="9" customWidth="1"/>
    <col min="10770" max="10770" width="7.625" bestFit="1" customWidth="1"/>
    <col min="10771" max="10771" width="7.75" bestFit="1" customWidth="1"/>
    <col min="10772" max="10772" width="8" bestFit="1" customWidth="1"/>
    <col min="10773" max="10773" width="9.875" bestFit="1" customWidth="1"/>
    <col min="10774" max="10774" width="9" customWidth="1"/>
    <col min="10779" max="10779" width="7.625" bestFit="1" customWidth="1"/>
    <col min="11011" max="11011" width="9.875" bestFit="1" customWidth="1"/>
    <col min="11012" max="11012" width="9" customWidth="1"/>
    <col min="11017" max="11017" width="7.625" bestFit="1" customWidth="1"/>
    <col min="11018" max="11018" width="7.75" bestFit="1" customWidth="1"/>
    <col min="11019" max="11019" width="8" bestFit="1" customWidth="1"/>
    <col min="11020" max="11020" width="9.875" bestFit="1" customWidth="1"/>
    <col min="11021" max="11021" width="9" customWidth="1"/>
    <col min="11026" max="11026" width="7.625" bestFit="1" customWidth="1"/>
    <col min="11027" max="11027" width="7.75" bestFit="1" customWidth="1"/>
    <col min="11028" max="11028" width="8" bestFit="1" customWidth="1"/>
    <col min="11029" max="11029" width="9.875" bestFit="1" customWidth="1"/>
    <col min="11030" max="11030" width="9" customWidth="1"/>
    <col min="11035" max="11035" width="7.625" bestFit="1" customWidth="1"/>
    <col min="11267" max="11267" width="9.875" bestFit="1" customWidth="1"/>
    <col min="11268" max="11268" width="9" customWidth="1"/>
    <col min="11273" max="11273" width="7.625" bestFit="1" customWidth="1"/>
    <col min="11274" max="11274" width="7.75" bestFit="1" customWidth="1"/>
    <col min="11275" max="11275" width="8" bestFit="1" customWidth="1"/>
    <col min="11276" max="11276" width="9.875" bestFit="1" customWidth="1"/>
    <col min="11277" max="11277" width="9" customWidth="1"/>
    <col min="11282" max="11282" width="7.625" bestFit="1" customWidth="1"/>
    <col min="11283" max="11283" width="7.75" bestFit="1" customWidth="1"/>
    <col min="11284" max="11284" width="8" bestFit="1" customWidth="1"/>
    <col min="11285" max="11285" width="9.875" bestFit="1" customWidth="1"/>
    <col min="11286" max="11286" width="9" customWidth="1"/>
    <col min="11291" max="11291" width="7.625" bestFit="1" customWidth="1"/>
    <col min="11523" max="11523" width="9.875" bestFit="1" customWidth="1"/>
    <col min="11524" max="11524" width="9" customWidth="1"/>
    <col min="11529" max="11529" width="7.625" bestFit="1" customWidth="1"/>
    <col min="11530" max="11530" width="7.75" bestFit="1" customWidth="1"/>
    <col min="11531" max="11531" width="8" bestFit="1" customWidth="1"/>
    <col min="11532" max="11532" width="9.875" bestFit="1" customWidth="1"/>
    <col min="11533" max="11533" width="9" customWidth="1"/>
    <col min="11538" max="11538" width="7.625" bestFit="1" customWidth="1"/>
    <col min="11539" max="11539" width="7.75" bestFit="1" customWidth="1"/>
    <col min="11540" max="11540" width="8" bestFit="1" customWidth="1"/>
    <col min="11541" max="11541" width="9.875" bestFit="1" customWidth="1"/>
    <col min="11542" max="11542" width="9" customWidth="1"/>
    <col min="11547" max="11547" width="7.625" bestFit="1" customWidth="1"/>
    <col min="11779" max="11779" width="9.875" bestFit="1" customWidth="1"/>
    <col min="11780" max="11780" width="9" customWidth="1"/>
    <col min="11785" max="11785" width="7.625" bestFit="1" customWidth="1"/>
    <col min="11786" max="11786" width="7.75" bestFit="1" customWidth="1"/>
    <col min="11787" max="11787" width="8" bestFit="1" customWidth="1"/>
    <col min="11788" max="11788" width="9.875" bestFit="1" customWidth="1"/>
    <col min="11789" max="11789" width="9" customWidth="1"/>
    <col min="11794" max="11794" width="7.625" bestFit="1" customWidth="1"/>
    <col min="11795" max="11795" width="7.75" bestFit="1" customWidth="1"/>
    <col min="11796" max="11796" width="8" bestFit="1" customWidth="1"/>
    <col min="11797" max="11797" width="9.875" bestFit="1" customWidth="1"/>
    <col min="11798" max="11798" width="9" customWidth="1"/>
    <col min="11803" max="11803" width="7.625" bestFit="1" customWidth="1"/>
    <col min="12035" max="12035" width="9.875" bestFit="1" customWidth="1"/>
    <col min="12036" max="12036" width="9" customWidth="1"/>
    <col min="12041" max="12041" width="7.625" bestFit="1" customWidth="1"/>
    <col min="12042" max="12042" width="7.75" bestFit="1" customWidth="1"/>
    <col min="12043" max="12043" width="8" bestFit="1" customWidth="1"/>
    <col min="12044" max="12044" width="9.875" bestFit="1" customWidth="1"/>
    <col min="12045" max="12045" width="9" customWidth="1"/>
    <col min="12050" max="12050" width="7.625" bestFit="1" customWidth="1"/>
    <col min="12051" max="12051" width="7.75" bestFit="1" customWidth="1"/>
    <col min="12052" max="12052" width="8" bestFit="1" customWidth="1"/>
    <col min="12053" max="12053" width="9.875" bestFit="1" customWidth="1"/>
    <col min="12054" max="12054" width="9" customWidth="1"/>
    <col min="12059" max="12059" width="7.625" bestFit="1" customWidth="1"/>
    <col min="12291" max="12291" width="9.875" bestFit="1" customWidth="1"/>
    <col min="12292" max="12292" width="9" customWidth="1"/>
    <col min="12297" max="12297" width="7.625" bestFit="1" customWidth="1"/>
    <col min="12298" max="12298" width="7.75" bestFit="1" customWidth="1"/>
    <col min="12299" max="12299" width="8" bestFit="1" customWidth="1"/>
    <col min="12300" max="12300" width="9.875" bestFit="1" customWidth="1"/>
    <col min="12301" max="12301" width="9" customWidth="1"/>
    <col min="12306" max="12306" width="7.625" bestFit="1" customWidth="1"/>
    <col min="12307" max="12307" width="7.75" bestFit="1" customWidth="1"/>
    <col min="12308" max="12308" width="8" bestFit="1" customWidth="1"/>
    <col min="12309" max="12309" width="9.875" bestFit="1" customWidth="1"/>
    <col min="12310" max="12310" width="9" customWidth="1"/>
    <col min="12315" max="12315" width="7.625" bestFit="1" customWidth="1"/>
    <col min="12547" max="12547" width="9.875" bestFit="1" customWidth="1"/>
    <col min="12548" max="12548" width="9" customWidth="1"/>
    <col min="12553" max="12553" width="7.625" bestFit="1" customWidth="1"/>
    <col min="12554" max="12554" width="7.75" bestFit="1" customWidth="1"/>
    <col min="12555" max="12555" width="8" bestFit="1" customWidth="1"/>
    <col min="12556" max="12556" width="9.875" bestFit="1" customWidth="1"/>
    <col min="12557" max="12557" width="9" customWidth="1"/>
    <col min="12562" max="12562" width="7.625" bestFit="1" customWidth="1"/>
    <col min="12563" max="12563" width="7.75" bestFit="1" customWidth="1"/>
    <col min="12564" max="12564" width="8" bestFit="1" customWidth="1"/>
    <col min="12565" max="12565" width="9.875" bestFit="1" customWidth="1"/>
    <col min="12566" max="12566" width="9" customWidth="1"/>
    <col min="12571" max="12571" width="7.625" bestFit="1" customWidth="1"/>
    <col min="12803" max="12803" width="9.875" bestFit="1" customWidth="1"/>
    <col min="12804" max="12804" width="9" customWidth="1"/>
    <col min="12809" max="12809" width="7.625" bestFit="1" customWidth="1"/>
    <col min="12810" max="12810" width="7.75" bestFit="1" customWidth="1"/>
    <col min="12811" max="12811" width="8" bestFit="1" customWidth="1"/>
    <col min="12812" max="12812" width="9.875" bestFit="1" customWidth="1"/>
    <col min="12813" max="12813" width="9" customWidth="1"/>
    <col min="12818" max="12818" width="7.625" bestFit="1" customWidth="1"/>
    <col min="12819" max="12819" width="7.75" bestFit="1" customWidth="1"/>
    <col min="12820" max="12820" width="8" bestFit="1" customWidth="1"/>
    <col min="12821" max="12821" width="9.875" bestFit="1" customWidth="1"/>
    <col min="12822" max="12822" width="9" customWidth="1"/>
    <col min="12827" max="12827" width="7.625" bestFit="1" customWidth="1"/>
    <col min="13059" max="13059" width="9.875" bestFit="1" customWidth="1"/>
    <col min="13060" max="13060" width="9" customWidth="1"/>
    <col min="13065" max="13065" width="7.625" bestFit="1" customWidth="1"/>
    <col min="13066" max="13066" width="7.75" bestFit="1" customWidth="1"/>
    <col min="13067" max="13067" width="8" bestFit="1" customWidth="1"/>
    <col min="13068" max="13068" width="9.875" bestFit="1" customWidth="1"/>
    <col min="13069" max="13069" width="9" customWidth="1"/>
    <col min="13074" max="13074" width="7.625" bestFit="1" customWidth="1"/>
    <col min="13075" max="13075" width="7.75" bestFit="1" customWidth="1"/>
    <col min="13076" max="13076" width="8" bestFit="1" customWidth="1"/>
    <col min="13077" max="13077" width="9.875" bestFit="1" customWidth="1"/>
    <col min="13078" max="13078" width="9" customWidth="1"/>
    <col min="13083" max="13083" width="7.625" bestFit="1" customWidth="1"/>
    <col min="13315" max="13315" width="9.875" bestFit="1" customWidth="1"/>
    <col min="13316" max="13316" width="9" customWidth="1"/>
    <col min="13321" max="13321" width="7.625" bestFit="1" customWidth="1"/>
    <col min="13322" max="13322" width="7.75" bestFit="1" customWidth="1"/>
    <col min="13323" max="13323" width="8" bestFit="1" customWidth="1"/>
    <col min="13324" max="13324" width="9.875" bestFit="1" customWidth="1"/>
    <col min="13325" max="13325" width="9" customWidth="1"/>
    <col min="13330" max="13330" width="7.625" bestFit="1" customWidth="1"/>
    <col min="13331" max="13331" width="7.75" bestFit="1" customWidth="1"/>
    <col min="13332" max="13332" width="8" bestFit="1" customWidth="1"/>
    <col min="13333" max="13333" width="9.875" bestFit="1" customWidth="1"/>
    <col min="13334" max="13334" width="9" customWidth="1"/>
    <col min="13339" max="13339" width="7.625" bestFit="1" customWidth="1"/>
    <col min="13571" max="13571" width="9.875" bestFit="1" customWidth="1"/>
    <col min="13572" max="13572" width="9" customWidth="1"/>
    <col min="13577" max="13577" width="7.625" bestFit="1" customWidth="1"/>
    <col min="13578" max="13578" width="7.75" bestFit="1" customWidth="1"/>
    <col min="13579" max="13579" width="8" bestFit="1" customWidth="1"/>
    <col min="13580" max="13580" width="9.875" bestFit="1" customWidth="1"/>
    <col min="13581" max="13581" width="9" customWidth="1"/>
    <col min="13586" max="13586" width="7.625" bestFit="1" customWidth="1"/>
    <col min="13587" max="13587" width="7.75" bestFit="1" customWidth="1"/>
    <col min="13588" max="13588" width="8" bestFit="1" customWidth="1"/>
    <col min="13589" max="13589" width="9.875" bestFit="1" customWidth="1"/>
    <col min="13590" max="13590" width="9" customWidth="1"/>
    <col min="13595" max="13595" width="7.625" bestFit="1" customWidth="1"/>
    <col min="13827" max="13827" width="9.875" bestFit="1" customWidth="1"/>
    <col min="13828" max="13828" width="9" customWidth="1"/>
    <col min="13833" max="13833" width="7.625" bestFit="1" customWidth="1"/>
    <col min="13834" max="13834" width="7.75" bestFit="1" customWidth="1"/>
    <col min="13835" max="13835" width="8" bestFit="1" customWidth="1"/>
    <col min="13836" max="13836" width="9.875" bestFit="1" customWidth="1"/>
    <col min="13837" max="13837" width="9" customWidth="1"/>
    <col min="13842" max="13842" width="7.625" bestFit="1" customWidth="1"/>
    <col min="13843" max="13843" width="7.75" bestFit="1" customWidth="1"/>
    <col min="13844" max="13844" width="8" bestFit="1" customWidth="1"/>
    <col min="13845" max="13845" width="9.875" bestFit="1" customWidth="1"/>
    <col min="13846" max="13846" width="9" customWidth="1"/>
    <col min="13851" max="13851" width="7.625" bestFit="1" customWidth="1"/>
    <col min="14083" max="14083" width="9.875" bestFit="1" customWidth="1"/>
    <col min="14084" max="14084" width="9" customWidth="1"/>
    <col min="14089" max="14089" width="7.625" bestFit="1" customWidth="1"/>
    <col min="14090" max="14090" width="7.75" bestFit="1" customWidth="1"/>
    <col min="14091" max="14091" width="8" bestFit="1" customWidth="1"/>
    <col min="14092" max="14092" width="9.875" bestFit="1" customWidth="1"/>
    <col min="14093" max="14093" width="9" customWidth="1"/>
    <col min="14098" max="14098" width="7.625" bestFit="1" customWidth="1"/>
    <col min="14099" max="14099" width="7.75" bestFit="1" customWidth="1"/>
    <col min="14100" max="14100" width="8" bestFit="1" customWidth="1"/>
    <col min="14101" max="14101" width="9.875" bestFit="1" customWidth="1"/>
    <col min="14102" max="14102" width="9" customWidth="1"/>
    <col min="14107" max="14107" width="7.625" bestFit="1" customWidth="1"/>
    <col min="14339" max="14339" width="9.875" bestFit="1" customWidth="1"/>
    <col min="14340" max="14340" width="9" customWidth="1"/>
    <col min="14345" max="14345" width="7.625" bestFit="1" customWidth="1"/>
    <col min="14346" max="14346" width="7.75" bestFit="1" customWidth="1"/>
    <col min="14347" max="14347" width="8" bestFit="1" customWidth="1"/>
    <col min="14348" max="14348" width="9.875" bestFit="1" customWidth="1"/>
    <col min="14349" max="14349" width="9" customWidth="1"/>
    <col min="14354" max="14354" width="7.625" bestFit="1" customWidth="1"/>
    <col min="14355" max="14355" width="7.75" bestFit="1" customWidth="1"/>
    <col min="14356" max="14356" width="8" bestFit="1" customWidth="1"/>
    <col min="14357" max="14357" width="9.875" bestFit="1" customWidth="1"/>
    <col min="14358" max="14358" width="9" customWidth="1"/>
    <col min="14363" max="14363" width="7.625" bestFit="1" customWidth="1"/>
    <col min="14595" max="14595" width="9.875" bestFit="1" customWidth="1"/>
    <col min="14596" max="14596" width="9" customWidth="1"/>
    <col min="14601" max="14601" width="7.625" bestFit="1" customWidth="1"/>
    <col min="14602" max="14602" width="7.75" bestFit="1" customWidth="1"/>
    <col min="14603" max="14603" width="8" bestFit="1" customWidth="1"/>
    <col min="14604" max="14604" width="9.875" bestFit="1" customWidth="1"/>
    <col min="14605" max="14605" width="9" customWidth="1"/>
    <col min="14610" max="14610" width="7.625" bestFit="1" customWidth="1"/>
    <col min="14611" max="14611" width="7.75" bestFit="1" customWidth="1"/>
    <col min="14612" max="14612" width="8" bestFit="1" customWidth="1"/>
    <col min="14613" max="14613" width="9.875" bestFit="1" customWidth="1"/>
    <col min="14614" max="14614" width="9" customWidth="1"/>
    <col min="14619" max="14619" width="7.625" bestFit="1" customWidth="1"/>
    <col min="14851" max="14851" width="9.875" bestFit="1" customWidth="1"/>
    <col min="14852" max="14852" width="9" customWidth="1"/>
    <col min="14857" max="14857" width="7.625" bestFit="1" customWidth="1"/>
    <col min="14858" max="14858" width="7.75" bestFit="1" customWidth="1"/>
    <col min="14859" max="14859" width="8" bestFit="1" customWidth="1"/>
    <col min="14860" max="14860" width="9.875" bestFit="1" customWidth="1"/>
    <col min="14861" max="14861" width="9" customWidth="1"/>
    <col min="14866" max="14866" width="7.625" bestFit="1" customWidth="1"/>
    <col min="14867" max="14867" width="7.75" bestFit="1" customWidth="1"/>
    <col min="14868" max="14868" width="8" bestFit="1" customWidth="1"/>
    <col min="14869" max="14869" width="9.875" bestFit="1" customWidth="1"/>
    <col min="14870" max="14870" width="9" customWidth="1"/>
    <col min="14875" max="14875" width="7.625" bestFit="1" customWidth="1"/>
    <col min="15107" max="15107" width="9.875" bestFit="1" customWidth="1"/>
    <col min="15108" max="15108" width="9" customWidth="1"/>
    <col min="15113" max="15113" width="7.625" bestFit="1" customWidth="1"/>
    <col min="15114" max="15114" width="7.75" bestFit="1" customWidth="1"/>
    <col min="15115" max="15115" width="8" bestFit="1" customWidth="1"/>
    <col min="15116" max="15116" width="9.875" bestFit="1" customWidth="1"/>
    <col min="15117" max="15117" width="9" customWidth="1"/>
    <col min="15122" max="15122" width="7.625" bestFit="1" customWidth="1"/>
    <col min="15123" max="15123" width="7.75" bestFit="1" customWidth="1"/>
    <col min="15124" max="15124" width="8" bestFit="1" customWidth="1"/>
    <col min="15125" max="15125" width="9.875" bestFit="1" customWidth="1"/>
    <col min="15126" max="15126" width="9" customWidth="1"/>
    <col min="15131" max="15131" width="7.625" bestFit="1" customWidth="1"/>
    <col min="15363" max="15363" width="9.875" bestFit="1" customWidth="1"/>
    <col min="15364" max="15364" width="9" customWidth="1"/>
    <col min="15369" max="15369" width="7.625" bestFit="1" customWidth="1"/>
    <col min="15370" max="15370" width="7.75" bestFit="1" customWidth="1"/>
    <col min="15371" max="15371" width="8" bestFit="1" customWidth="1"/>
    <col min="15372" max="15372" width="9.875" bestFit="1" customWidth="1"/>
    <col min="15373" max="15373" width="9" customWidth="1"/>
    <col min="15378" max="15378" width="7.625" bestFit="1" customWidth="1"/>
    <col min="15379" max="15379" width="7.75" bestFit="1" customWidth="1"/>
    <col min="15380" max="15380" width="8" bestFit="1" customWidth="1"/>
    <col min="15381" max="15381" width="9.875" bestFit="1" customWidth="1"/>
    <col min="15382" max="15382" width="9" customWidth="1"/>
    <col min="15387" max="15387" width="7.625" bestFit="1" customWidth="1"/>
    <col min="15619" max="15619" width="9.875" bestFit="1" customWidth="1"/>
    <col min="15620" max="15620" width="9" customWidth="1"/>
    <col min="15625" max="15625" width="7.625" bestFit="1" customWidth="1"/>
    <col min="15626" max="15626" width="7.75" bestFit="1" customWidth="1"/>
    <col min="15627" max="15627" width="8" bestFit="1" customWidth="1"/>
    <col min="15628" max="15628" width="9.875" bestFit="1" customWidth="1"/>
    <col min="15629" max="15629" width="9" customWidth="1"/>
    <col min="15634" max="15634" width="7.625" bestFit="1" customWidth="1"/>
    <col min="15635" max="15635" width="7.75" bestFit="1" customWidth="1"/>
    <col min="15636" max="15636" width="8" bestFit="1" customWidth="1"/>
    <col min="15637" max="15637" width="9.875" bestFit="1" customWidth="1"/>
    <col min="15638" max="15638" width="9" customWidth="1"/>
    <col min="15643" max="15643" width="7.625" bestFit="1" customWidth="1"/>
    <col min="15875" max="15875" width="9.875" bestFit="1" customWidth="1"/>
    <col min="15876" max="15876" width="9" customWidth="1"/>
    <col min="15881" max="15881" width="7.625" bestFit="1" customWidth="1"/>
    <col min="15882" max="15882" width="7.75" bestFit="1" customWidth="1"/>
    <col min="15883" max="15883" width="8" bestFit="1" customWidth="1"/>
    <col min="15884" max="15884" width="9.875" bestFit="1" customWidth="1"/>
    <col min="15885" max="15885" width="9" customWidth="1"/>
    <col min="15890" max="15890" width="7.625" bestFit="1" customWidth="1"/>
    <col min="15891" max="15891" width="7.75" bestFit="1" customWidth="1"/>
    <col min="15892" max="15892" width="8" bestFit="1" customWidth="1"/>
    <col min="15893" max="15893" width="9.875" bestFit="1" customWidth="1"/>
    <col min="15894" max="15894" width="9" customWidth="1"/>
    <col min="15899" max="15899" width="7.625" bestFit="1" customWidth="1"/>
    <col min="16131" max="16131" width="9.875" bestFit="1" customWidth="1"/>
    <col min="16132" max="16132" width="9" customWidth="1"/>
    <col min="16137" max="16137" width="7.625" bestFit="1" customWidth="1"/>
    <col min="16138" max="16138" width="7.75" bestFit="1" customWidth="1"/>
    <col min="16139" max="16139" width="8" bestFit="1" customWidth="1"/>
    <col min="16140" max="16140" width="9.875" bestFit="1" customWidth="1"/>
    <col min="16141" max="16141" width="9" customWidth="1"/>
    <col min="16146" max="16146" width="7.625" bestFit="1" customWidth="1"/>
    <col min="16147" max="16147" width="7.75" bestFit="1" customWidth="1"/>
    <col min="16148" max="16148" width="8" bestFit="1" customWidth="1"/>
    <col min="16149" max="16149" width="9.875" bestFit="1" customWidth="1"/>
    <col min="16150" max="16150" width="9" customWidth="1"/>
    <col min="16155" max="16155" width="7.625" bestFit="1" customWidth="1"/>
  </cols>
  <sheetData>
    <row r="1" spans="1:81" ht="35.25">
      <c r="A1" s="1" t="s">
        <v>54</v>
      </c>
      <c r="B1" s="78" t="s">
        <v>46</v>
      </c>
      <c r="C1" s="78"/>
      <c r="D1" s="78"/>
      <c r="E1" s="78"/>
      <c r="F1" s="78"/>
      <c r="G1" s="78"/>
      <c r="H1" s="78"/>
      <c r="I1" s="78"/>
      <c r="J1" s="78"/>
      <c r="K1" s="78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81" ht="14.25">
      <c r="A2" s="3" t="s">
        <v>23</v>
      </c>
      <c r="B2" s="79" t="s">
        <v>24</v>
      </c>
      <c r="C2" s="80"/>
      <c r="D2" s="80"/>
      <c r="E2" s="80"/>
      <c r="F2" s="80"/>
      <c r="G2" s="80"/>
      <c r="H2" s="80"/>
      <c r="I2" s="80"/>
      <c r="J2" s="80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81" ht="14.25">
      <c r="A3" s="3" t="s">
        <v>0</v>
      </c>
      <c r="B3" s="79" t="s">
        <v>25</v>
      </c>
      <c r="C3" s="80"/>
      <c r="D3" s="80"/>
      <c r="E3" s="80"/>
      <c r="F3" s="80"/>
      <c r="G3" s="80"/>
      <c r="H3" s="80"/>
      <c r="I3" s="80"/>
      <c r="J3" s="80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81" ht="14.25">
      <c r="A4" s="3" t="s">
        <v>1</v>
      </c>
      <c r="B4" s="79" t="s">
        <v>55</v>
      </c>
      <c r="C4" s="80"/>
      <c r="D4" s="80"/>
      <c r="E4" s="80"/>
      <c r="F4" s="80"/>
      <c r="G4" s="80"/>
      <c r="H4" s="80"/>
      <c r="I4" s="80"/>
      <c r="J4" s="80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81" ht="14.25" customHeight="1">
      <c r="A5" s="19" t="s">
        <v>167</v>
      </c>
      <c r="B5" s="5" t="s">
        <v>26</v>
      </c>
      <c r="C5" s="5" t="s">
        <v>27</v>
      </c>
      <c r="D5" s="5" t="s">
        <v>28</v>
      </c>
      <c r="E5" s="5" t="s">
        <v>56</v>
      </c>
      <c r="F5" s="5" t="s">
        <v>57</v>
      </c>
      <c r="G5" s="21" t="s">
        <v>3</v>
      </c>
      <c r="H5" s="41" t="s">
        <v>4</v>
      </c>
      <c r="I5" s="81" t="s">
        <v>29</v>
      </c>
      <c r="J5" s="19" t="s">
        <v>167</v>
      </c>
      <c r="K5" s="20" t="s">
        <v>26</v>
      </c>
      <c r="L5" s="20" t="s">
        <v>27</v>
      </c>
      <c r="M5" s="20" t="s">
        <v>28</v>
      </c>
      <c r="N5" s="20" t="s">
        <v>56</v>
      </c>
      <c r="O5" s="20" t="s">
        <v>57</v>
      </c>
      <c r="P5" s="21" t="s">
        <v>3</v>
      </c>
      <c r="Q5" s="41" t="s">
        <v>4</v>
      </c>
      <c r="R5" s="86" t="s">
        <v>29</v>
      </c>
      <c r="S5" s="19" t="s">
        <v>167</v>
      </c>
      <c r="T5" s="20" t="s">
        <v>26</v>
      </c>
      <c r="U5" s="20" t="s">
        <v>27</v>
      </c>
      <c r="V5" s="20" t="s">
        <v>28</v>
      </c>
      <c r="W5" s="20" t="s">
        <v>56</v>
      </c>
      <c r="X5" s="20" t="s">
        <v>57</v>
      </c>
      <c r="Y5" s="21" t="s">
        <v>3</v>
      </c>
      <c r="Z5" s="41" t="s">
        <v>4</v>
      </c>
      <c r="AA5" s="86" t="s">
        <v>29</v>
      </c>
      <c r="AB5" s="19" t="s">
        <v>167</v>
      </c>
      <c r="AC5" s="20" t="s">
        <v>26</v>
      </c>
      <c r="AD5" s="20" t="s">
        <v>27</v>
      </c>
      <c r="AE5" s="20" t="s">
        <v>28</v>
      </c>
      <c r="AF5" s="20" t="s">
        <v>56</v>
      </c>
      <c r="AG5" s="20" t="s">
        <v>57</v>
      </c>
      <c r="AH5" s="21" t="s">
        <v>3</v>
      </c>
      <c r="AI5" s="41" t="s">
        <v>4</v>
      </c>
      <c r="AJ5" s="81" t="s">
        <v>29</v>
      </c>
      <c r="AK5" s="19" t="s">
        <v>167</v>
      </c>
      <c r="AL5" s="20" t="s">
        <v>26</v>
      </c>
      <c r="AM5" s="20" t="s">
        <v>27</v>
      </c>
      <c r="AN5" s="20" t="s">
        <v>28</v>
      </c>
      <c r="AO5" s="20" t="s">
        <v>56</v>
      </c>
      <c r="AP5" s="20" t="s">
        <v>57</v>
      </c>
      <c r="AQ5" s="21" t="s">
        <v>3</v>
      </c>
      <c r="AR5" s="41" t="s">
        <v>4</v>
      </c>
      <c r="AS5" s="86" t="s">
        <v>29</v>
      </c>
      <c r="AT5" s="19" t="s">
        <v>167</v>
      </c>
      <c r="AU5" s="5" t="s">
        <v>26</v>
      </c>
      <c r="AV5" s="5" t="s">
        <v>27</v>
      </c>
      <c r="AW5" s="5" t="s">
        <v>28</v>
      </c>
      <c r="AX5" s="5" t="s">
        <v>56</v>
      </c>
      <c r="AY5" s="5" t="s">
        <v>57</v>
      </c>
      <c r="AZ5" s="21" t="s">
        <v>3</v>
      </c>
      <c r="BA5" s="41" t="s">
        <v>4</v>
      </c>
      <c r="BB5" s="81" t="s">
        <v>29</v>
      </c>
      <c r="BC5" s="19" t="s">
        <v>167</v>
      </c>
      <c r="BD5" s="20" t="s">
        <v>26</v>
      </c>
      <c r="BE5" s="20" t="s">
        <v>27</v>
      </c>
      <c r="BF5" s="20" t="s">
        <v>28</v>
      </c>
      <c r="BG5" s="20" t="s">
        <v>56</v>
      </c>
      <c r="BH5" s="20" t="s">
        <v>57</v>
      </c>
      <c r="BI5" s="21" t="s">
        <v>3</v>
      </c>
      <c r="BJ5" s="41" t="s">
        <v>4</v>
      </c>
      <c r="BK5" s="86" t="s">
        <v>29</v>
      </c>
      <c r="BL5" s="19" t="s">
        <v>167</v>
      </c>
      <c r="BM5" s="5" t="s">
        <v>26</v>
      </c>
      <c r="BN5" s="5" t="s">
        <v>27</v>
      </c>
      <c r="BO5" s="5" t="s">
        <v>28</v>
      </c>
      <c r="BP5" s="5" t="s">
        <v>56</v>
      </c>
      <c r="BQ5" s="5" t="s">
        <v>57</v>
      </c>
      <c r="BR5" s="21" t="s">
        <v>3</v>
      </c>
      <c r="BS5" s="41" t="s">
        <v>4</v>
      </c>
      <c r="BT5" s="81" t="s">
        <v>29</v>
      </c>
      <c r="BU5" s="19" t="s">
        <v>167</v>
      </c>
      <c r="BV5" s="20" t="s">
        <v>26</v>
      </c>
      <c r="BW5" s="20" t="s">
        <v>27</v>
      </c>
      <c r="BX5" s="20" t="s">
        <v>28</v>
      </c>
      <c r="BY5" s="20" t="s">
        <v>56</v>
      </c>
      <c r="BZ5" s="20" t="s">
        <v>57</v>
      </c>
      <c r="CA5" s="21" t="s">
        <v>3</v>
      </c>
      <c r="CB5" s="41" t="s">
        <v>4</v>
      </c>
      <c r="CC5" s="86" t="s">
        <v>29</v>
      </c>
    </row>
    <row r="6" spans="1:81" ht="15">
      <c r="A6" s="7" t="s">
        <v>30</v>
      </c>
      <c r="B6" s="8">
        <v>18025</v>
      </c>
      <c r="C6" s="8">
        <v>1922.5</v>
      </c>
      <c r="D6" s="4">
        <v>5</v>
      </c>
      <c r="E6" s="8" t="s">
        <v>10</v>
      </c>
      <c r="F6" s="50">
        <v>1</v>
      </c>
      <c r="G6" s="24" t="s">
        <v>15</v>
      </c>
      <c r="H6" s="25" t="s">
        <v>6</v>
      </c>
      <c r="I6" s="82"/>
      <c r="J6" s="22" t="s">
        <v>32</v>
      </c>
      <c r="K6" s="28">
        <v>18300</v>
      </c>
      <c r="L6" s="28">
        <v>1950</v>
      </c>
      <c r="M6" s="23">
        <v>5</v>
      </c>
      <c r="N6" s="28" t="s">
        <v>10</v>
      </c>
      <c r="O6" s="29">
        <v>1</v>
      </c>
      <c r="P6" s="24" t="s">
        <v>15</v>
      </c>
      <c r="Q6" s="25" t="s">
        <v>7</v>
      </c>
      <c r="R6" s="86"/>
      <c r="S6" s="27" t="s">
        <v>31</v>
      </c>
      <c r="T6" s="28">
        <v>18575</v>
      </c>
      <c r="U6" s="28">
        <v>1977.5</v>
      </c>
      <c r="V6" s="23">
        <v>5</v>
      </c>
      <c r="W6" s="28" t="s">
        <v>10</v>
      </c>
      <c r="X6" s="29">
        <v>1</v>
      </c>
      <c r="Y6" s="24" t="s">
        <v>117</v>
      </c>
      <c r="Z6" s="25" t="s">
        <v>7</v>
      </c>
      <c r="AA6" s="86"/>
      <c r="AB6" s="27" t="s">
        <v>30</v>
      </c>
      <c r="AC6" s="28">
        <v>18025</v>
      </c>
      <c r="AD6" s="28">
        <v>1922.5</v>
      </c>
      <c r="AE6" s="23">
        <v>5</v>
      </c>
      <c r="AF6" s="28" t="s">
        <v>10</v>
      </c>
      <c r="AG6" s="29">
        <v>25</v>
      </c>
      <c r="AH6" s="24" t="s">
        <v>15</v>
      </c>
      <c r="AI6" s="25" t="s">
        <v>6</v>
      </c>
      <c r="AJ6" s="82"/>
      <c r="AK6" s="27" t="s">
        <v>31</v>
      </c>
      <c r="AL6" s="28">
        <v>18575</v>
      </c>
      <c r="AM6" s="28">
        <v>1977.5</v>
      </c>
      <c r="AN6" s="23">
        <v>5</v>
      </c>
      <c r="AO6" s="28" t="s">
        <v>10</v>
      </c>
      <c r="AP6" s="29">
        <v>25</v>
      </c>
      <c r="AQ6" s="24" t="s">
        <v>117</v>
      </c>
      <c r="AR6" s="25" t="s">
        <v>7</v>
      </c>
      <c r="AS6" s="86"/>
      <c r="AT6" s="7" t="s">
        <v>30</v>
      </c>
      <c r="AU6" s="8">
        <v>18100</v>
      </c>
      <c r="AV6" s="8">
        <v>1930</v>
      </c>
      <c r="AW6" s="4">
        <v>20</v>
      </c>
      <c r="AX6" s="8" t="s">
        <v>10</v>
      </c>
      <c r="AY6" s="50">
        <v>1</v>
      </c>
      <c r="AZ6" s="24" t="s">
        <v>15</v>
      </c>
      <c r="BA6" s="25" t="s">
        <v>6</v>
      </c>
      <c r="BB6" s="82"/>
      <c r="BC6" s="27" t="s">
        <v>31</v>
      </c>
      <c r="BD6" s="28">
        <v>18500</v>
      </c>
      <c r="BE6" s="28">
        <v>1970</v>
      </c>
      <c r="BF6" s="23">
        <v>20</v>
      </c>
      <c r="BG6" s="28" t="s">
        <v>10</v>
      </c>
      <c r="BH6" s="29">
        <v>1</v>
      </c>
      <c r="BI6" s="24" t="s">
        <v>117</v>
      </c>
      <c r="BJ6" s="25" t="s">
        <v>7</v>
      </c>
      <c r="BK6" s="86"/>
      <c r="BL6" s="7" t="s">
        <v>30</v>
      </c>
      <c r="BM6" s="8">
        <v>18100</v>
      </c>
      <c r="BN6" s="8">
        <v>1930</v>
      </c>
      <c r="BO6" s="4">
        <v>20</v>
      </c>
      <c r="BP6" s="8" t="s">
        <v>10</v>
      </c>
      <c r="BQ6" s="50">
        <v>100</v>
      </c>
      <c r="BR6" s="24" t="s">
        <v>15</v>
      </c>
      <c r="BS6" s="25" t="s">
        <v>6</v>
      </c>
      <c r="BT6" s="82"/>
      <c r="BU6" s="27" t="s">
        <v>31</v>
      </c>
      <c r="BV6" s="28">
        <v>18500</v>
      </c>
      <c r="BW6" s="28">
        <v>1970</v>
      </c>
      <c r="BX6" s="23">
        <v>20</v>
      </c>
      <c r="BY6" s="28" t="s">
        <v>10</v>
      </c>
      <c r="BZ6" s="29">
        <v>100</v>
      </c>
      <c r="CA6" s="24" t="s">
        <v>15</v>
      </c>
      <c r="CB6" s="25" t="s">
        <v>7</v>
      </c>
      <c r="CC6" s="86"/>
    </row>
    <row r="7" spans="1:81" ht="14.25">
      <c r="A7" s="83" t="s">
        <v>16</v>
      </c>
      <c r="B7" s="84"/>
      <c r="C7" s="6" t="s">
        <v>17</v>
      </c>
      <c r="D7" s="6" t="s">
        <v>33</v>
      </c>
      <c r="E7" s="83" t="s">
        <v>34</v>
      </c>
      <c r="F7" s="85"/>
      <c r="G7" s="84"/>
      <c r="H7" s="26" t="s">
        <v>5</v>
      </c>
      <c r="I7" s="2"/>
      <c r="J7" s="83" t="s">
        <v>16</v>
      </c>
      <c r="K7" s="84"/>
      <c r="L7" s="18" t="s">
        <v>17</v>
      </c>
      <c r="M7" s="18" t="s">
        <v>33</v>
      </c>
      <c r="N7" s="83" t="s">
        <v>34</v>
      </c>
      <c r="O7" s="85"/>
      <c r="P7" s="84"/>
      <c r="Q7" s="26" t="s">
        <v>5</v>
      </c>
      <c r="R7" s="19"/>
      <c r="S7" s="83" t="s">
        <v>16</v>
      </c>
      <c r="T7" s="84"/>
      <c r="U7" s="18" t="s">
        <v>17</v>
      </c>
      <c r="V7" s="18" t="s">
        <v>33</v>
      </c>
      <c r="W7" s="83" t="s">
        <v>34</v>
      </c>
      <c r="X7" s="85"/>
      <c r="Y7" s="84"/>
      <c r="Z7" s="26" t="s">
        <v>5</v>
      </c>
      <c r="AA7" s="19"/>
      <c r="AB7" s="83" t="s">
        <v>16</v>
      </c>
      <c r="AC7" s="84"/>
      <c r="AD7" s="18" t="s">
        <v>17</v>
      </c>
      <c r="AE7" s="18" t="s">
        <v>33</v>
      </c>
      <c r="AF7" s="83" t="s">
        <v>34</v>
      </c>
      <c r="AG7" s="85"/>
      <c r="AH7" s="84"/>
      <c r="AI7" s="26" t="s">
        <v>5</v>
      </c>
      <c r="AJ7" s="19"/>
      <c r="AK7" s="83" t="s">
        <v>16</v>
      </c>
      <c r="AL7" s="84"/>
      <c r="AM7" s="18" t="s">
        <v>17</v>
      </c>
      <c r="AN7" s="18" t="s">
        <v>33</v>
      </c>
      <c r="AO7" s="83" t="s">
        <v>34</v>
      </c>
      <c r="AP7" s="85"/>
      <c r="AQ7" s="84"/>
      <c r="AR7" s="26" t="s">
        <v>5</v>
      </c>
      <c r="AS7" s="19"/>
      <c r="AT7" s="83" t="s">
        <v>16</v>
      </c>
      <c r="AU7" s="84"/>
      <c r="AV7" s="6" t="s">
        <v>17</v>
      </c>
      <c r="AW7" s="6" t="s">
        <v>33</v>
      </c>
      <c r="AX7" s="83" t="s">
        <v>34</v>
      </c>
      <c r="AY7" s="85"/>
      <c r="AZ7" s="84"/>
      <c r="BA7" s="26" t="s">
        <v>5</v>
      </c>
      <c r="BB7" s="2"/>
      <c r="BC7" s="83" t="s">
        <v>16</v>
      </c>
      <c r="BD7" s="84"/>
      <c r="BE7" s="18" t="s">
        <v>17</v>
      </c>
      <c r="BF7" s="18" t="s">
        <v>33</v>
      </c>
      <c r="BG7" s="83" t="s">
        <v>34</v>
      </c>
      <c r="BH7" s="85"/>
      <c r="BI7" s="84"/>
      <c r="BJ7" s="26" t="s">
        <v>5</v>
      </c>
      <c r="BK7" s="19"/>
      <c r="BL7" s="83" t="s">
        <v>16</v>
      </c>
      <c r="BM7" s="84"/>
      <c r="BN7" s="6" t="s">
        <v>17</v>
      </c>
      <c r="BO7" s="6" t="s">
        <v>33</v>
      </c>
      <c r="BP7" s="83" t="s">
        <v>34</v>
      </c>
      <c r="BQ7" s="85"/>
      <c r="BR7" s="84"/>
      <c r="BS7" s="26" t="s">
        <v>5</v>
      </c>
      <c r="BT7" s="2"/>
      <c r="BU7" s="83" t="s">
        <v>16</v>
      </c>
      <c r="BV7" s="84"/>
      <c r="BW7" s="18" t="s">
        <v>17</v>
      </c>
      <c r="BX7" s="18" t="s">
        <v>33</v>
      </c>
      <c r="BY7" s="83" t="s">
        <v>34</v>
      </c>
      <c r="BZ7" s="85"/>
      <c r="CA7" s="84"/>
      <c r="CB7" s="26" t="s">
        <v>5</v>
      </c>
      <c r="CC7" s="19"/>
    </row>
    <row r="8" spans="1:81" ht="15">
      <c r="A8" s="54">
        <f>((C6-INT((D6*5)/2)*0.18)-0.2)*2</f>
        <v>3840.2799999999997</v>
      </c>
      <c r="B8" s="54">
        <f>((C6-INT((D6*5)/2)*0.18)+0.2)*2</f>
        <v>3841.08</v>
      </c>
      <c r="C8" s="10" t="s">
        <v>9</v>
      </c>
      <c r="D8" s="10" t="s">
        <v>9</v>
      </c>
      <c r="E8" s="87" t="s">
        <v>35</v>
      </c>
      <c r="F8" s="88"/>
      <c r="G8" s="89"/>
      <c r="H8" s="75"/>
      <c r="I8" s="55" t="s">
        <v>36</v>
      </c>
      <c r="J8" s="54">
        <f>((L6-INT((M6*5)/2)*0.18)-0.2)*2</f>
        <v>3895.2799999999997</v>
      </c>
      <c r="K8" s="54">
        <f>((L6-INT((M6*5)/2)*0.18)+0.2)*2</f>
        <v>3896.08</v>
      </c>
      <c r="L8" s="10" t="s">
        <v>9</v>
      </c>
      <c r="M8" s="10" t="s">
        <v>9</v>
      </c>
      <c r="N8" s="87" t="s">
        <v>35</v>
      </c>
      <c r="O8" s="88"/>
      <c r="P8" s="89"/>
      <c r="Q8" s="75"/>
      <c r="R8" s="55" t="s">
        <v>36</v>
      </c>
      <c r="S8" s="54">
        <f>((U6+INT((V6*5)/2)*0.18)-0.2)*2</f>
        <v>3958.92</v>
      </c>
      <c r="T8" s="54">
        <f>((U6+INT((V6*5)/2)*0.18)+0.2)*2</f>
        <v>3959.7200000000003</v>
      </c>
      <c r="U8" s="10" t="s">
        <v>9</v>
      </c>
      <c r="V8" s="10" t="s">
        <v>9</v>
      </c>
      <c r="W8" s="87" t="s">
        <v>35</v>
      </c>
      <c r="X8" s="88"/>
      <c r="Y8" s="89"/>
      <c r="Z8" s="75"/>
      <c r="AA8" s="55" t="s">
        <v>36</v>
      </c>
      <c r="AB8" s="54">
        <f>(AD6-AE6/2)*2</f>
        <v>3840</v>
      </c>
      <c r="AC8" s="54">
        <f>(AD6+AE6/2)*2</f>
        <v>3850</v>
      </c>
      <c r="AD8" s="10" t="s">
        <v>9</v>
      </c>
      <c r="AE8" s="10" t="s">
        <v>9</v>
      </c>
      <c r="AF8" s="87" t="s">
        <v>35</v>
      </c>
      <c r="AG8" s="88"/>
      <c r="AH8" s="89"/>
      <c r="AI8" s="75"/>
      <c r="AJ8" s="55" t="s">
        <v>36</v>
      </c>
      <c r="AK8" s="54">
        <f>(AM6-AN6/2)*2</f>
        <v>3950</v>
      </c>
      <c r="AL8" s="54">
        <f>(AM6+AN6/2)*2</f>
        <v>3960</v>
      </c>
      <c r="AM8" s="10" t="s">
        <v>9</v>
      </c>
      <c r="AN8" s="10" t="s">
        <v>9</v>
      </c>
      <c r="AO8" s="87" t="s">
        <v>35</v>
      </c>
      <c r="AP8" s="88"/>
      <c r="AQ8" s="89"/>
      <c r="AR8" s="75"/>
      <c r="AS8" s="55" t="s">
        <v>36</v>
      </c>
      <c r="AT8" s="54">
        <f>((AV6-(INT((AW6*5)/2)-0.5)*0.18)-0.2)*2</f>
        <v>3841.7799999999997</v>
      </c>
      <c r="AU8" s="54">
        <f>((AV6-(INT((AW6*5)/2)-0.5)*0.18)+0.2)*2</f>
        <v>3842.58</v>
      </c>
      <c r="AV8" s="10" t="s">
        <v>9</v>
      </c>
      <c r="AW8" s="10" t="s">
        <v>9</v>
      </c>
      <c r="AX8" s="87" t="s">
        <v>35</v>
      </c>
      <c r="AY8" s="88"/>
      <c r="AZ8" s="89"/>
      <c r="BA8" s="75"/>
      <c r="BB8" s="55" t="s">
        <v>36</v>
      </c>
      <c r="BC8" s="54">
        <f>((BE6+(INT((BF6*5)/2)-0.5)*0.18)-0.2)*2</f>
        <v>3957.42</v>
      </c>
      <c r="BD8" s="54">
        <f>((BE6+(INT((BF6*5)/2)-0.5)*0.18)+0.2)*2</f>
        <v>3958.2200000000003</v>
      </c>
      <c r="BE8" s="10" t="s">
        <v>9</v>
      </c>
      <c r="BF8" s="10" t="s">
        <v>9</v>
      </c>
      <c r="BG8" s="87" t="s">
        <v>35</v>
      </c>
      <c r="BH8" s="88"/>
      <c r="BI8" s="89"/>
      <c r="BJ8" s="75"/>
      <c r="BK8" s="55" t="s">
        <v>36</v>
      </c>
      <c r="BL8" s="54">
        <f>(BN6-BO6/2)*2</f>
        <v>3840</v>
      </c>
      <c r="BM8" s="54">
        <f>(BN6+BO6/2)*2</f>
        <v>3880</v>
      </c>
      <c r="BN8" s="10" t="s">
        <v>9</v>
      </c>
      <c r="BO8" s="10" t="s">
        <v>9</v>
      </c>
      <c r="BP8" s="87" t="s">
        <v>35</v>
      </c>
      <c r="BQ8" s="88"/>
      <c r="BR8" s="89"/>
      <c r="BS8" s="75"/>
      <c r="BT8" s="55" t="s">
        <v>36</v>
      </c>
      <c r="BU8" s="54">
        <f>(BW6-BX6/2)*2</f>
        <v>3920</v>
      </c>
      <c r="BV8" s="54">
        <f>(BW6+BX6/2)*2</f>
        <v>3960</v>
      </c>
      <c r="BW8" s="10" t="s">
        <v>9</v>
      </c>
      <c r="BX8" s="10" t="s">
        <v>9</v>
      </c>
      <c r="BY8" s="87" t="s">
        <v>35</v>
      </c>
      <c r="BZ8" s="88"/>
      <c r="CA8" s="89"/>
      <c r="CB8" s="75"/>
      <c r="CC8" s="55" t="s">
        <v>36</v>
      </c>
    </row>
    <row r="9" spans="1:81" ht="15">
      <c r="A9" s="54">
        <f>((C6-INT((D6*5)/2)*0.18)-0.2)*3</f>
        <v>5760.42</v>
      </c>
      <c r="B9" s="54">
        <f>((C6-INT((D6*5)/2)*0.18)+0.2)*3</f>
        <v>5761.62</v>
      </c>
      <c r="C9" s="10" t="s">
        <v>9</v>
      </c>
      <c r="D9" s="10" t="s">
        <v>9</v>
      </c>
      <c r="E9" s="87" t="s">
        <v>35</v>
      </c>
      <c r="F9" s="88"/>
      <c r="G9" s="89"/>
      <c r="H9" s="75"/>
      <c r="I9" s="55" t="s">
        <v>37</v>
      </c>
      <c r="J9" s="54">
        <f>((L6-INT((M6*5)/2)*0.18)-0.2)*3</f>
        <v>5842.92</v>
      </c>
      <c r="K9" s="54">
        <f>((L6-INT((M6*5)/2)*0.18)+0.2)*3</f>
        <v>5844.12</v>
      </c>
      <c r="L9" s="10" t="s">
        <v>9</v>
      </c>
      <c r="M9" s="10" t="s">
        <v>9</v>
      </c>
      <c r="N9" s="87" t="s">
        <v>35</v>
      </c>
      <c r="O9" s="88"/>
      <c r="P9" s="89"/>
      <c r="Q9" s="75"/>
      <c r="R9" s="55" t="s">
        <v>37</v>
      </c>
      <c r="S9" s="54">
        <f>((U6+INT((V6*5)/2)*0.18)-0.2)*3</f>
        <v>5938.38</v>
      </c>
      <c r="T9" s="54">
        <f>((U6+INT((V6*5)/2)*0.18)+0.2)*3</f>
        <v>5939.58</v>
      </c>
      <c r="U9" s="10" t="s">
        <v>9</v>
      </c>
      <c r="V9" s="10" t="s">
        <v>9</v>
      </c>
      <c r="W9" s="87" t="s">
        <v>35</v>
      </c>
      <c r="X9" s="88"/>
      <c r="Y9" s="89"/>
      <c r="Z9" s="75"/>
      <c r="AA9" s="55" t="s">
        <v>37</v>
      </c>
      <c r="AB9" s="54">
        <f>(AD6-AE6/2)*3</f>
        <v>5760</v>
      </c>
      <c r="AC9" s="54">
        <f>(AD6+AE6/2)*3</f>
        <v>5775</v>
      </c>
      <c r="AD9" s="10" t="s">
        <v>9</v>
      </c>
      <c r="AE9" s="10" t="s">
        <v>9</v>
      </c>
      <c r="AF9" s="87" t="s">
        <v>35</v>
      </c>
      <c r="AG9" s="88"/>
      <c r="AH9" s="89"/>
      <c r="AI9" s="75"/>
      <c r="AJ9" s="55" t="s">
        <v>37</v>
      </c>
      <c r="AK9" s="54">
        <f>(AM6-AN6/2)*3</f>
        <v>5925</v>
      </c>
      <c r="AL9" s="54">
        <f>(AM6+AN6/2)*3</f>
        <v>5940</v>
      </c>
      <c r="AM9" s="10" t="s">
        <v>9</v>
      </c>
      <c r="AN9" s="10" t="s">
        <v>9</v>
      </c>
      <c r="AO9" s="87" t="s">
        <v>35</v>
      </c>
      <c r="AP9" s="88"/>
      <c r="AQ9" s="89"/>
      <c r="AR9" s="75"/>
      <c r="AS9" s="55" t="s">
        <v>37</v>
      </c>
      <c r="AT9" s="54">
        <f>((AV6-(INT((AW6*5)/2)-0.5)*0.18)-0.2)*3</f>
        <v>5762.67</v>
      </c>
      <c r="AU9" s="54">
        <f>((AV6-(INT((AW6*5)/2)-0.5)*0.18)+0.2)*3</f>
        <v>5763.87</v>
      </c>
      <c r="AV9" s="10" t="s">
        <v>9</v>
      </c>
      <c r="AW9" s="10" t="s">
        <v>9</v>
      </c>
      <c r="AX9" s="87" t="s">
        <v>35</v>
      </c>
      <c r="AY9" s="88"/>
      <c r="AZ9" s="89"/>
      <c r="BA9" s="75"/>
      <c r="BB9" s="55" t="s">
        <v>37</v>
      </c>
      <c r="BC9" s="54">
        <f>((BE6+(INT((BF6*5)/2)-0.5)*0.18)-0.2)*3</f>
        <v>5936.13</v>
      </c>
      <c r="BD9" s="54">
        <f>((BE6+(INT((BF6*5)/2)-0.5)*0.18)+0.2)*3</f>
        <v>5937.33</v>
      </c>
      <c r="BE9" s="10" t="s">
        <v>9</v>
      </c>
      <c r="BF9" s="10" t="s">
        <v>9</v>
      </c>
      <c r="BG9" s="87" t="s">
        <v>35</v>
      </c>
      <c r="BH9" s="88"/>
      <c r="BI9" s="89"/>
      <c r="BJ9" s="75"/>
      <c r="BK9" s="55" t="s">
        <v>37</v>
      </c>
      <c r="BL9" s="54">
        <f>(BN6-BO6/2)*3</f>
        <v>5760</v>
      </c>
      <c r="BM9" s="54">
        <f>(BN6+BO6/2)*3</f>
        <v>5820</v>
      </c>
      <c r="BN9" s="10" t="s">
        <v>9</v>
      </c>
      <c r="BO9" s="10" t="s">
        <v>9</v>
      </c>
      <c r="BP9" s="87" t="s">
        <v>35</v>
      </c>
      <c r="BQ9" s="88"/>
      <c r="BR9" s="89"/>
      <c r="BS9" s="75"/>
      <c r="BT9" s="55" t="s">
        <v>37</v>
      </c>
      <c r="BU9" s="54">
        <f>(BW6-BX6/2)*3</f>
        <v>5880</v>
      </c>
      <c r="BV9" s="54">
        <f>(BW6+BX6/2)*3</f>
        <v>5940</v>
      </c>
      <c r="BW9" s="10" t="s">
        <v>9</v>
      </c>
      <c r="BX9" s="10" t="s">
        <v>9</v>
      </c>
      <c r="BY9" s="87" t="s">
        <v>35</v>
      </c>
      <c r="BZ9" s="88"/>
      <c r="CA9" s="89"/>
      <c r="CB9" s="75"/>
      <c r="CC9" s="55" t="s">
        <v>37</v>
      </c>
    </row>
    <row r="10" spans="1:81" ht="15">
      <c r="A10" s="54">
        <f>((C6-INT((D6*5)/2)*0.18)-0.2)*4</f>
        <v>7680.5599999999995</v>
      </c>
      <c r="B10" s="54">
        <f>((C6-INT((D6*5)/2)*0.18)+0.2)*4</f>
        <v>7682.16</v>
      </c>
      <c r="C10" s="10" t="s">
        <v>9</v>
      </c>
      <c r="D10" s="10" t="s">
        <v>9</v>
      </c>
      <c r="E10" s="90" t="s">
        <v>35</v>
      </c>
      <c r="F10" s="90"/>
      <c r="G10" s="90"/>
      <c r="H10" s="75"/>
      <c r="I10" s="55" t="s">
        <v>38</v>
      </c>
      <c r="J10" s="54">
        <f>((L6-INT((M6*5)/2)*0.18)-0.2)*4</f>
        <v>7790.5599999999995</v>
      </c>
      <c r="K10" s="54">
        <f>((L6-INT((M6*5)/2)*0.18)+0.2)*4</f>
        <v>7792.16</v>
      </c>
      <c r="L10" s="10" t="s">
        <v>9</v>
      </c>
      <c r="M10" s="10" t="s">
        <v>9</v>
      </c>
      <c r="N10" s="90" t="s">
        <v>35</v>
      </c>
      <c r="O10" s="90"/>
      <c r="P10" s="90"/>
      <c r="Q10" s="75"/>
      <c r="R10" s="55" t="s">
        <v>38</v>
      </c>
      <c r="S10" s="54">
        <f>((U6+INT((V6*5)/2)*0.18)-0.2)*4</f>
        <v>7917.84</v>
      </c>
      <c r="T10" s="54">
        <f>((U6+INT((V6*5)/2)*0.18)+0.2)*4</f>
        <v>7919.4400000000005</v>
      </c>
      <c r="U10" s="10" t="s">
        <v>9</v>
      </c>
      <c r="V10" s="10" t="s">
        <v>9</v>
      </c>
      <c r="W10" s="90" t="s">
        <v>35</v>
      </c>
      <c r="X10" s="90"/>
      <c r="Y10" s="90"/>
      <c r="Z10" s="75"/>
      <c r="AA10" s="55" t="s">
        <v>38</v>
      </c>
      <c r="AB10" s="54">
        <f>(AD6-AE6/2)*4</f>
        <v>7680</v>
      </c>
      <c r="AC10" s="54">
        <f>(AD6+AE6/2)*4</f>
        <v>7700</v>
      </c>
      <c r="AD10" s="10" t="s">
        <v>9</v>
      </c>
      <c r="AE10" s="10" t="s">
        <v>9</v>
      </c>
      <c r="AF10" s="90" t="s">
        <v>35</v>
      </c>
      <c r="AG10" s="90"/>
      <c r="AH10" s="90"/>
      <c r="AI10" s="75"/>
      <c r="AJ10" s="55" t="s">
        <v>38</v>
      </c>
      <c r="AK10" s="54">
        <f>(AM6-AN6/2)*4</f>
        <v>7900</v>
      </c>
      <c r="AL10" s="54">
        <f>(AM6+AN6/2)*4</f>
        <v>7920</v>
      </c>
      <c r="AM10" s="10" t="s">
        <v>9</v>
      </c>
      <c r="AN10" s="10" t="s">
        <v>9</v>
      </c>
      <c r="AO10" s="90" t="s">
        <v>35</v>
      </c>
      <c r="AP10" s="90"/>
      <c r="AQ10" s="90"/>
      <c r="AR10" s="75"/>
      <c r="AS10" s="55" t="s">
        <v>38</v>
      </c>
      <c r="AT10" s="54">
        <f>((AV6-(INT((AW6*5)/2)-0.5)*0.18)-0.2)*4</f>
        <v>7683.5599999999995</v>
      </c>
      <c r="AU10" s="54">
        <f>((AV6-(INT((AW6*5)/2)-0.5)*0.18)+0.2)*4</f>
        <v>7685.16</v>
      </c>
      <c r="AV10" s="10" t="s">
        <v>9</v>
      </c>
      <c r="AW10" s="10" t="s">
        <v>9</v>
      </c>
      <c r="AX10" s="90" t="s">
        <v>35</v>
      </c>
      <c r="AY10" s="90"/>
      <c r="AZ10" s="90"/>
      <c r="BA10" s="75"/>
      <c r="BB10" s="55" t="s">
        <v>38</v>
      </c>
      <c r="BC10" s="54">
        <f>((BE6+(INT((BF6*5)/2)-0.5)*0.18)-0.2)*4</f>
        <v>7914.84</v>
      </c>
      <c r="BD10" s="54">
        <f>((BE6+(INT((BF6*5)/2)-0.5)*0.18)+0.2)*4</f>
        <v>7916.4400000000005</v>
      </c>
      <c r="BE10" s="10" t="s">
        <v>9</v>
      </c>
      <c r="BF10" s="10" t="s">
        <v>9</v>
      </c>
      <c r="BG10" s="90" t="s">
        <v>35</v>
      </c>
      <c r="BH10" s="90"/>
      <c r="BI10" s="90"/>
      <c r="BJ10" s="75"/>
      <c r="BK10" s="55" t="s">
        <v>38</v>
      </c>
      <c r="BL10" s="54">
        <f>(BN6-BO6/2)*4</f>
        <v>7680</v>
      </c>
      <c r="BM10" s="54">
        <f>(BN6+BO6/2)*4</f>
        <v>7760</v>
      </c>
      <c r="BN10" s="10" t="s">
        <v>9</v>
      </c>
      <c r="BO10" s="10" t="s">
        <v>9</v>
      </c>
      <c r="BP10" s="90" t="s">
        <v>35</v>
      </c>
      <c r="BQ10" s="90"/>
      <c r="BR10" s="90"/>
      <c r="BS10" s="75"/>
      <c r="BT10" s="55" t="s">
        <v>38</v>
      </c>
      <c r="BU10" s="54">
        <f>(BW6-BX6/2)*4</f>
        <v>7840</v>
      </c>
      <c r="BV10" s="54">
        <f>(BW6+BX6/2)*4</f>
        <v>7920</v>
      </c>
      <c r="BW10" s="10" t="s">
        <v>9</v>
      </c>
      <c r="BX10" s="10" t="s">
        <v>9</v>
      </c>
      <c r="BY10" s="90" t="s">
        <v>35</v>
      </c>
      <c r="BZ10" s="90"/>
      <c r="CA10" s="90"/>
      <c r="CB10" s="75"/>
      <c r="CC10" s="55" t="s">
        <v>38</v>
      </c>
    </row>
    <row r="11" spans="1:81" ht="15">
      <c r="A11" s="54">
        <f>((C6-INT((D6*5)/2)*0.18)-0.2)*5</f>
        <v>9600.6999999999989</v>
      </c>
      <c r="B11" s="54">
        <f>((C6-INT((D6*5)/2)*0.18)+0.2)*5</f>
        <v>9602.7000000000007</v>
      </c>
      <c r="C11" s="10" t="s">
        <v>9</v>
      </c>
      <c r="D11" s="10" t="s">
        <v>9</v>
      </c>
      <c r="E11" s="90" t="s">
        <v>35</v>
      </c>
      <c r="F11" s="90"/>
      <c r="G11" s="90"/>
      <c r="H11" s="75"/>
      <c r="I11" s="55" t="s">
        <v>40</v>
      </c>
      <c r="J11" s="54">
        <f>((L6-INT((M6*5)/2)*0.18)-0.2)*5</f>
        <v>9738.1999999999989</v>
      </c>
      <c r="K11" s="54">
        <f>((L6-INT((M6*5)/2)*0.18)+0.2)*5</f>
        <v>9740.2000000000007</v>
      </c>
      <c r="L11" s="10" t="s">
        <v>9</v>
      </c>
      <c r="M11" s="10" t="s">
        <v>9</v>
      </c>
      <c r="N11" s="90" t="s">
        <v>35</v>
      </c>
      <c r="O11" s="90"/>
      <c r="P11" s="90"/>
      <c r="Q11" s="75"/>
      <c r="R11" s="55" t="s">
        <v>40</v>
      </c>
      <c r="S11" s="54">
        <f>((U6+INT((V6*5)/2)*0.18)-0.2)*5</f>
        <v>9897.2999999999993</v>
      </c>
      <c r="T11" s="54">
        <f>((U6+INT((V6*5)/2)*0.18)+0.2)*5</f>
        <v>9899.3000000000011</v>
      </c>
      <c r="U11" s="10" t="s">
        <v>9</v>
      </c>
      <c r="V11" s="10" t="s">
        <v>9</v>
      </c>
      <c r="W11" s="90" t="s">
        <v>35</v>
      </c>
      <c r="X11" s="90"/>
      <c r="Y11" s="90"/>
      <c r="Z11" s="75"/>
      <c r="AA11" s="55" t="s">
        <v>40</v>
      </c>
      <c r="AB11" s="54">
        <f>(AD6-AE6/2)*5</f>
        <v>9600</v>
      </c>
      <c r="AC11" s="54">
        <f>(AD6+AE6/2)*5</f>
        <v>9625</v>
      </c>
      <c r="AD11" s="10" t="s">
        <v>9</v>
      </c>
      <c r="AE11" s="10" t="s">
        <v>9</v>
      </c>
      <c r="AF11" s="90" t="s">
        <v>35</v>
      </c>
      <c r="AG11" s="90"/>
      <c r="AH11" s="90"/>
      <c r="AI11" s="75"/>
      <c r="AJ11" s="55" t="s">
        <v>40</v>
      </c>
      <c r="AK11" s="54">
        <f>(AM6-AN6/2)*5</f>
        <v>9875</v>
      </c>
      <c r="AL11" s="54">
        <f>(AM6+AN6/2)*5</f>
        <v>9900</v>
      </c>
      <c r="AM11" s="10" t="s">
        <v>9</v>
      </c>
      <c r="AN11" s="10" t="s">
        <v>9</v>
      </c>
      <c r="AO11" s="90" t="s">
        <v>35</v>
      </c>
      <c r="AP11" s="90"/>
      <c r="AQ11" s="90"/>
      <c r="AR11" s="75"/>
      <c r="AS11" s="55" t="s">
        <v>40</v>
      </c>
      <c r="AT11" s="54">
        <f>((AV6-(INT((AW6*5)/2)-0.5)*0.18)-0.2)*5</f>
        <v>9604.4499999999989</v>
      </c>
      <c r="AU11" s="54">
        <f>((AV6-(INT((AW6*5)/2)-0.5)*0.18)+0.2)*5</f>
        <v>9606.4500000000007</v>
      </c>
      <c r="AV11" s="10" t="s">
        <v>9</v>
      </c>
      <c r="AW11" s="10" t="s">
        <v>9</v>
      </c>
      <c r="AX11" s="90" t="s">
        <v>35</v>
      </c>
      <c r="AY11" s="90"/>
      <c r="AZ11" s="90"/>
      <c r="BA11" s="75"/>
      <c r="BB11" s="55" t="s">
        <v>40</v>
      </c>
      <c r="BC11" s="54">
        <f>((BE6+(INT((BF6*5)/2)-0.5)*0.18)-0.2)*5</f>
        <v>9893.5499999999993</v>
      </c>
      <c r="BD11" s="54">
        <f>((BE6+(INT((BF6*5)/2)-0.5)*0.18)+0.2)*5</f>
        <v>9895.5500000000011</v>
      </c>
      <c r="BE11" s="10" t="s">
        <v>9</v>
      </c>
      <c r="BF11" s="10" t="s">
        <v>9</v>
      </c>
      <c r="BG11" s="90" t="s">
        <v>35</v>
      </c>
      <c r="BH11" s="90"/>
      <c r="BI11" s="90"/>
      <c r="BJ11" s="75"/>
      <c r="BK11" s="55" t="s">
        <v>40</v>
      </c>
      <c r="BL11" s="54">
        <f>(BN6-BO6/2)*5</f>
        <v>9600</v>
      </c>
      <c r="BM11" s="54">
        <f>(BN6+BO6/2)*5</f>
        <v>9700</v>
      </c>
      <c r="BN11" s="10" t="s">
        <v>9</v>
      </c>
      <c r="BO11" s="10" t="s">
        <v>9</v>
      </c>
      <c r="BP11" s="90" t="s">
        <v>35</v>
      </c>
      <c r="BQ11" s="90"/>
      <c r="BR11" s="90"/>
      <c r="BS11" s="75"/>
      <c r="BT11" s="55" t="s">
        <v>40</v>
      </c>
      <c r="BU11" s="54">
        <f>(BW6-BX6/2)*5</f>
        <v>9800</v>
      </c>
      <c r="BV11" s="54">
        <f>(BW6+BX6/2)*5</f>
        <v>9900</v>
      </c>
      <c r="BW11" s="10" t="s">
        <v>9</v>
      </c>
      <c r="BX11" s="10" t="s">
        <v>9</v>
      </c>
      <c r="BY11" s="90" t="s">
        <v>35</v>
      </c>
      <c r="BZ11" s="90"/>
      <c r="CA11" s="90"/>
      <c r="CB11" s="75"/>
      <c r="CC11" s="55" t="s">
        <v>40</v>
      </c>
    </row>
    <row r="12" spans="1:81" ht="15">
      <c r="A12" s="54">
        <f>((C6-INT((D6*5)/2)*0.18)-0.2)*6</f>
        <v>11520.84</v>
      </c>
      <c r="B12" s="54">
        <f>((C6-INT((D6*5)/2)*0.18)+0.2)*6</f>
        <v>11523.24</v>
      </c>
      <c r="C12" s="10" t="s">
        <v>9</v>
      </c>
      <c r="D12" s="10" t="s">
        <v>9</v>
      </c>
      <c r="E12" s="90" t="s">
        <v>35</v>
      </c>
      <c r="F12" s="90"/>
      <c r="G12" s="90"/>
      <c r="H12" s="75"/>
      <c r="I12" s="55" t="s">
        <v>41</v>
      </c>
      <c r="J12" s="54">
        <f>((L6-INT((M6*5)/2)*0.18)-0.2)*6</f>
        <v>11685.84</v>
      </c>
      <c r="K12" s="54">
        <f>((L6-INT((M6*5)/2)*0.18)+0.2)*6</f>
        <v>11688.24</v>
      </c>
      <c r="L12" s="10" t="s">
        <v>9</v>
      </c>
      <c r="M12" s="10" t="s">
        <v>9</v>
      </c>
      <c r="N12" s="90" t="s">
        <v>35</v>
      </c>
      <c r="O12" s="90"/>
      <c r="P12" s="90"/>
      <c r="Q12" s="75"/>
      <c r="R12" s="55" t="s">
        <v>41</v>
      </c>
      <c r="S12" s="54">
        <f>((U6+INT((V6*5)/2)*0.18)-0.2)*6</f>
        <v>11876.76</v>
      </c>
      <c r="T12" s="54">
        <f>((U6+INT((V6*5)/2)*0.18)+0.2)*6</f>
        <v>11879.16</v>
      </c>
      <c r="U12" s="10" t="s">
        <v>9</v>
      </c>
      <c r="V12" s="10" t="s">
        <v>9</v>
      </c>
      <c r="W12" s="90" t="s">
        <v>35</v>
      </c>
      <c r="X12" s="90"/>
      <c r="Y12" s="90"/>
      <c r="Z12" s="75"/>
      <c r="AA12" s="55" t="s">
        <v>41</v>
      </c>
      <c r="AB12" s="54">
        <f>(AD6-AE6/2)*6</f>
        <v>11520</v>
      </c>
      <c r="AC12" s="54">
        <f>(AD6+AE6/2)*6</f>
        <v>11550</v>
      </c>
      <c r="AD12" s="10" t="s">
        <v>9</v>
      </c>
      <c r="AE12" s="10" t="s">
        <v>9</v>
      </c>
      <c r="AF12" s="90" t="s">
        <v>35</v>
      </c>
      <c r="AG12" s="90"/>
      <c r="AH12" s="90"/>
      <c r="AI12" s="75"/>
      <c r="AJ12" s="55" t="s">
        <v>41</v>
      </c>
      <c r="AK12" s="54">
        <f>(AM6-AN6/2)*6</f>
        <v>11850</v>
      </c>
      <c r="AL12" s="54">
        <f>(AM6+AN6/2)*6</f>
        <v>11880</v>
      </c>
      <c r="AM12" s="10" t="s">
        <v>9</v>
      </c>
      <c r="AN12" s="10" t="s">
        <v>9</v>
      </c>
      <c r="AO12" s="90" t="s">
        <v>35</v>
      </c>
      <c r="AP12" s="90"/>
      <c r="AQ12" s="90"/>
      <c r="AR12" s="75"/>
      <c r="AS12" s="55" t="s">
        <v>41</v>
      </c>
      <c r="AT12" s="54">
        <f>((AV6-(INT((AW6*5)/2)-0.5)*0.18)-0.2)*6</f>
        <v>11525.34</v>
      </c>
      <c r="AU12" s="54">
        <f>((AV6-(INT((AW6*5)/2)-0.5)*0.18)+0.2)*6</f>
        <v>11527.74</v>
      </c>
      <c r="AV12" s="10" t="s">
        <v>9</v>
      </c>
      <c r="AW12" s="10" t="s">
        <v>9</v>
      </c>
      <c r="AX12" s="90" t="s">
        <v>35</v>
      </c>
      <c r="AY12" s="90"/>
      <c r="AZ12" s="90"/>
      <c r="BA12" s="75"/>
      <c r="BB12" s="55" t="s">
        <v>41</v>
      </c>
      <c r="BC12" s="54">
        <f>((BE6+(INT((BF6*5)/2)-0.5)*0.18)-0.2)*6</f>
        <v>11872.26</v>
      </c>
      <c r="BD12" s="54">
        <f>((BE6+(INT((BF6*5)/2)-0.5)*0.18)+0.2)*6</f>
        <v>11874.66</v>
      </c>
      <c r="BE12" s="10" t="s">
        <v>9</v>
      </c>
      <c r="BF12" s="10" t="s">
        <v>9</v>
      </c>
      <c r="BG12" s="90" t="s">
        <v>35</v>
      </c>
      <c r="BH12" s="90"/>
      <c r="BI12" s="90"/>
      <c r="BJ12" s="75"/>
      <c r="BK12" s="55" t="s">
        <v>41</v>
      </c>
      <c r="BL12" s="54">
        <f>(BN6-BO6/2)*6</f>
        <v>11520</v>
      </c>
      <c r="BM12" s="54">
        <f>(BN6+BO6/2)*6</f>
        <v>11640</v>
      </c>
      <c r="BN12" s="10" t="s">
        <v>9</v>
      </c>
      <c r="BO12" s="10" t="s">
        <v>9</v>
      </c>
      <c r="BP12" s="90" t="s">
        <v>35</v>
      </c>
      <c r="BQ12" s="90"/>
      <c r="BR12" s="90"/>
      <c r="BS12" s="75"/>
      <c r="BT12" s="55" t="s">
        <v>41</v>
      </c>
      <c r="BU12" s="54">
        <f>(BW6-BX6/2)*6</f>
        <v>11760</v>
      </c>
      <c r="BV12" s="54">
        <f>(BW6+BX6/2)*6</f>
        <v>11880</v>
      </c>
      <c r="BW12" s="10" t="s">
        <v>9</v>
      </c>
      <c r="BX12" s="10" t="s">
        <v>9</v>
      </c>
      <c r="BY12" s="90" t="s">
        <v>35</v>
      </c>
      <c r="BZ12" s="90"/>
      <c r="CA12" s="90"/>
      <c r="CB12" s="75"/>
      <c r="CC12" s="55" t="s">
        <v>41</v>
      </c>
    </row>
  </sheetData>
  <mergeCells count="76">
    <mergeCell ref="AO12:AQ12"/>
    <mergeCell ref="AX12:AZ12"/>
    <mergeCell ref="BG12:BI12"/>
    <mergeCell ref="BP12:BR12"/>
    <mergeCell ref="BY12:CA12"/>
    <mergeCell ref="AO10:AQ10"/>
    <mergeCell ref="AX10:AZ10"/>
    <mergeCell ref="BG10:BI10"/>
    <mergeCell ref="BP10:BR10"/>
    <mergeCell ref="BY10:CA10"/>
    <mergeCell ref="AO11:AQ11"/>
    <mergeCell ref="AX11:AZ11"/>
    <mergeCell ref="BG11:BI11"/>
    <mergeCell ref="BP11:BR11"/>
    <mergeCell ref="BY11:CA11"/>
    <mergeCell ref="AO8:AQ8"/>
    <mergeCell ref="AX8:AZ8"/>
    <mergeCell ref="BG8:BI8"/>
    <mergeCell ref="BP8:BR8"/>
    <mergeCell ref="BY8:CA8"/>
    <mergeCell ref="AO9:AQ9"/>
    <mergeCell ref="AX9:AZ9"/>
    <mergeCell ref="BG9:BI9"/>
    <mergeCell ref="BP9:BR9"/>
    <mergeCell ref="BY9:CA9"/>
    <mergeCell ref="AS5:AS6"/>
    <mergeCell ref="BB5:BB6"/>
    <mergeCell ref="BK5:BK6"/>
    <mergeCell ref="BT5:BT6"/>
    <mergeCell ref="CC5:CC6"/>
    <mergeCell ref="AK7:AL7"/>
    <mergeCell ref="AO7:AQ7"/>
    <mergeCell ref="AT7:AU7"/>
    <mergeCell ref="AX7:AZ7"/>
    <mergeCell ref="BC7:BD7"/>
    <mergeCell ref="BG7:BI7"/>
    <mergeCell ref="BL7:BM7"/>
    <mergeCell ref="BP7:BR7"/>
    <mergeCell ref="BU7:BV7"/>
    <mergeCell ref="BY7:CA7"/>
    <mergeCell ref="E12:G12"/>
    <mergeCell ref="W12:Y12"/>
    <mergeCell ref="AF12:AH12"/>
    <mergeCell ref="N12:P12"/>
    <mergeCell ref="AF11:AH11"/>
    <mergeCell ref="E10:G10"/>
    <mergeCell ref="W10:Y10"/>
    <mergeCell ref="AF10:AH10"/>
    <mergeCell ref="N10:P10"/>
    <mergeCell ref="N11:P11"/>
    <mergeCell ref="E11:G11"/>
    <mergeCell ref="W11:Y11"/>
    <mergeCell ref="E9:G9"/>
    <mergeCell ref="W9:Y9"/>
    <mergeCell ref="AF9:AH9"/>
    <mergeCell ref="AF8:AH8"/>
    <mergeCell ref="N8:P8"/>
    <mergeCell ref="N9:P9"/>
    <mergeCell ref="E8:G8"/>
    <mergeCell ref="W8:Y8"/>
    <mergeCell ref="AJ5:AJ6"/>
    <mergeCell ref="A7:B7"/>
    <mergeCell ref="E7:G7"/>
    <mergeCell ref="S7:T7"/>
    <mergeCell ref="W7:Y7"/>
    <mergeCell ref="AB7:AC7"/>
    <mergeCell ref="AF7:AH7"/>
    <mergeCell ref="J7:K7"/>
    <mergeCell ref="N7:P7"/>
    <mergeCell ref="AA5:AA6"/>
    <mergeCell ref="R5:R6"/>
    <mergeCell ref="B1:K1"/>
    <mergeCell ref="B2:J2"/>
    <mergeCell ref="B3:J3"/>
    <mergeCell ref="B4:J4"/>
    <mergeCell ref="I5:I6"/>
  </mergeCells>
  <phoneticPr fontId="18" type="noConversion"/>
  <conditionalFormatting sqref="H8">
    <cfRule type="containsBlanks" priority="133" stopIfTrue="1">
      <formula>LEN(TRIM(H8))=0</formula>
    </cfRule>
    <cfRule type="cellIs" dxfId="3125" priority="134" stopIfTrue="1" operator="greaterThan">
      <formula>-30</formula>
    </cfRule>
    <cfRule type="cellIs" dxfId="3124" priority="135" stopIfTrue="1" operator="between">
      <formula>-33</formula>
      <formula>-30</formula>
    </cfRule>
  </conditionalFormatting>
  <conditionalFormatting sqref="H9">
    <cfRule type="containsBlanks" priority="130" stopIfTrue="1">
      <formula>LEN(TRIM(H9))=0</formula>
    </cfRule>
    <cfRule type="cellIs" dxfId="3123" priority="131" stopIfTrue="1" operator="greaterThan">
      <formula>-30</formula>
    </cfRule>
    <cfRule type="cellIs" dxfId="3122" priority="132" stopIfTrue="1" operator="between">
      <formula>-33</formula>
      <formula>-30</formula>
    </cfRule>
  </conditionalFormatting>
  <conditionalFormatting sqref="H10">
    <cfRule type="containsBlanks" priority="127" stopIfTrue="1">
      <formula>LEN(TRIM(H10))=0</formula>
    </cfRule>
    <cfRule type="cellIs" dxfId="3121" priority="128" stopIfTrue="1" operator="greaterThan">
      <formula>-30</formula>
    </cfRule>
    <cfRule type="cellIs" dxfId="3120" priority="129" stopIfTrue="1" operator="between">
      <formula>-33</formula>
      <formula>-30</formula>
    </cfRule>
  </conditionalFormatting>
  <conditionalFormatting sqref="Q8">
    <cfRule type="containsBlanks" priority="124" stopIfTrue="1">
      <formula>LEN(TRIM(Q8))=0</formula>
    </cfRule>
    <cfRule type="cellIs" dxfId="3119" priority="125" stopIfTrue="1" operator="greaterThan">
      <formula>-30</formula>
    </cfRule>
    <cfRule type="cellIs" dxfId="3118" priority="126" stopIfTrue="1" operator="between">
      <formula>-33</formula>
      <formula>-30</formula>
    </cfRule>
  </conditionalFormatting>
  <conditionalFormatting sqref="Q9">
    <cfRule type="containsBlanks" priority="121" stopIfTrue="1">
      <formula>LEN(TRIM(Q9))=0</formula>
    </cfRule>
    <cfRule type="cellIs" dxfId="3117" priority="122" stopIfTrue="1" operator="greaterThan">
      <formula>-30</formula>
    </cfRule>
    <cfRule type="cellIs" dxfId="3116" priority="123" stopIfTrue="1" operator="between">
      <formula>-33</formula>
      <formula>-30</formula>
    </cfRule>
  </conditionalFormatting>
  <conditionalFormatting sqref="Q10">
    <cfRule type="containsBlanks" priority="118" stopIfTrue="1">
      <formula>LEN(TRIM(Q10))=0</formula>
    </cfRule>
    <cfRule type="cellIs" dxfId="3115" priority="119" stopIfTrue="1" operator="greaterThan">
      <formula>-30</formula>
    </cfRule>
    <cfRule type="cellIs" dxfId="3114" priority="120" stopIfTrue="1" operator="between">
      <formula>-33</formula>
      <formula>-30</formula>
    </cfRule>
  </conditionalFormatting>
  <conditionalFormatting sqref="Z8">
    <cfRule type="containsBlanks" priority="115" stopIfTrue="1">
      <formula>LEN(TRIM(Z8))=0</formula>
    </cfRule>
    <cfRule type="cellIs" dxfId="3113" priority="116" stopIfTrue="1" operator="greaterThan">
      <formula>-30</formula>
    </cfRule>
    <cfRule type="cellIs" dxfId="3112" priority="117" stopIfTrue="1" operator="between">
      <formula>-33</formula>
      <formula>-30</formula>
    </cfRule>
  </conditionalFormatting>
  <conditionalFormatting sqref="Z9">
    <cfRule type="containsBlanks" priority="112" stopIfTrue="1">
      <formula>LEN(TRIM(Z9))=0</formula>
    </cfRule>
    <cfRule type="cellIs" dxfId="3111" priority="113" stopIfTrue="1" operator="greaterThan">
      <formula>-30</formula>
    </cfRule>
    <cfRule type="cellIs" dxfId="3110" priority="114" stopIfTrue="1" operator="between">
      <formula>-33</formula>
      <formula>-30</formula>
    </cfRule>
  </conditionalFormatting>
  <conditionalFormatting sqref="Z10">
    <cfRule type="containsBlanks" priority="109" stopIfTrue="1">
      <formula>LEN(TRIM(Z10))=0</formula>
    </cfRule>
    <cfRule type="cellIs" dxfId="3109" priority="110" stopIfTrue="1" operator="greaterThan">
      <formula>-30</formula>
    </cfRule>
    <cfRule type="cellIs" dxfId="3108" priority="111" stopIfTrue="1" operator="between">
      <formula>-33</formula>
      <formula>-30</formula>
    </cfRule>
  </conditionalFormatting>
  <conditionalFormatting sqref="AI8">
    <cfRule type="containsBlanks" priority="106" stopIfTrue="1">
      <formula>LEN(TRIM(AI8))=0</formula>
    </cfRule>
    <cfRule type="cellIs" dxfId="3107" priority="107" stopIfTrue="1" operator="greaterThan">
      <formula>-30</formula>
    </cfRule>
    <cfRule type="cellIs" dxfId="3106" priority="108" stopIfTrue="1" operator="between">
      <formula>-33</formula>
      <formula>-30</formula>
    </cfRule>
  </conditionalFormatting>
  <conditionalFormatting sqref="AI9">
    <cfRule type="containsBlanks" priority="103" stopIfTrue="1">
      <formula>LEN(TRIM(AI9))=0</formula>
    </cfRule>
    <cfRule type="cellIs" dxfId="3105" priority="104" stopIfTrue="1" operator="greaterThan">
      <formula>-30</formula>
    </cfRule>
    <cfRule type="cellIs" dxfId="3104" priority="105" stopIfTrue="1" operator="between">
      <formula>-33</formula>
      <formula>-30</formula>
    </cfRule>
  </conditionalFormatting>
  <conditionalFormatting sqref="AI10">
    <cfRule type="containsBlanks" priority="100" stopIfTrue="1">
      <formula>LEN(TRIM(AI10))=0</formula>
    </cfRule>
    <cfRule type="cellIs" dxfId="3103" priority="101" stopIfTrue="1" operator="greaterThan">
      <formula>-30</formula>
    </cfRule>
    <cfRule type="cellIs" dxfId="3102" priority="102" stopIfTrue="1" operator="between">
      <formula>-33</formula>
      <formula>-30</formula>
    </cfRule>
  </conditionalFormatting>
  <conditionalFormatting sqref="AR8">
    <cfRule type="containsBlanks" priority="97" stopIfTrue="1">
      <formula>LEN(TRIM(AR8))=0</formula>
    </cfRule>
    <cfRule type="cellIs" dxfId="3101" priority="98" stopIfTrue="1" operator="greaterThan">
      <formula>-30</formula>
    </cfRule>
    <cfRule type="cellIs" dxfId="3100" priority="99" stopIfTrue="1" operator="between">
      <formula>-33</formula>
      <formula>-30</formula>
    </cfRule>
  </conditionalFormatting>
  <conditionalFormatting sqref="AR9">
    <cfRule type="containsBlanks" priority="94" stopIfTrue="1">
      <formula>LEN(TRIM(AR9))=0</formula>
    </cfRule>
    <cfRule type="cellIs" dxfId="3099" priority="95" stopIfTrue="1" operator="greaterThan">
      <formula>-30</formula>
    </cfRule>
    <cfRule type="cellIs" dxfId="3098" priority="96" stopIfTrue="1" operator="between">
      <formula>-33</formula>
      <formula>-30</formula>
    </cfRule>
  </conditionalFormatting>
  <conditionalFormatting sqref="AR10">
    <cfRule type="containsBlanks" priority="91" stopIfTrue="1">
      <formula>LEN(TRIM(AR10))=0</formula>
    </cfRule>
    <cfRule type="cellIs" dxfId="3097" priority="92" stopIfTrue="1" operator="greaterThan">
      <formula>-30</formula>
    </cfRule>
    <cfRule type="cellIs" dxfId="3096" priority="93" stopIfTrue="1" operator="between">
      <formula>-33</formula>
      <formula>-30</formula>
    </cfRule>
  </conditionalFormatting>
  <conditionalFormatting sqref="BA8">
    <cfRule type="containsBlanks" priority="88" stopIfTrue="1">
      <formula>LEN(TRIM(BA8))=0</formula>
    </cfRule>
    <cfRule type="cellIs" dxfId="3095" priority="89" stopIfTrue="1" operator="greaterThan">
      <formula>-30</formula>
    </cfRule>
    <cfRule type="cellIs" dxfId="3094" priority="90" stopIfTrue="1" operator="between">
      <formula>-33</formula>
      <formula>-30</formula>
    </cfRule>
  </conditionalFormatting>
  <conditionalFormatting sqref="BA9">
    <cfRule type="containsBlanks" priority="85" stopIfTrue="1">
      <formula>LEN(TRIM(BA9))=0</formula>
    </cfRule>
    <cfRule type="cellIs" dxfId="3093" priority="86" stopIfTrue="1" operator="greaterThan">
      <formula>-30</formula>
    </cfRule>
    <cfRule type="cellIs" dxfId="3092" priority="87" stopIfTrue="1" operator="between">
      <formula>-33</formula>
      <formula>-30</formula>
    </cfRule>
  </conditionalFormatting>
  <conditionalFormatting sqref="BA10">
    <cfRule type="containsBlanks" priority="82" stopIfTrue="1">
      <formula>LEN(TRIM(BA10))=0</formula>
    </cfRule>
    <cfRule type="cellIs" dxfId="3091" priority="83" stopIfTrue="1" operator="greaterThan">
      <formula>-30</formula>
    </cfRule>
    <cfRule type="cellIs" dxfId="3090" priority="84" stopIfTrue="1" operator="between">
      <formula>-33</formula>
      <formula>-30</formula>
    </cfRule>
  </conditionalFormatting>
  <conditionalFormatting sqref="BJ8">
    <cfRule type="containsBlanks" priority="79" stopIfTrue="1">
      <formula>LEN(TRIM(BJ8))=0</formula>
    </cfRule>
    <cfRule type="cellIs" dxfId="3089" priority="80" stopIfTrue="1" operator="greaterThan">
      <formula>-30</formula>
    </cfRule>
    <cfRule type="cellIs" dxfId="3088" priority="81" stopIfTrue="1" operator="between">
      <formula>-33</formula>
      <formula>-30</formula>
    </cfRule>
  </conditionalFormatting>
  <conditionalFormatting sqref="BJ9">
    <cfRule type="containsBlanks" priority="76" stopIfTrue="1">
      <formula>LEN(TRIM(BJ9))=0</formula>
    </cfRule>
    <cfRule type="cellIs" dxfId="3087" priority="77" stopIfTrue="1" operator="greaterThan">
      <formula>-30</formula>
    </cfRule>
    <cfRule type="cellIs" dxfId="3086" priority="78" stopIfTrue="1" operator="between">
      <formula>-33</formula>
      <formula>-30</formula>
    </cfRule>
  </conditionalFormatting>
  <conditionalFormatting sqref="BJ10">
    <cfRule type="containsBlanks" priority="73" stopIfTrue="1">
      <formula>LEN(TRIM(BJ10))=0</formula>
    </cfRule>
    <cfRule type="cellIs" dxfId="3085" priority="74" stopIfTrue="1" operator="greaterThan">
      <formula>-30</formula>
    </cfRule>
    <cfRule type="cellIs" dxfId="3084" priority="75" stopIfTrue="1" operator="between">
      <formula>-33</formula>
      <formula>-30</formula>
    </cfRule>
  </conditionalFormatting>
  <conditionalFormatting sqref="BS8">
    <cfRule type="containsBlanks" priority="70" stopIfTrue="1">
      <formula>LEN(TRIM(BS8))=0</formula>
    </cfRule>
    <cfRule type="cellIs" dxfId="3083" priority="71" stopIfTrue="1" operator="greaterThan">
      <formula>-30</formula>
    </cfRule>
    <cfRule type="cellIs" dxfId="3082" priority="72" stopIfTrue="1" operator="between">
      <formula>-33</formula>
      <formula>-30</formula>
    </cfRule>
  </conditionalFormatting>
  <conditionalFormatting sqref="BS9">
    <cfRule type="containsBlanks" priority="67" stopIfTrue="1">
      <formula>LEN(TRIM(BS9))=0</formula>
    </cfRule>
    <cfRule type="cellIs" dxfId="3081" priority="68" stopIfTrue="1" operator="greaterThan">
      <formula>-30</formula>
    </cfRule>
    <cfRule type="cellIs" dxfId="3080" priority="69" stopIfTrue="1" operator="between">
      <formula>-33</formula>
      <formula>-30</formula>
    </cfRule>
  </conditionalFormatting>
  <conditionalFormatting sqref="BS10">
    <cfRule type="containsBlanks" priority="64" stopIfTrue="1">
      <formula>LEN(TRIM(BS10))=0</formula>
    </cfRule>
    <cfRule type="cellIs" dxfId="3079" priority="65" stopIfTrue="1" operator="greaterThan">
      <formula>-30</formula>
    </cfRule>
    <cfRule type="cellIs" dxfId="3078" priority="66" stopIfTrue="1" operator="between">
      <formula>-33</formula>
      <formula>-30</formula>
    </cfRule>
  </conditionalFormatting>
  <conditionalFormatting sqref="CB8">
    <cfRule type="containsBlanks" priority="61" stopIfTrue="1">
      <formula>LEN(TRIM(CB8))=0</formula>
    </cfRule>
    <cfRule type="cellIs" dxfId="3077" priority="62" stopIfTrue="1" operator="greaterThan">
      <formula>-30</formula>
    </cfRule>
    <cfRule type="cellIs" dxfId="3076" priority="63" stopIfTrue="1" operator="between">
      <formula>-33</formula>
      <formula>-30</formula>
    </cfRule>
  </conditionalFormatting>
  <conditionalFormatting sqref="CB9">
    <cfRule type="containsBlanks" priority="58" stopIfTrue="1">
      <formula>LEN(TRIM(CB9))=0</formula>
    </cfRule>
    <cfRule type="cellIs" dxfId="3075" priority="59" stopIfTrue="1" operator="greaterThan">
      <formula>-30</formula>
    </cfRule>
    <cfRule type="cellIs" dxfId="3074" priority="60" stopIfTrue="1" operator="between">
      <formula>-33</formula>
      <formula>-30</formula>
    </cfRule>
  </conditionalFormatting>
  <conditionalFormatting sqref="CB10">
    <cfRule type="containsBlanks" priority="55" stopIfTrue="1">
      <formula>LEN(TRIM(CB10))=0</formula>
    </cfRule>
    <cfRule type="cellIs" dxfId="3073" priority="56" stopIfTrue="1" operator="greaterThan">
      <formula>-30</formula>
    </cfRule>
    <cfRule type="cellIs" dxfId="3072" priority="57" stopIfTrue="1" operator="between">
      <formula>-33</formula>
      <formula>-30</formula>
    </cfRule>
  </conditionalFormatting>
  <conditionalFormatting sqref="H11">
    <cfRule type="containsBlanks" priority="52" stopIfTrue="1">
      <formula>LEN(TRIM(H11))=0</formula>
    </cfRule>
    <cfRule type="cellIs" dxfId="3071" priority="53" stopIfTrue="1" operator="greaterThan">
      <formula>-30</formula>
    </cfRule>
    <cfRule type="cellIs" dxfId="3070" priority="54" stopIfTrue="1" operator="between">
      <formula>-33</formula>
      <formula>-30</formula>
    </cfRule>
  </conditionalFormatting>
  <conditionalFormatting sqref="Q11">
    <cfRule type="containsBlanks" priority="49" stopIfTrue="1">
      <formula>LEN(TRIM(Q11))=0</formula>
    </cfRule>
    <cfRule type="cellIs" dxfId="3069" priority="50" stopIfTrue="1" operator="greaterThan">
      <formula>-30</formula>
    </cfRule>
    <cfRule type="cellIs" dxfId="3068" priority="51" stopIfTrue="1" operator="between">
      <formula>-33</formula>
      <formula>-30</formula>
    </cfRule>
  </conditionalFormatting>
  <conditionalFormatting sqref="Z11">
    <cfRule type="containsBlanks" priority="46" stopIfTrue="1">
      <formula>LEN(TRIM(Z11))=0</formula>
    </cfRule>
    <cfRule type="cellIs" dxfId="3067" priority="47" stopIfTrue="1" operator="greaterThan">
      <formula>-30</formula>
    </cfRule>
    <cfRule type="cellIs" dxfId="3066" priority="48" stopIfTrue="1" operator="between">
      <formula>-33</formula>
      <formula>-30</formula>
    </cfRule>
  </conditionalFormatting>
  <conditionalFormatting sqref="AI11">
    <cfRule type="containsBlanks" priority="43" stopIfTrue="1">
      <formula>LEN(TRIM(AI11))=0</formula>
    </cfRule>
    <cfRule type="cellIs" dxfId="3065" priority="44" stopIfTrue="1" operator="greaterThan">
      <formula>-30</formula>
    </cfRule>
    <cfRule type="cellIs" dxfId="3064" priority="45" stopIfTrue="1" operator="between">
      <formula>-33</formula>
      <formula>-30</formula>
    </cfRule>
  </conditionalFormatting>
  <conditionalFormatting sqref="AR11">
    <cfRule type="containsBlanks" priority="40" stopIfTrue="1">
      <formula>LEN(TRIM(AR11))=0</formula>
    </cfRule>
    <cfRule type="cellIs" dxfId="3063" priority="41" stopIfTrue="1" operator="greaterThan">
      <formula>-30</formula>
    </cfRule>
    <cfRule type="cellIs" dxfId="3062" priority="42" stopIfTrue="1" operator="between">
      <formula>-33</formula>
      <formula>-30</formula>
    </cfRule>
  </conditionalFormatting>
  <conditionalFormatting sqref="BA11">
    <cfRule type="containsBlanks" priority="37" stopIfTrue="1">
      <formula>LEN(TRIM(BA11))=0</formula>
    </cfRule>
    <cfRule type="cellIs" dxfId="3061" priority="38" stopIfTrue="1" operator="greaterThan">
      <formula>-30</formula>
    </cfRule>
    <cfRule type="cellIs" dxfId="3060" priority="39" stopIfTrue="1" operator="between">
      <formula>-33</formula>
      <formula>-30</formula>
    </cfRule>
  </conditionalFormatting>
  <conditionalFormatting sqref="BJ11">
    <cfRule type="containsBlanks" priority="34" stopIfTrue="1">
      <formula>LEN(TRIM(BJ11))=0</formula>
    </cfRule>
    <cfRule type="cellIs" dxfId="3059" priority="35" stopIfTrue="1" operator="greaterThan">
      <formula>-30</formula>
    </cfRule>
    <cfRule type="cellIs" dxfId="3058" priority="36" stopIfTrue="1" operator="between">
      <formula>-33</formula>
      <formula>-30</formula>
    </cfRule>
  </conditionalFormatting>
  <conditionalFormatting sqref="BS11">
    <cfRule type="containsBlanks" priority="31" stopIfTrue="1">
      <formula>LEN(TRIM(BS11))=0</formula>
    </cfRule>
    <cfRule type="cellIs" dxfId="3057" priority="32" stopIfTrue="1" operator="greaterThan">
      <formula>-30</formula>
    </cfRule>
    <cfRule type="cellIs" dxfId="3056" priority="33" stopIfTrue="1" operator="between">
      <formula>-33</formula>
      <formula>-30</formula>
    </cfRule>
  </conditionalFormatting>
  <conditionalFormatting sqref="CB11">
    <cfRule type="containsBlanks" priority="28" stopIfTrue="1">
      <formula>LEN(TRIM(CB11))=0</formula>
    </cfRule>
    <cfRule type="cellIs" dxfId="3055" priority="29" stopIfTrue="1" operator="greaterThan">
      <formula>-30</formula>
    </cfRule>
    <cfRule type="cellIs" dxfId="3054" priority="30" stopIfTrue="1" operator="between">
      <formula>-33</formula>
      <formula>-30</formula>
    </cfRule>
  </conditionalFormatting>
  <conditionalFormatting sqref="H12">
    <cfRule type="containsBlanks" priority="25" stopIfTrue="1">
      <formula>LEN(TRIM(H12))=0</formula>
    </cfRule>
    <cfRule type="cellIs" dxfId="3053" priority="26" stopIfTrue="1" operator="greaterThan">
      <formula>-30</formula>
    </cfRule>
    <cfRule type="cellIs" dxfId="3052" priority="27" stopIfTrue="1" operator="between">
      <formula>-33</formula>
      <formula>-30</formula>
    </cfRule>
  </conditionalFormatting>
  <conditionalFormatting sqref="Q12">
    <cfRule type="containsBlanks" priority="22" stopIfTrue="1">
      <formula>LEN(TRIM(Q12))=0</formula>
    </cfRule>
    <cfRule type="cellIs" dxfId="3051" priority="23" stopIfTrue="1" operator="greaterThan">
      <formula>-30</formula>
    </cfRule>
    <cfRule type="cellIs" dxfId="3050" priority="24" stopIfTrue="1" operator="between">
      <formula>-33</formula>
      <formula>-30</formula>
    </cfRule>
  </conditionalFormatting>
  <conditionalFormatting sqref="Z12">
    <cfRule type="containsBlanks" priority="19" stopIfTrue="1">
      <formula>LEN(TRIM(Z12))=0</formula>
    </cfRule>
    <cfRule type="cellIs" dxfId="3049" priority="20" stopIfTrue="1" operator="greaterThan">
      <formula>-30</formula>
    </cfRule>
    <cfRule type="cellIs" dxfId="3048" priority="21" stopIfTrue="1" operator="between">
      <formula>-33</formula>
      <formula>-30</formula>
    </cfRule>
  </conditionalFormatting>
  <conditionalFormatting sqref="AI12">
    <cfRule type="containsBlanks" priority="16" stopIfTrue="1">
      <formula>LEN(TRIM(AI12))=0</formula>
    </cfRule>
    <cfRule type="cellIs" dxfId="3047" priority="17" stopIfTrue="1" operator="greaterThan">
      <formula>-30</formula>
    </cfRule>
    <cfRule type="cellIs" dxfId="3046" priority="18" stopIfTrue="1" operator="between">
      <formula>-33</formula>
      <formula>-30</formula>
    </cfRule>
  </conditionalFormatting>
  <conditionalFormatting sqref="AR12">
    <cfRule type="containsBlanks" priority="13" stopIfTrue="1">
      <formula>LEN(TRIM(AR12))=0</formula>
    </cfRule>
    <cfRule type="cellIs" dxfId="3045" priority="14" stopIfTrue="1" operator="greaterThan">
      <formula>-30</formula>
    </cfRule>
    <cfRule type="cellIs" dxfId="3044" priority="15" stopIfTrue="1" operator="between">
      <formula>-33</formula>
      <formula>-30</formula>
    </cfRule>
  </conditionalFormatting>
  <conditionalFormatting sqref="BA12">
    <cfRule type="containsBlanks" priority="10" stopIfTrue="1">
      <formula>LEN(TRIM(BA12))=0</formula>
    </cfRule>
    <cfRule type="cellIs" dxfId="3043" priority="11" stopIfTrue="1" operator="greaterThan">
      <formula>-30</formula>
    </cfRule>
    <cfRule type="cellIs" dxfId="3042" priority="12" stopIfTrue="1" operator="between">
      <formula>-33</formula>
      <formula>-30</formula>
    </cfRule>
  </conditionalFormatting>
  <conditionalFormatting sqref="BJ12">
    <cfRule type="containsBlanks" priority="7" stopIfTrue="1">
      <formula>LEN(TRIM(BJ12))=0</formula>
    </cfRule>
    <cfRule type="cellIs" dxfId="3041" priority="8" stopIfTrue="1" operator="greaterThan">
      <formula>-30</formula>
    </cfRule>
    <cfRule type="cellIs" dxfId="3040" priority="9" stopIfTrue="1" operator="between">
      <formula>-33</formula>
      <formula>-30</formula>
    </cfRule>
  </conditionalFormatting>
  <conditionalFormatting sqref="BS12">
    <cfRule type="containsBlanks" priority="4" stopIfTrue="1">
      <formula>LEN(TRIM(BS12))=0</formula>
    </cfRule>
    <cfRule type="cellIs" dxfId="3039" priority="5" stopIfTrue="1" operator="greaterThan">
      <formula>-30</formula>
    </cfRule>
    <cfRule type="cellIs" dxfId="3038" priority="6" stopIfTrue="1" operator="between">
      <formula>-33</formula>
      <formula>-30</formula>
    </cfRule>
  </conditionalFormatting>
  <conditionalFormatting sqref="CB12">
    <cfRule type="containsBlanks" priority="1" stopIfTrue="1">
      <formula>LEN(TRIM(CB12))=0</formula>
    </cfRule>
    <cfRule type="cellIs" dxfId="3037" priority="2" stopIfTrue="1" operator="greaterThan">
      <formula>-30</formula>
    </cfRule>
    <cfRule type="cellIs" dxfId="3036" priority="3" stopIfTrue="1" operator="between">
      <formula>-33</formula>
      <formula>-30</formula>
    </cfRule>
  </conditionalFormatting>
  <dataValidations disablePrompts="1" count="1">
    <dataValidation type="list" allowBlank="1" showInputMessage="1" showErrorMessage="1" sqref="G6 P6 Y6 AH6 AQ6 AZ6 BI6 BR6 CA6">
      <formula1>"Low,Mid,High"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U12"/>
  <sheetViews>
    <sheetView topLeftCell="BZ1" zoomScale="110" zoomScaleNormal="110" workbookViewId="0">
      <selection activeCell="CT7" sqref="CT7:CT11"/>
    </sheetView>
  </sheetViews>
  <sheetFormatPr defaultRowHeight="13.5"/>
  <cols>
    <col min="3" max="3" width="9.875" bestFit="1" customWidth="1"/>
    <col min="4" max="6" width="9" customWidth="1"/>
    <col min="9" max="9" width="7.625" bestFit="1" customWidth="1"/>
    <col min="10" max="10" width="7.75" customWidth="1"/>
    <col min="11" max="11" width="8" bestFit="1" customWidth="1"/>
    <col min="12" max="12" width="9.875" bestFit="1" customWidth="1"/>
    <col min="13" max="13" width="9" customWidth="1"/>
    <col min="18" max="18" width="7.625" bestFit="1" customWidth="1"/>
    <col min="19" max="19" width="7.75" bestFit="1" customWidth="1"/>
    <col min="20" max="20" width="8" bestFit="1" customWidth="1"/>
    <col min="21" max="21" width="9.875" bestFit="1" customWidth="1"/>
    <col min="22" max="22" width="9" customWidth="1"/>
    <col min="27" max="27" width="7.625" bestFit="1" customWidth="1"/>
    <col min="259" max="259" width="9.875" bestFit="1" customWidth="1"/>
    <col min="260" max="262" width="9" customWidth="1"/>
    <col min="265" max="265" width="7.625" bestFit="1" customWidth="1"/>
    <col min="266" max="266" width="7.75" customWidth="1"/>
    <col min="267" max="267" width="8" bestFit="1" customWidth="1"/>
    <col min="268" max="268" width="9.875" bestFit="1" customWidth="1"/>
    <col min="269" max="269" width="9" customWidth="1"/>
    <col min="274" max="274" width="7.625" bestFit="1" customWidth="1"/>
    <col min="275" max="275" width="7.75" bestFit="1" customWidth="1"/>
    <col min="276" max="276" width="8" bestFit="1" customWidth="1"/>
    <col min="277" max="277" width="9.875" bestFit="1" customWidth="1"/>
    <col min="278" max="278" width="9" customWidth="1"/>
    <col min="283" max="283" width="7.625" bestFit="1" customWidth="1"/>
    <col min="515" max="515" width="9.875" bestFit="1" customWidth="1"/>
    <col min="516" max="518" width="9" customWidth="1"/>
    <col min="521" max="521" width="7.625" bestFit="1" customWidth="1"/>
    <col min="522" max="522" width="7.75" customWidth="1"/>
    <col min="523" max="523" width="8" bestFit="1" customWidth="1"/>
    <col min="524" max="524" width="9.875" bestFit="1" customWidth="1"/>
    <col min="525" max="525" width="9" customWidth="1"/>
    <col min="530" max="530" width="7.625" bestFit="1" customWidth="1"/>
    <col min="531" max="531" width="7.75" bestFit="1" customWidth="1"/>
    <col min="532" max="532" width="8" bestFit="1" customWidth="1"/>
    <col min="533" max="533" width="9.875" bestFit="1" customWidth="1"/>
    <col min="534" max="534" width="9" customWidth="1"/>
    <col min="539" max="539" width="7.625" bestFit="1" customWidth="1"/>
    <col min="771" max="771" width="9.875" bestFit="1" customWidth="1"/>
    <col min="772" max="774" width="9" customWidth="1"/>
    <col min="777" max="777" width="7.625" bestFit="1" customWidth="1"/>
    <col min="778" max="778" width="7.75" customWidth="1"/>
    <col min="779" max="779" width="8" bestFit="1" customWidth="1"/>
    <col min="780" max="780" width="9.875" bestFit="1" customWidth="1"/>
    <col min="781" max="781" width="9" customWidth="1"/>
    <col min="786" max="786" width="7.625" bestFit="1" customWidth="1"/>
    <col min="787" max="787" width="7.75" bestFit="1" customWidth="1"/>
    <col min="788" max="788" width="8" bestFit="1" customWidth="1"/>
    <col min="789" max="789" width="9.875" bestFit="1" customWidth="1"/>
    <col min="790" max="790" width="9" customWidth="1"/>
    <col min="795" max="795" width="7.625" bestFit="1" customWidth="1"/>
    <col min="1027" max="1027" width="9.875" bestFit="1" customWidth="1"/>
    <col min="1028" max="1030" width="9" customWidth="1"/>
    <col min="1033" max="1033" width="7.625" bestFit="1" customWidth="1"/>
    <col min="1034" max="1034" width="7.75" customWidth="1"/>
    <col min="1035" max="1035" width="8" bestFit="1" customWidth="1"/>
    <col min="1036" max="1036" width="9.875" bestFit="1" customWidth="1"/>
    <col min="1037" max="1037" width="9" customWidth="1"/>
    <col min="1042" max="1042" width="7.625" bestFit="1" customWidth="1"/>
    <col min="1043" max="1043" width="7.75" bestFit="1" customWidth="1"/>
    <col min="1044" max="1044" width="8" bestFit="1" customWidth="1"/>
    <col min="1045" max="1045" width="9.875" bestFit="1" customWidth="1"/>
    <col min="1046" max="1046" width="9" customWidth="1"/>
    <col min="1051" max="1051" width="7.625" bestFit="1" customWidth="1"/>
    <col min="1283" max="1283" width="9.875" bestFit="1" customWidth="1"/>
    <col min="1284" max="1286" width="9" customWidth="1"/>
    <col min="1289" max="1289" width="7.625" bestFit="1" customWidth="1"/>
    <col min="1290" max="1290" width="7.75" customWidth="1"/>
    <col min="1291" max="1291" width="8" bestFit="1" customWidth="1"/>
    <col min="1292" max="1292" width="9.875" bestFit="1" customWidth="1"/>
    <col min="1293" max="1293" width="9" customWidth="1"/>
    <col min="1298" max="1298" width="7.625" bestFit="1" customWidth="1"/>
    <col min="1299" max="1299" width="7.75" bestFit="1" customWidth="1"/>
    <col min="1300" max="1300" width="8" bestFit="1" customWidth="1"/>
    <col min="1301" max="1301" width="9.875" bestFit="1" customWidth="1"/>
    <col min="1302" max="1302" width="9" customWidth="1"/>
    <col min="1307" max="1307" width="7.625" bestFit="1" customWidth="1"/>
    <col min="1539" max="1539" width="9.875" bestFit="1" customWidth="1"/>
    <col min="1540" max="1542" width="9" customWidth="1"/>
    <col min="1545" max="1545" width="7.625" bestFit="1" customWidth="1"/>
    <col min="1546" max="1546" width="7.75" customWidth="1"/>
    <col min="1547" max="1547" width="8" bestFit="1" customWidth="1"/>
    <col min="1548" max="1548" width="9.875" bestFit="1" customWidth="1"/>
    <col min="1549" max="1549" width="9" customWidth="1"/>
    <col min="1554" max="1554" width="7.625" bestFit="1" customWidth="1"/>
    <col min="1555" max="1555" width="7.75" bestFit="1" customWidth="1"/>
    <col min="1556" max="1556" width="8" bestFit="1" customWidth="1"/>
    <col min="1557" max="1557" width="9.875" bestFit="1" customWidth="1"/>
    <col min="1558" max="1558" width="9" customWidth="1"/>
    <col min="1563" max="1563" width="7.625" bestFit="1" customWidth="1"/>
    <col min="1795" max="1795" width="9.875" bestFit="1" customWidth="1"/>
    <col min="1796" max="1798" width="9" customWidth="1"/>
    <col min="1801" max="1801" width="7.625" bestFit="1" customWidth="1"/>
    <col min="1802" max="1802" width="7.75" customWidth="1"/>
    <col min="1803" max="1803" width="8" bestFit="1" customWidth="1"/>
    <col min="1804" max="1804" width="9.875" bestFit="1" customWidth="1"/>
    <col min="1805" max="1805" width="9" customWidth="1"/>
    <col min="1810" max="1810" width="7.625" bestFit="1" customWidth="1"/>
    <col min="1811" max="1811" width="7.75" bestFit="1" customWidth="1"/>
    <col min="1812" max="1812" width="8" bestFit="1" customWidth="1"/>
    <col min="1813" max="1813" width="9.875" bestFit="1" customWidth="1"/>
    <col min="1814" max="1814" width="9" customWidth="1"/>
    <col min="1819" max="1819" width="7.625" bestFit="1" customWidth="1"/>
    <col min="2051" max="2051" width="9.875" bestFit="1" customWidth="1"/>
    <col min="2052" max="2054" width="9" customWidth="1"/>
    <col min="2057" max="2057" width="7.625" bestFit="1" customWidth="1"/>
    <col min="2058" max="2058" width="7.75" customWidth="1"/>
    <col min="2059" max="2059" width="8" bestFit="1" customWidth="1"/>
    <col min="2060" max="2060" width="9.875" bestFit="1" customWidth="1"/>
    <col min="2061" max="2061" width="9" customWidth="1"/>
    <col min="2066" max="2066" width="7.625" bestFit="1" customWidth="1"/>
    <col min="2067" max="2067" width="7.75" bestFit="1" customWidth="1"/>
    <col min="2068" max="2068" width="8" bestFit="1" customWidth="1"/>
    <col min="2069" max="2069" width="9.875" bestFit="1" customWidth="1"/>
    <col min="2070" max="2070" width="9" customWidth="1"/>
    <col min="2075" max="2075" width="7.625" bestFit="1" customWidth="1"/>
    <col min="2307" max="2307" width="9.875" bestFit="1" customWidth="1"/>
    <col min="2308" max="2310" width="9" customWidth="1"/>
    <col min="2313" max="2313" width="7.625" bestFit="1" customWidth="1"/>
    <col min="2314" max="2314" width="7.75" customWidth="1"/>
    <col min="2315" max="2315" width="8" bestFit="1" customWidth="1"/>
    <col min="2316" max="2316" width="9.875" bestFit="1" customWidth="1"/>
    <col min="2317" max="2317" width="9" customWidth="1"/>
    <col min="2322" max="2322" width="7.625" bestFit="1" customWidth="1"/>
    <col min="2323" max="2323" width="7.75" bestFit="1" customWidth="1"/>
    <col min="2324" max="2324" width="8" bestFit="1" customWidth="1"/>
    <col min="2325" max="2325" width="9.875" bestFit="1" customWidth="1"/>
    <col min="2326" max="2326" width="9" customWidth="1"/>
    <col min="2331" max="2331" width="7.625" bestFit="1" customWidth="1"/>
    <col min="2563" max="2563" width="9.875" bestFit="1" customWidth="1"/>
    <col min="2564" max="2566" width="9" customWidth="1"/>
    <col min="2569" max="2569" width="7.625" bestFit="1" customWidth="1"/>
    <col min="2570" max="2570" width="7.75" customWidth="1"/>
    <col min="2571" max="2571" width="8" bestFit="1" customWidth="1"/>
    <col min="2572" max="2572" width="9.875" bestFit="1" customWidth="1"/>
    <col min="2573" max="2573" width="9" customWidth="1"/>
    <col min="2578" max="2578" width="7.625" bestFit="1" customWidth="1"/>
    <col min="2579" max="2579" width="7.75" bestFit="1" customWidth="1"/>
    <col min="2580" max="2580" width="8" bestFit="1" customWidth="1"/>
    <col min="2581" max="2581" width="9.875" bestFit="1" customWidth="1"/>
    <col min="2582" max="2582" width="9" customWidth="1"/>
    <col min="2587" max="2587" width="7.625" bestFit="1" customWidth="1"/>
    <col min="2819" max="2819" width="9.875" bestFit="1" customWidth="1"/>
    <col min="2820" max="2822" width="9" customWidth="1"/>
    <col min="2825" max="2825" width="7.625" bestFit="1" customWidth="1"/>
    <col min="2826" max="2826" width="7.75" customWidth="1"/>
    <col min="2827" max="2827" width="8" bestFit="1" customWidth="1"/>
    <col min="2828" max="2828" width="9.875" bestFit="1" customWidth="1"/>
    <col min="2829" max="2829" width="9" customWidth="1"/>
    <col min="2834" max="2834" width="7.625" bestFit="1" customWidth="1"/>
    <col min="2835" max="2835" width="7.75" bestFit="1" customWidth="1"/>
    <col min="2836" max="2836" width="8" bestFit="1" customWidth="1"/>
    <col min="2837" max="2837" width="9.875" bestFit="1" customWidth="1"/>
    <col min="2838" max="2838" width="9" customWidth="1"/>
    <col min="2843" max="2843" width="7.625" bestFit="1" customWidth="1"/>
    <col min="3075" max="3075" width="9.875" bestFit="1" customWidth="1"/>
    <col min="3076" max="3078" width="9" customWidth="1"/>
    <col min="3081" max="3081" width="7.625" bestFit="1" customWidth="1"/>
    <col min="3082" max="3082" width="7.75" customWidth="1"/>
    <col min="3083" max="3083" width="8" bestFit="1" customWidth="1"/>
    <col min="3084" max="3084" width="9.875" bestFit="1" customWidth="1"/>
    <col min="3085" max="3085" width="9" customWidth="1"/>
    <col min="3090" max="3090" width="7.625" bestFit="1" customWidth="1"/>
    <col min="3091" max="3091" width="7.75" bestFit="1" customWidth="1"/>
    <col min="3092" max="3092" width="8" bestFit="1" customWidth="1"/>
    <col min="3093" max="3093" width="9.875" bestFit="1" customWidth="1"/>
    <col min="3094" max="3094" width="9" customWidth="1"/>
    <col min="3099" max="3099" width="7.625" bestFit="1" customWidth="1"/>
    <col min="3331" max="3331" width="9.875" bestFit="1" customWidth="1"/>
    <col min="3332" max="3334" width="9" customWidth="1"/>
    <col min="3337" max="3337" width="7.625" bestFit="1" customWidth="1"/>
    <col min="3338" max="3338" width="7.75" customWidth="1"/>
    <col min="3339" max="3339" width="8" bestFit="1" customWidth="1"/>
    <col min="3340" max="3340" width="9.875" bestFit="1" customWidth="1"/>
    <col min="3341" max="3341" width="9" customWidth="1"/>
    <col min="3346" max="3346" width="7.625" bestFit="1" customWidth="1"/>
    <col min="3347" max="3347" width="7.75" bestFit="1" customWidth="1"/>
    <col min="3348" max="3348" width="8" bestFit="1" customWidth="1"/>
    <col min="3349" max="3349" width="9.875" bestFit="1" customWidth="1"/>
    <col min="3350" max="3350" width="9" customWidth="1"/>
    <col min="3355" max="3355" width="7.625" bestFit="1" customWidth="1"/>
    <col min="3587" max="3587" width="9.875" bestFit="1" customWidth="1"/>
    <col min="3588" max="3590" width="9" customWidth="1"/>
    <col min="3593" max="3593" width="7.625" bestFit="1" customWidth="1"/>
    <col min="3594" max="3594" width="7.75" customWidth="1"/>
    <col min="3595" max="3595" width="8" bestFit="1" customWidth="1"/>
    <col min="3596" max="3596" width="9.875" bestFit="1" customWidth="1"/>
    <col min="3597" max="3597" width="9" customWidth="1"/>
    <col min="3602" max="3602" width="7.625" bestFit="1" customWidth="1"/>
    <col min="3603" max="3603" width="7.75" bestFit="1" customWidth="1"/>
    <col min="3604" max="3604" width="8" bestFit="1" customWidth="1"/>
    <col min="3605" max="3605" width="9.875" bestFit="1" customWidth="1"/>
    <col min="3606" max="3606" width="9" customWidth="1"/>
    <col min="3611" max="3611" width="7.625" bestFit="1" customWidth="1"/>
    <col min="3843" max="3843" width="9.875" bestFit="1" customWidth="1"/>
    <col min="3844" max="3846" width="9" customWidth="1"/>
    <col min="3849" max="3849" width="7.625" bestFit="1" customWidth="1"/>
    <col min="3850" max="3850" width="7.75" customWidth="1"/>
    <col min="3851" max="3851" width="8" bestFit="1" customWidth="1"/>
    <col min="3852" max="3852" width="9.875" bestFit="1" customWidth="1"/>
    <col min="3853" max="3853" width="9" customWidth="1"/>
    <col min="3858" max="3858" width="7.625" bestFit="1" customWidth="1"/>
    <col min="3859" max="3859" width="7.75" bestFit="1" customWidth="1"/>
    <col min="3860" max="3860" width="8" bestFit="1" customWidth="1"/>
    <col min="3861" max="3861" width="9.875" bestFit="1" customWidth="1"/>
    <col min="3862" max="3862" width="9" customWidth="1"/>
    <col min="3867" max="3867" width="7.625" bestFit="1" customWidth="1"/>
    <col min="4099" max="4099" width="9.875" bestFit="1" customWidth="1"/>
    <col min="4100" max="4102" width="9" customWidth="1"/>
    <col min="4105" max="4105" width="7.625" bestFit="1" customWidth="1"/>
    <col min="4106" max="4106" width="7.75" customWidth="1"/>
    <col min="4107" max="4107" width="8" bestFit="1" customWidth="1"/>
    <col min="4108" max="4108" width="9.875" bestFit="1" customWidth="1"/>
    <col min="4109" max="4109" width="9" customWidth="1"/>
    <col min="4114" max="4114" width="7.625" bestFit="1" customWidth="1"/>
    <col min="4115" max="4115" width="7.75" bestFit="1" customWidth="1"/>
    <col min="4116" max="4116" width="8" bestFit="1" customWidth="1"/>
    <col min="4117" max="4117" width="9.875" bestFit="1" customWidth="1"/>
    <col min="4118" max="4118" width="9" customWidth="1"/>
    <col min="4123" max="4123" width="7.625" bestFit="1" customWidth="1"/>
    <col min="4355" max="4355" width="9.875" bestFit="1" customWidth="1"/>
    <col min="4356" max="4358" width="9" customWidth="1"/>
    <col min="4361" max="4361" width="7.625" bestFit="1" customWidth="1"/>
    <col min="4362" max="4362" width="7.75" customWidth="1"/>
    <col min="4363" max="4363" width="8" bestFit="1" customWidth="1"/>
    <col min="4364" max="4364" width="9.875" bestFit="1" customWidth="1"/>
    <col min="4365" max="4365" width="9" customWidth="1"/>
    <col min="4370" max="4370" width="7.625" bestFit="1" customWidth="1"/>
    <col min="4371" max="4371" width="7.75" bestFit="1" customWidth="1"/>
    <col min="4372" max="4372" width="8" bestFit="1" customWidth="1"/>
    <col min="4373" max="4373" width="9.875" bestFit="1" customWidth="1"/>
    <col min="4374" max="4374" width="9" customWidth="1"/>
    <col min="4379" max="4379" width="7.625" bestFit="1" customWidth="1"/>
    <col min="4611" max="4611" width="9.875" bestFit="1" customWidth="1"/>
    <col min="4612" max="4614" width="9" customWidth="1"/>
    <col min="4617" max="4617" width="7.625" bestFit="1" customWidth="1"/>
    <col min="4618" max="4618" width="7.75" customWidth="1"/>
    <col min="4619" max="4619" width="8" bestFit="1" customWidth="1"/>
    <col min="4620" max="4620" width="9.875" bestFit="1" customWidth="1"/>
    <col min="4621" max="4621" width="9" customWidth="1"/>
    <col min="4626" max="4626" width="7.625" bestFit="1" customWidth="1"/>
    <col min="4627" max="4627" width="7.75" bestFit="1" customWidth="1"/>
    <col min="4628" max="4628" width="8" bestFit="1" customWidth="1"/>
    <col min="4629" max="4629" width="9.875" bestFit="1" customWidth="1"/>
    <col min="4630" max="4630" width="9" customWidth="1"/>
    <col min="4635" max="4635" width="7.625" bestFit="1" customWidth="1"/>
    <col min="4867" max="4867" width="9.875" bestFit="1" customWidth="1"/>
    <col min="4868" max="4870" width="9" customWidth="1"/>
    <col min="4873" max="4873" width="7.625" bestFit="1" customWidth="1"/>
    <col min="4874" max="4874" width="7.75" customWidth="1"/>
    <col min="4875" max="4875" width="8" bestFit="1" customWidth="1"/>
    <col min="4876" max="4876" width="9.875" bestFit="1" customWidth="1"/>
    <col min="4877" max="4877" width="9" customWidth="1"/>
    <col min="4882" max="4882" width="7.625" bestFit="1" customWidth="1"/>
    <col min="4883" max="4883" width="7.75" bestFit="1" customWidth="1"/>
    <col min="4884" max="4884" width="8" bestFit="1" customWidth="1"/>
    <col min="4885" max="4885" width="9.875" bestFit="1" customWidth="1"/>
    <col min="4886" max="4886" width="9" customWidth="1"/>
    <col min="4891" max="4891" width="7.625" bestFit="1" customWidth="1"/>
    <col min="5123" max="5123" width="9.875" bestFit="1" customWidth="1"/>
    <col min="5124" max="5126" width="9" customWidth="1"/>
    <col min="5129" max="5129" width="7.625" bestFit="1" customWidth="1"/>
    <col min="5130" max="5130" width="7.75" customWidth="1"/>
    <col min="5131" max="5131" width="8" bestFit="1" customWidth="1"/>
    <col min="5132" max="5132" width="9.875" bestFit="1" customWidth="1"/>
    <col min="5133" max="5133" width="9" customWidth="1"/>
    <col min="5138" max="5138" width="7.625" bestFit="1" customWidth="1"/>
    <col min="5139" max="5139" width="7.75" bestFit="1" customWidth="1"/>
    <col min="5140" max="5140" width="8" bestFit="1" customWidth="1"/>
    <col min="5141" max="5141" width="9.875" bestFit="1" customWidth="1"/>
    <col min="5142" max="5142" width="9" customWidth="1"/>
    <col min="5147" max="5147" width="7.625" bestFit="1" customWidth="1"/>
    <col min="5379" max="5379" width="9.875" bestFit="1" customWidth="1"/>
    <col min="5380" max="5382" width="9" customWidth="1"/>
    <col min="5385" max="5385" width="7.625" bestFit="1" customWidth="1"/>
    <col min="5386" max="5386" width="7.75" customWidth="1"/>
    <col min="5387" max="5387" width="8" bestFit="1" customWidth="1"/>
    <col min="5388" max="5388" width="9.875" bestFit="1" customWidth="1"/>
    <col min="5389" max="5389" width="9" customWidth="1"/>
    <col min="5394" max="5394" width="7.625" bestFit="1" customWidth="1"/>
    <col min="5395" max="5395" width="7.75" bestFit="1" customWidth="1"/>
    <col min="5396" max="5396" width="8" bestFit="1" customWidth="1"/>
    <col min="5397" max="5397" width="9.875" bestFit="1" customWidth="1"/>
    <col min="5398" max="5398" width="9" customWidth="1"/>
    <col min="5403" max="5403" width="7.625" bestFit="1" customWidth="1"/>
    <col min="5635" max="5635" width="9.875" bestFit="1" customWidth="1"/>
    <col min="5636" max="5638" width="9" customWidth="1"/>
    <col min="5641" max="5641" width="7.625" bestFit="1" customWidth="1"/>
    <col min="5642" max="5642" width="7.75" customWidth="1"/>
    <col min="5643" max="5643" width="8" bestFit="1" customWidth="1"/>
    <col min="5644" max="5644" width="9.875" bestFit="1" customWidth="1"/>
    <col min="5645" max="5645" width="9" customWidth="1"/>
    <col min="5650" max="5650" width="7.625" bestFit="1" customWidth="1"/>
    <col min="5651" max="5651" width="7.75" bestFit="1" customWidth="1"/>
    <col min="5652" max="5652" width="8" bestFit="1" customWidth="1"/>
    <col min="5653" max="5653" width="9.875" bestFit="1" customWidth="1"/>
    <col min="5654" max="5654" width="9" customWidth="1"/>
    <col min="5659" max="5659" width="7.625" bestFit="1" customWidth="1"/>
    <col min="5891" max="5891" width="9.875" bestFit="1" customWidth="1"/>
    <col min="5892" max="5894" width="9" customWidth="1"/>
    <col min="5897" max="5897" width="7.625" bestFit="1" customWidth="1"/>
    <col min="5898" max="5898" width="7.75" customWidth="1"/>
    <col min="5899" max="5899" width="8" bestFit="1" customWidth="1"/>
    <col min="5900" max="5900" width="9.875" bestFit="1" customWidth="1"/>
    <col min="5901" max="5901" width="9" customWidth="1"/>
    <col min="5906" max="5906" width="7.625" bestFit="1" customWidth="1"/>
    <col min="5907" max="5907" width="7.75" bestFit="1" customWidth="1"/>
    <col min="5908" max="5908" width="8" bestFit="1" customWidth="1"/>
    <col min="5909" max="5909" width="9.875" bestFit="1" customWidth="1"/>
    <col min="5910" max="5910" width="9" customWidth="1"/>
    <col min="5915" max="5915" width="7.625" bestFit="1" customWidth="1"/>
    <col min="6147" max="6147" width="9.875" bestFit="1" customWidth="1"/>
    <col min="6148" max="6150" width="9" customWidth="1"/>
    <col min="6153" max="6153" width="7.625" bestFit="1" customWidth="1"/>
    <col min="6154" max="6154" width="7.75" customWidth="1"/>
    <col min="6155" max="6155" width="8" bestFit="1" customWidth="1"/>
    <col min="6156" max="6156" width="9.875" bestFit="1" customWidth="1"/>
    <col min="6157" max="6157" width="9" customWidth="1"/>
    <col min="6162" max="6162" width="7.625" bestFit="1" customWidth="1"/>
    <col min="6163" max="6163" width="7.75" bestFit="1" customWidth="1"/>
    <col min="6164" max="6164" width="8" bestFit="1" customWidth="1"/>
    <col min="6165" max="6165" width="9.875" bestFit="1" customWidth="1"/>
    <col min="6166" max="6166" width="9" customWidth="1"/>
    <col min="6171" max="6171" width="7.625" bestFit="1" customWidth="1"/>
    <col min="6403" max="6403" width="9.875" bestFit="1" customWidth="1"/>
    <col min="6404" max="6406" width="9" customWidth="1"/>
    <col min="6409" max="6409" width="7.625" bestFit="1" customWidth="1"/>
    <col min="6410" max="6410" width="7.75" customWidth="1"/>
    <col min="6411" max="6411" width="8" bestFit="1" customWidth="1"/>
    <col min="6412" max="6412" width="9.875" bestFit="1" customWidth="1"/>
    <col min="6413" max="6413" width="9" customWidth="1"/>
    <col min="6418" max="6418" width="7.625" bestFit="1" customWidth="1"/>
    <col min="6419" max="6419" width="7.75" bestFit="1" customWidth="1"/>
    <col min="6420" max="6420" width="8" bestFit="1" customWidth="1"/>
    <col min="6421" max="6421" width="9.875" bestFit="1" customWidth="1"/>
    <col min="6422" max="6422" width="9" customWidth="1"/>
    <col min="6427" max="6427" width="7.625" bestFit="1" customWidth="1"/>
    <col min="6659" max="6659" width="9.875" bestFit="1" customWidth="1"/>
    <col min="6660" max="6662" width="9" customWidth="1"/>
    <col min="6665" max="6665" width="7.625" bestFit="1" customWidth="1"/>
    <col min="6666" max="6666" width="7.75" customWidth="1"/>
    <col min="6667" max="6667" width="8" bestFit="1" customWidth="1"/>
    <col min="6668" max="6668" width="9.875" bestFit="1" customWidth="1"/>
    <col min="6669" max="6669" width="9" customWidth="1"/>
    <col min="6674" max="6674" width="7.625" bestFit="1" customWidth="1"/>
    <col min="6675" max="6675" width="7.75" bestFit="1" customWidth="1"/>
    <col min="6676" max="6676" width="8" bestFit="1" customWidth="1"/>
    <col min="6677" max="6677" width="9.875" bestFit="1" customWidth="1"/>
    <col min="6678" max="6678" width="9" customWidth="1"/>
    <col min="6683" max="6683" width="7.625" bestFit="1" customWidth="1"/>
    <col min="6915" max="6915" width="9.875" bestFit="1" customWidth="1"/>
    <col min="6916" max="6918" width="9" customWidth="1"/>
    <col min="6921" max="6921" width="7.625" bestFit="1" customWidth="1"/>
    <col min="6922" max="6922" width="7.75" customWidth="1"/>
    <col min="6923" max="6923" width="8" bestFit="1" customWidth="1"/>
    <col min="6924" max="6924" width="9.875" bestFit="1" customWidth="1"/>
    <col min="6925" max="6925" width="9" customWidth="1"/>
    <col min="6930" max="6930" width="7.625" bestFit="1" customWidth="1"/>
    <col min="6931" max="6931" width="7.75" bestFit="1" customWidth="1"/>
    <col min="6932" max="6932" width="8" bestFit="1" customWidth="1"/>
    <col min="6933" max="6933" width="9.875" bestFit="1" customWidth="1"/>
    <col min="6934" max="6934" width="9" customWidth="1"/>
    <col min="6939" max="6939" width="7.625" bestFit="1" customWidth="1"/>
    <col min="7171" max="7171" width="9.875" bestFit="1" customWidth="1"/>
    <col min="7172" max="7174" width="9" customWidth="1"/>
    <col min="7177" max="7177" width="7.625" bestFit="1" customWidth="1"/>
    <col min="7178" max="7178" width="7.75" customWidth="1"/>
    <col min="7179" max="7179" width="8" bestFit="1" customWidth="1"/>
    <col min="7180" max="7180" width="9.875" bestFit="1" customWidth="1"/>
    <col min="7181" max="7181" width="9" customWidth="1"/>
    <col min="7186" max="7186" width="7.625" bestFit="1" customWidth="1"/>
    <col min="7187" max="7187" width="7.75" bestFit="1" customWidth="1"/>
    <col min="7188" max="7188" width="8" bestFit="1" customWidth="1"/>
    <col min="7189" max="7189" width="9.875" bestFit="1" customWidth="1"/>
    <col min="7190" max="7190" width="9" customWidth="1"/>
    <col min="7195" max="7195" width="7.625" bestFit="1" customWidth="1"/>
    <col min="7427" max="7427" width="9.875" bestFit="1" customWidth="1"/>
    <col min="7428" max="7430" width="9" customWidth="1"/>
    <col min="7433" max="7433" width="7.625" bestFit="1" customWidth="1"/>
    <col min="7434" max="7434" width="7.75" customWidth="1"/>
    <col min="7435" max="7435" width="8" bestFit="1" customWidth="1"/>
    <col min="7436" max="7436" width="9.875" bestFit="1" customWidth="1"/>
    <col min="7437" max="7437" width="9" customWidth="1"/>
    <col min="7442" max="7442" width="7.625" bestFit="1" customWidth="1"/>
    <col min="7443" max="7443" width="7.75" bestFit="1" customWidth="1"/>
    <col min="7444" max="7444" width="8" bestFit="1" customWidth="1"/>
    <col min="7445" max="7445" width="9.875" bestFit="1" customWidth="1"/>
    <col min="7446" max="7446" width="9" customWidth="1"/>
    <col min="7451" max="7451" width="7.625" bestFit="1" customWidth="1"/>
    <col min="7683" max="7683" width="9.875" bestFit="1" customWidth="1"/>
    <col min="7684" max="7686" width="9" customWidth="1"/>
    <col min="7689" max="7689" width="7.625" bestFit="1" customWidth="1"/>
    <col min="7690" max="7690" width="7.75" customWidth="1"/>
    <col min="7691" max="7691" width="8" bestFit="1" customWidth="1"/>
    <col min="7692" max="7692" width="9.875" bestFit="1" customWidth="1"/>
    <col min="7693" max="7693" width="9" customWidth="1"/>
    <col min="7698" max="7698" width="7.625" bestFit="1" customWidth="1"/>
    <col min="7699" max="7699" width="7.75" bestFit="1" customWidth="1"/>
    <col min="7700" max="7700" width="8" bestFit="1" customWidth="1"/>
    <col min="7701" max="7701" width="9.875" bestFit="1" customWidth="1"/>
    <col min="7702" max="7702" width="9" customWidth="1"/>
    <col min="7707" max="7707" width="7.625" bestFit="1" customWidth="1"/>
    <col min="7939" max="7939" width="9.875" bestFit="1" customWidth="1"/>
    <col min="7940" max="7942" width="9" customWidth="1"/>
    <col min="7945" max="7945" width="7.625" bestFit="1" customWidth="1"/>
    <col min="7946" max="7946" width="7.75" customWidth="1"/>
    <col min="7947" max="7947" width="8" bestFit="1" customWidth="1"/>
    <col min="7948" max="7948" width="9.875" bestFit="1" customWidth="1"/>
    <col min="7949" max="7949" width="9" customWidth="1"/>
    <col min="7954" max="7954" width="7.625" bestFit="1" customWidth="1"/>
    <col min="7955" max="7955" width="7.75" bestFit="1" customWidth="1"/>
    <col min="7956" max="7956" width="8" bestFit="1" customWidth="1"/>
    <col min="7957" max="7957" width="9.875" bestFit="1" customWidth="1"/>
    <col min="7958" max="7958" width="9" customWidth="1"/>
    <col min="7963" max="7963" width="7.625" bestFit="1" customWidth="1"/>
    <col min="8195" max="8195" width="9.875" bestFit="1" customWidth="1"/>
    <col min="8196" max="8198" width="9" customWidth="1"/>
    <col min="8201" max="8201" width="7.625" bestFit="1" customWidth="1"/>
    <col min="8202" max="8202" width="7.75" customWidth="1"/>
    <col min="8203" max="8203" width="8" bestFit="1" customWidth="1"/>
    <col min="8204" max="8204" width="9.875" bestFit="1" customWidth="1"/>
    <col min="8205" max="8205" width="9" customWidth="1"/>
    <col min="8210" max="8210" width="7.625" bestFit="1" customWidth="1"/>
    <col min="8211" max="8211" width="7.75" bestFit="1" customWidth="1"/>
    <col min="8212" max="8212" width="8" bestFit="1" customWidth="1"/>
    <col min="8213" max="8213" width="9.875" bestFit="1" customWidth="1"/>
    <col min="8214" max="8214" width="9" customWidth="1"/>
    <col min="8219" max="8219" width="7.625" bestFit="1" customWidth="1"/>
    <col min="8451" max="8451" width="9.875" bestFit="1" customWidth="1"/>
    <col min="8452" max="8454" width="9" customWidth="1"/>
    <col min="8457" max="8457" width="7.625" bestFit="1" customWidth="1"/>
    <col min="8458" max="8458" width="7.75" customWidth="1"/>
    <col min="8459" max="8459" width="8" bestFit="1" customWidth="1"/>
    <col min="8460" max="8460" width="9.875" bestFit="1" customWidth="1"/>
    <col min="8461" max="8461" width="9" customWidth="1"/>
    <col min="8466" max="8466" width="7.625" bestFit="1" customWidth="1"/>
    <col min="8467" max="8467" width="7.75" bestFit="1" customWidth="1"/>
    <col min="8468" max="8468" width="8" bestFit="1" customWidth="1"/>
    <col min="8469" max="8469" width="9.875" bestFit="1" customWidth="1"/>
    <col min="8470" max="8470" width="9" customWidth="1"/>
    <col min="8475" max="8475" width="7.625" bestFit="1" customWidth="1"/>
    <col min="8707" max="8707" width="9.875" bestFit="1" customWidth="1"/>
    <col min="8708" max="8710" width="9" customWidth="1"/>
    <col min="8713" max="8713" width="7.625" bestFit="1" customWidth="1"/>
    <col min="8714" max="8714" width="7.75" customWidth="1"/>
    <col min="8715" max="8715" width="8" bestFit="1" customWidth="1"/>
    <col min="8716" max="8716" width="9.875" bestFit="1" customWidth="1"/>
    <col min="8717" max="8717" width="9" customWidth="1"/>
    <col min="8722" max="8722" width="7.625" bestFit="1" customWidth="1"/>
    <col min="8723" max="8723" width="7.75" bestFit="1" customWidth="1"/>
    <col min="8724" max="8724" width="8" bestFit="1" customWidth="1"/>
    <col min="8725" max="8725" width="9.875" bestFit="1" customWidth="1"/>
    <col min="8726" max="8726" width="9" customWidth="1"/>
    <col min="8731" max="8731" width="7.625" bestFit="1" customWidth="1"/>
    <col min="8963" max="8963" width="9.875" bestFit="1" customWidth="1"/>
    <col min="8964" max="8966" width="9" customWidth="1"/>
    <col min="8969" max="8969" width="7.625" bestFit="1" customWidth="1"/>
    <col min="8970" max="8970" width="7.75" customWidth="1"/>
    <col min="8971" max="8971" width="8" bestFit="1" customWidth="1"/>
    <col min="8972" max="8972" width="9.875" bestFit="1" customWidth="1"/>
    <col min="8973" max="8973" width="9" customWidth="1"/>
    <col min="8978" max="8978" width="7.625" bestFit="1" customWidth="1"/>
    <col min="8979" max="8979" width="7.75" bestFit="1" customWidth="1"/>
    <col min="8980" max="8980" width="8" bestFit="1" customWidth="1"/>
    <col min="8981" max="8981" width="9.875" bestFit="1" customWidth="1"/>
    <col min="8982" max="8982" width="9" customWidth="1"/>
    <col min="8987" max="8987" width="7.625" bestFit="1" customWidth="1"/>
    <col min="9219" max="9219" width="9.875" bestFit="1" customWidth="1"/>
    <col min="9220" max="9222" width="9" customWidth="1"/>
    <col min="9225" max="9225" width="7.625" bestFit="1" customWidth="1"/>
    <col min="9226" max="9226" width="7.75" customWidth="1"/>
    <col min="9227" max="9227" width="8" bestFit="1" customWidth="1"/>
    <col min="9228" max="9228" width="9.875" bestFit="1" customWidth="1"/>
    <col min="9229" max="9229" width="9" customWidth="1"/>
    <col min="9234" max="9234" width="7.625" bestFit="1" customWidth="1"/>
    <col min="9235" max="9235" width="7.75" bestFit="1" customWidth="1"/>
    <col min="9236" max="9236" width="8" bestFit="1" customWidth="1"/>
    <col min="9237" max="9237" width="9.875" bestFit="1" customWidth="1"/>
    <col min="9238" max="9238" width="9" customWidth="1"/>
    <col min="9243" max="9243" width="7.625" bestFit="1" customWidth="1"/>
    <col min="9475" max="9475" width="9.875" bestFit="1" customWidth="1"/>
    <col min="9476" max="9478" width="9" customWidth="1"/>
    <col min="9481" max="9481" width="7.625" bestFit="1" customWidth="1"/>
    <col min="9482" max="9482" width="7.75" customWidth="1"/>
    <col min="9483" max="9483" width="8" bestFit="1" customWidth="1"/>
    <col min="9484" max="9484" width="9.875" bestFit="1" customWidth="1"/>
    <col min="9485" max="9485" width="9" customWidth="1"/>
    <col min="9490" max="9490" width="7.625" bestFit="1" customWidth="1"/>
    <col min="9491" max="9491" width="7.75" bestFit="1" customWidth="1"/>
    <col min="9492" max="9492" width="8" bestFit="1" customWidth="1"/>
    <col min="9493" max="9493" width="9.875" bestFit="1" customWidth="1"/>
    <col min="9494" max="9494" width="9" customWidth="1"/>
    <col min="9499" max="9499" width="7.625" bestFit="1" customWidth="1"/>
    <col min="9731" max="9731" width="9.875" bestFit="1" customWidth="1"/>
    <col min="9732" max="9734" width="9" customWidth="1"/>
    <col min="9737" max="9737" width="7.625" bestFit="1" customWidth="1"/>
    <col min="9738" max="9738" width="7.75" customWidth="1"/>
    <col min="9739" max="9739" width="8" bestFit="1" customWidth="1"/>
    <col min="9740" max="9740" width="9.875" bestFit="1" customWidth="1"/>
    <col min="9741" max="9741" width="9" customWidth="1"/>
    <col min="9746" max="9746" width="7.625" bestFit="1" customWidth="1"/>
    <col min="9747" max="9747" width="7.75" bestFit="1" customWidth="1"/>
    <col min="9748" max="9748" width="8" bestFit="1" customWidth="1"/>
    <col min="9749" max="9749" width="9.875" bestFit="1" customWidth="1"/>
    <col min="9750" max="9750" width="9" customWidth="1"/>
    <col min="9755" max="9755" width="7.625" bestFit="1" customWidth="1"/>
    <col min="9987" max="9987" width="9.875" bestFit="1" customWidth="1"/>
    <col min="9988" max="9990" width="9" customWidth="1"/>
    <col min="9993" max="9993" width="7.625" bestFit="1" customWidth="1"/>
    <col min="9994" max="9994" width="7.75" customWidth="1"/>
    <col min="9995" max="9995" width="8" bestFit="1" customWidth="1"/>
    <col min="9996" max="9996" width="9.875" bestFit="1" customWidth="1"/>
    <col min="9997" max="9997" width="9" customWidth="1"/>
    <col min="10002" max="10002" width="7.625" bestFit="1" customWidth="1"/>
    <col min="10003" max="10003" width="7.75" bestFit="1" customWidth="1"/>
    <col min="10004" max="10004" width="8" bestFit="1" customWidth="1"/>
    <col min="10005" max="10005" width="9.875" bestFit="1" customWidth="1"/>
    <col min="10006" max="10006" width="9" customWidth="1"/>
    <col min="10011" max="10011" width="7.625" bestFit="1" customWidth="1"/>
    <col min="10243" max="10243" width="9.875" bestFit="1" customWidth="1"/>
    <col min="10244" max="10246" width="9" customWidth="1"/>
    <col min="10249" max="10249" width="7.625" bestFit="1" customWidth="1"/>
    <col min="10250" max="10250" width="7.75" customWidth="1"/>
    <col min="10251" max="10251" width="8" bestFit="1" customWidth="1"/>
    <col min="10252" max="10252" width="9.875" bestFit="1" customWidth="1"/>
    <col min="10253" max="10253" width="9" customWidth="1"/>
    <col min="10258" max="10258" width="7.625" bestFit="1" customWidth="1"/>
    <col min="10259" max="10259" width="7.75" bestFit="1" customWidth="1"/>
    <col min="10260" max="10260" width="8" bestFit="1" customWidth="1"/>
    <col min="10261" max="10261" width="9.875" bestFit="1" customWidth="1"/>
    <col min="10262" max="10262" width="9" customWidth="1"/>
    <col min="10267" max="10267" width="7.625" bestFit="1" customWidth="1"/>
    <col min="10499" max="10499" width="9.875" bestFit="1" customWidth="1"/>
    <col min="10500" max="10502" width="9" customWidth="1"/>
    <col min="10505" max="10505" width="7.625" bestFit="1" customWidth="1"/>
    <col min="10506" max="10506" width="7.75" customWidth="1"/>
    <col min="10507" max="10507" width="8" bestFit="1" customWidth="1"/>
    <col min="10508" max="10508" width="9.875" bestFit="1" customWidth="1"/>
    <col min="10509" max="10509" width="9" customWidth="1"/>
    <col min="10514" max="10514" width="7.625" bestFit="1" customWidth="1"/>
    <col min="10515" max="10515" width="7.75" bestFit="1" customWidth="1"/>
    <col min="10516" max="10516" width="8" bestFit="1" customWidth="1"/>
    <col min="10517" max="10517" width="9.875" bestFit="1" customWidth="1"/>
    <col min="10518" max="10518" width="9" customWidth="1"/>
    <col min="10523" max="10523" width="7.625" bestFit="1" customWidth="1"/>
    <col min="10755" max="10755" width="9.875" bestFit="1" customWidth="1"/>
    <col min="10756" max="10758" width="9" customWidth="1"/>
    <col min="10761" max="10761" width="7.625" bestFit="1" customWidth="1"/>
    <col min="10762" max="10762" width="7.75" customWidth="1"/>
    <col min="10763" max="10763" width="8" bestFit="1" customWidth="1"/>
    <col min="10764" max="10764" width="9.875" bestFit="1" customWidth="1"/>
    <col min="10765" max="10765" width="9" customWidth="1"/>
    <col min="10770" max="10770" width="7.625" bestFit="1" customWidth="1"/>
    <col min="10771" max="10771" width="7.75" bestFit="1" customWidth="1"/>
    <col min="10772" max="10772" width="8" bestFit="1" customWidth="1"/>
    <col min="10773" max="10773" width="9.875" bestFit="1" customWidth="1"/>
    <col min="10774" max="10774" width="9" customWidth="1"/>
    <col min="10779" max="10779" width="7.625" bestFit="1" customWidth="1"/>
    <col min="11011" max="11011" width="9.875" bestFit="1" customWidth="1"/>
    <col min="11012" max="11014" width="9" customWidth="1"/>
    <col min="11017" max="11017" width="7.625" bestFit="1" customWidth="1"/>
    <col min="11018" max="11018" width="7.75" customWidth="1"/>
    <col min="11019" max="11019" width="8" bestFit="1" customWidth="1"/>
    <col min="11020" max="11020" width="9.875" bestFit="1" customWidth="1"/>
    <col min="11021" max="11021" width="9" customWidth="1"/>
    <col min="11026" max="11026" width="7.625" bestFit="1" customWidth="1"/>
    <col min="11027" max="11027" width="7.75" bestFit="1" customWidth="1"/>
    <col min="11028" max="11028" width="8" bestFit="1" customWidth="1"/>
    <col min="11029" max="11029" width="9.875" bestFit="1" customWidth="1"/>
    <col min="11030" max="11030" width="9" customWidth="1"/>
    <col min="11035" max="11035" width="7.625" bestFit="1" customWidth="1"/>
    <col min="11267" max="11267" width="9.875" bestFit="1" customWidth="1"/>
    <col min="11268" max="11270" width="9" customWidth="1"/>
    <col min="11273" max="11273" width="7.625" bestFit="1" customWidth="1"/>
    <col min="11274" max="11274" width="7.75" customWidth="1"/>
    <col min="11275" max="11275" width="8" bestFit="1" customWidth="1"/>
    <col min="11276" max="11276" width="9.875" bestFit="1" customWidth="1"/>
    <col min="11277" max="11277" width="9" customWidth="1"/>
    <col min="11282" max="11282" width="7.625" bestFit="1" customWidth="1"/>
    <col min="11283" max="11283" width="7.75" bestFit="1" customWidth="1"/>
    <col min="11284" max="11284" width="8" bestFit="1" customWidth="1"/>
    <col min="11285" max="11285" width="9.875" bestFit="1" customWidth="1"/>
    <col min="11286" max="11286" width="9" customWidth="1"/>
    <col min="11291" max="11291" width="7.625" bestFit="1" customWidth="1"/>
    <col min="11523" max="11523" width="9.875" bestFit="1" customWidth="1"/>
    <col min="11524" max="11526" width="9" customWidth="1"/>
    <col min="11529" max="11529" width="7.625" bestFit="1" customWidth="1"/>
    <col min="11530" max="11530" width="7.75" customWidth="1"/>
    <col min="11531" max="11531" width="8" bestFit="1" customWidth="1"/>
    <col min="11532" max="11532" width="9.875" bestFit="1" customWidth="1"/>
    <col min="11533" max="11533" width="9" customWidth="1"/>
    <col min="11538" max="11538" width="7.625" bestFit="1" customWidth="1"/>
    <col min="11539" max="11539" width="7.75" bestFit="1" customWidth="1"/>
    <col min="11540" max="11540" width="8" bestFit="1" customWidth="1"/>
    <col min="11541" max="11541" width="9.875" bestFit="1" customWidth="1"/>
    <col min="11542" max="11542" width="9" customWidth="1"/>
    <col min="11547" max="11547" width="7.625" bestFit="1" customWidth="1"/>
    <col min="11779" max="11779" width="9.875" bestFit="1" customWidth="1"/>
    <col min="11780" max="11782" width="9" customWidth="1"/>
    <col min="11785" max="11785" width="7.625" bestFit="1" customWidth="1"/>
    <col min="11786" max="11786" width="7.75" customWidth="1"/>
    <col min="11787" max="11787" width="8" bestFit="1" customWidth="1"/>
    <col min="11788" max="11788" width="9.875" bestFit="1" customWidth="1"/>
    <col min="11789" max="11789" width="9" customWidth="1"/>
    <col min="11794" max="11794" width="7.625" bestFit="1" customWidth="1"/>
    <col min="11795" max="11795" width="7.75" bestFit="1" customWidth="1"/>
    <col min="11796" max="11796" width="8" bestFit="1" customWidth="1"/>
    <col min="11797" max="11797" width="9.875" bestFit="1" customWidth="1"/>
    <col min="11798" max="11798" width="9" customWidth="1"/>
    <col min="11803" max="11803" width="7.625" bestFit="1" customWidth="1"/>
    <col min="12035" max="12035" width="9.875" bestFit="1" customWidth="1"/>
    <col min="12036" max="12038" width="9" customWidth="1"/>
    <col min="12041" max="12041" width="7.625" bestFit="1" customWidth="1"/>
    <col min="12042" max="12042" width="7.75" customWidth="1"/>
    <col min="12043" max="12043" width="8" bestFit="1" customWidth="1"/>
    <col min="12044" max="12044" width="9.875" bestFit="1" customWidth="1"/>
    <col min="12045" max="12045" width="9" customWidth="1"/>
    <col min="12050" max="12050" width="7.625" bestFit="1" customWidth="1"/>
    <col min="12051" max="12051" width="7.75" bestFit="1" customWidth="1"/>
    <col min="12052" max="12052" width="8" bestFit="1" customWidth="1"/>
    <col min="12053" max="12053" width="9.875" bestFit="1" customWidth="1"/>
    <col min="12054" max="12054" width="9" customWidth="1"/>
    <col min="12059" max="12059" width="7.625" bestFit="1" customWidth="1"/>
    <col min="12291" max="12291" width="9.875" bestFit="1" customWidth="1"/>
    <col min="12292" max="12294" width="9" customWidth="1"/>
    <col min="12297" max="12297" width="7.625" bestFit="1" customWidth="1"/>
    <col min="12298" max="12298" width="7.75" customWidth="1"/>
    <col min="12299" max="12299" width="8" bestFit="1" customWidth="1"/>
    <col min="12300" max="12300" width="9.875" bestFit="1" customWidth="1"/>
    <col min="12301" max="12301" width="9" customWidth="1"/>
    <col min="12306" max="12306" width="7.625" bestFit="1" customWidth="1"/>
    <col min="12307" max="12307" width="7.75" bestFit="1" customWidth="1"/>
    <col min="12308" max="12308" width="8" bestFit="1" customWidth="1"/>
    <col min="12309" max="12309" width="9.875" bestFit="1" customWidth="1"/>
    <col min="12310" max="12310" width="9" customWidth="1"/>
    <col min="12315" max="12315" width="7.625" bestFit="1" customWidth="1"/>
    <col min="12547" max="12547" width="9.875" bestFit="1" customWidth="1"/>
    <col min="12548" max="12550" width="9" customWidth="1"/>
    <col min="12553" max="12553" width="7.625" bestFit="1" customWidth="1"/>
    <col min="12554" max="12554" width="7.75" customWidth="1"/>
    <col min="12555" max="12555" width="8" bestFit="1" customWidth="1"/>
    <col min="12556" max="12556" width="9.875" bestFit="1" customWidth="1"/>
    <col min="12557" max="12557" width="9" customWidth="1"/>
    <col min="12562" max="12562" width="7.625" bestFit="1" customWidth="1"/>
    <col min="12563" max="12563" width="7.75" bestFit="1" customWidth="1"/>
    <col min="12564" max="12564" width="8" bestFit="1" customWidth="1"/>
    <col min="12565" max="12565" width="9.875" bestFit="1" customWidth="1"/>
    <col min="12566" max="12566" width="9" customWidth="1"/>
    <col min="12571" max="12571" width="7.625" bestFit="1" customWidth="1"/>
    <col min="12803" max="12803" width="9.875" bestFit="1" customWidth="1"/>
    <col min="12804" max="12806" width="9" customWidth="1"/>
    <col min="12809" max="12809" width="7.625" bestFit="1" customWidth="1"/>
    <col min="12810" max="12810" width="7.75" customWidth="1"/>
    <col min="12811" max="12811" width="8" bestFit="1" customWidth="1"/>
    <col min="12812" max="12812" width="9.875" bestFit="1" customWidth="1"/>
    <col min="12813" max="12813" width="9" customWidth="1"/>
    <col min="12818" max="12818" width="7.625" bestFit="1" customWidth="1"/>
    <col min="12819" max="12819" width="7.75" bestFit="1" customWidth="1"/>
    <col min="12820" max="12820" width="8" bestFit="1" customWidth="1"/>
    <col min="12821" max="12821" width="9.875" bestFit="1" customWidth="1"/>
    <col min="12822" max="12822" width="9" customWidth="1"/>
    <col min="12827" max="12827" width="7.625" bestFit="1" customWidth="1"/>
    <col min="13059" max="13059" width="9.875" bestFit="1" customWidth="1"/>
    <col min="13060" max="13062" width="9" customWidth="1"/>
    <col min="13065" max="13065" width="7.625" bestFit="1" customWidth="1"/>
    <col min="13066" max="13066" width="7.75" customWidth="1"/>
    <col min="13067" max="13067" width="8" bestFit="1" customWidth="1"/>
    <col min="13068" max="13068" width="9.875" bestFit="1" customWidth="1"/>
    <col min="13069" max="13069" width="9" customWidth="1"/>
    <col min="13074" max="13074" width="7.625" bestFit="1" customWidth="1"/>
    <col min="13075" max="13075" width="7.75" bestFit="1" customWidth="1"/>
    <col min="13076" max="13076" width="8" bestFit="1" customWidth="1"/>
    <col min="13077" max="13077" width="9.875" bestFit="1" customWidth="1"/>
    <col min="13078" max="13078" width="9" customWidth="1"/>
    <col min="13083" max="13083" width="7.625" bestFit="1" customWidth="1"/>
    <col min="13315" max="13315" width="9.875" bestFit="1" customWidth="1"/>
    <col min="13316" max="13318" width="9" customWidth="1"/>
    <col min="13321" max="13321" width="7.625" bestFit="1" customWidth="1"/>
    <col min="13322" max="13322" width="7.75" customWidth="1"/>
    <col min="13323" max="13323" width="8" bestFit="1" customWidth="1"/>
    <col min="13324" max="13324" width="9.875" bestFit="1" customWidth="1"/>
    <col min="13325" max="13325" width="9" customWidth="1"/>
    <col min="13330" max="13330" width="7.625" bestFit="1" customWidth="1"/>
    <col min="13331" max="13331" width="7.75" bestFit="1" customWidth="1"/>
    <col min="13332" max="13332" width="8" bestFit="1" customWidth="1"/>
    <col min="13333" max="13333" width="9.875" bestFit="1" customWidth="1"/>
    <col min="13334" max="13334" width="9" customWidth="1"/>
    <col min="13339" max="13339" width="7.625" bestFit="1" customWidth="1"/>
    <col min="13571" max="13571" width="9.875" bestFit="1" customWidth="1"/>
    <col min="13572" max="13574" width="9" customWidth="1"/>
    <col min="13577" max="13577" width="7.625" bestFit="1" customWidth="1"/>
    <col min="13578" max="13578" width="7.75" customWidth="1"/>
    <col min="13579" max="13579" width="8" bestFit="1" customWidth="1"/>
    <col min="13580" max="13580" width="9.875" bestFit="1" customWidth="1"/>
    <col min="13581" max="13581" width="9" customWidth="1"/>
    <col min="13586" max="13586" width="7.625" bestFit="1" customWidth="1"/>
    <col min="13587" max="13587" width="7.75" bestFit="1" customWidth="1"/>
    <col min="13588" max="13588" width="8" bestFit="1" customWidth="1"/>
    <col min="13589" max="13589" width="9.875" bestFit="1" customWidth="1"/>
    <col min="13590" max="13590" width="9" customWidth="1"/>
    <col min="13595" max="13595" width="7.625" bestFit="1" customWidth="1"/>
    <col min="13827" max="13827" width="9.875" bestFit="1" customWidth="1"/>
    <col min="13828" max="13830" width="9" customWidth="1"/>
    <col min="13833" max="13833" width="7.625" bestFit="1" customWidth="1"/>
    <col min="13834" max="13834" width="7.75" customWidth="1"/>
    <col min="13835" max="13835" width="8" bestFit="1" customWidth="1"/>
    <col min="13836" max="13836" width="9.875" bestFit="1" customWidth="1"/>
    <col min="13837" max="13837" width="9" customWidth="1"/>
    <col min="13842" max="13842" width="7.625" bestFit="1" customWidth="1"/>
    <col min="13843" max="13843" width="7.75" bestFit="1" customWidth="1"/>
    <col min="13844" max="13844" width="8" bestFit="1" customWidth="1"/>
    <col min="13845" max="13845" width="9.875" bestFit="1" customWidth="1"/>
    <col min="13846" max="13846" width="9" customWidth="1"/>
    <col min="13851" max="13851" width="7.625" bestFit="1" customWidth="1"/>
    <col min="14083" max="14083" width="9.875" bestFit="1" customWidth="1"/>
    <col min="14084" max="14086" width="9" customWidth="1"/>
    <col min="14089" max="14089" width="7.625" bestFit="1" customWidth="1"/>
    <col min="14090" max="14090" width="7.75" customWidth="1"/>
    <col min="14091" max="14091" width="8" bestFit="1" customWidth="1"/>
    <col min="14092" max="14092" width="9.875" bestFit="1" customWidth="1"/>
    <col min="14093" max="14093" width="9" customWidth="1"/>
    <col min="14098" max="14098" width="7.625" bestFit="1" customWidth="1"/>
    <col min="14099" max="14099" width="7.75" bestFit="1" customWidth="1"/>
    <col min="14100" max="14100" width="8" bestFit="1" customWidth="1"/>
    <col min="14101" max="14101" width="9.875" bestFit="1" customWidth="1"/>
    <col min="14102" max="14102" width="9" customWidth="1"/>
    <col min="14107" max="14107" width="7.625" bestFit="1" customWidth="1"/>
    <col min="14339" max="14339" width="9.875" bestFit="1" customWidth="1"/>
    <col min="14340" max="14342" width="9" customWidth="1"/>
    <col min="14345" max="14345" width="7.625" bestFit="1" customWidth="1"/>
    <col min="14346" max="14346" width="7.75" customWidth="1"/>
    <col min="14347" max="14347" width="8" bestFit="1" customWidth="1"/>
    <col min="14348" max="14348" width="9.875" bestFit="1" customWidth="1"/>
    <col min="14349" max="14349" width="9" customWidth="1"/>
    <col min="14354" max="14354" width="7.625" bestFit="1" customWidth="1"/>
    <col min="14355" max="14355" width="7.75" bestFit="1" customWidth="1"/>
    <col min="14356" max="14356" width="8" bestFit="1" customWidth="1"/>
    <col min="14357" max="14357" width="9.875" bestFit="1" customWidth="1"/>
    <col min="14358" max="14358" width="9" customWidth="1"/>
    <col min="14363" max="14363" width="7.625" bestFit="1" customWidth="1"/>
    <col min="14595" max="14595" width="9.875" bestFit="1" customWidth="1"/>
    <col min="14596" max="14598" width="9" customWidth="1"/>
    <col min="14601" max="14601" width="7.625" bestFit="1" customWidth="1"/>
    <col min="14602" max="14602" width="7.75" customWidth="1"/>
    <col min="14603" max="14603" width="8" bestFit="1" customWidth="1"/>
    <col min="14604" max="14604" width="9.875" bestFit="1" customWidth="1"/>
    <col min="14605" max="14605" width="9" customWidth="1"/>
    <col min="14610" max="14610" width="7.625" bestFit="1" customWidth="1"/>
    <col min="14611" max="14611" width="7.75" bestFit="1" customWidth="1"/>
    <col min="14612" max="14612" width="8" bestFit="1" customWidth="1"/>
    <col min="14613" max="14613" width="9.875" bestFit="1" customWidth="1"/>
    <col min="14614" max="14614" width="9" customWidth="1"/>
    <col min="14619" max="14619" width="7.625" bestFit="1" customWidth="1"/>
    <col min="14851" max="14851" width="9.875" bestFit="1" customWidth="1"/>
    <col min="14852" max="14854" width="9" customWidth="1"/>
    <col min="14857" max="14857" width="7.625" bestFit="1" customWidth="1"/>
    <col min="14858" max="14858" width="7.75" customWidth="1"/>
    <col min="14859" max="14859" width="8" bestFit="1" customWidth="1"/>
    <col min="14860" max="14860" width="9.875" bestFit="1" customWidth="1"/>
    <col min="14861" max="14861" width="9" customWidth="1"/>
    <col min="14866" max="14866" width="7.625" bestFit="1" customWidth="1"/>
    <col min="14867" max="14867" width="7.75" bestFit="1" customWidth="1"/>
    <col min="14868" max="14868" width="8" bestFit="1" customWidth="1"/>
    <col min="14869" max="14869" width="9.875" bestFit="1" customWidth="1"/>
    <col min="14870" max="14870" width="9" customWidth="1"/>
    <col min="14875" max="14875" width="7.625" bestFit="1" customWidth="1"/>
    <col min="15107" max="15107" width="9.875" bestFit="1" customWidth="1"/>
    <col min="15108" max="15110" width="9" customWidth="1"/>
    <col min="15113" max="15113" width="7.625" bestFit="1" customWidth="1"/>
    <col min="15114" max="15114" width="7.75" customWidth="1"/>
    <col min="15115" max="15115" width="8" bestFit="1" customWidth="1"/>
    <col min="15116" max="15116" width="9.875" bestFit="1" customWidth="1"/>
    <col min="15117" max="15117" width="9" customWidth="1"/>
    <col min="15122" max="15122" width="7.625" bestFit="1" customWidth="1"/>
    <col min="15123" max="15123" width="7.75" bestFit="1" customWidth="1"/>
    <col min="15124" max="15124" width="8" bestFit="1" customWidth="1"/>
    <col min="15125" max="15125" width="9.875" bestFit="1" customWidth="1"/>
    <col min="15126" max="15126" width="9" customWidth="1"/>
    <col min="15131" max="15131" width="7.625" bestFit="1" customWidth="1"/>
    <col min="15363" max="15363" width="9.875" bestFit="1" customWidth="1"/>
    <col min="15364" max="15366" width="9" customWidth="1"/>
    <col min="15369" max="15369" width="7.625" bestFit="1" customWidth="1"/>
    <col min="15370" max="15370" width="7.75" customWidth="1"/>
    <col min="15371" max="15371" width="8" bestFit="1" customWidth="1"/>
    <col min="15372" max="15372" width="9.875" bestFit="1" customWidth="1"/>
    <col min="15373" max="15373" width="9" customWidth="1"/>
    <col min="15378" max="15378" width="7.625" bestFit="1" customWidth="1"/>
    <col min="15379" max="15379" width="7.75" bestFit="1" customWidth="1"/>
    <col min="15380" max="15380" width="8" bestFit="1" customWidth="1"/>
    <col min="15381" max="15381" width="9.875" bestFit="1" customWidth="1"/>
    <col min="15382" max="15382" width="9" customWidth="1"/>
    <col min="15387" max="15387" width="7.625" bestFit="1" customWidth="1"/>
    <col min="15619" max="15619" width="9.875" bestFit="1" customWidth="1"/>
    <col min="15620" max="15622" width="9" customWidth="1"/>
    <col min="15625" max="15625" width="7.625" bestFit="1" customWidth="1"/>
    <col min="15626" max="15626" width="7.75" customWidth="1"/>
    <col min="15627" max="15627" width="8" bestFit="1" customWidth="1"/>
    <col min="15628" max="15628" width="9.875" bestFit="1" customWidth="1"/>
    <col min="15629" max="15629" width="9" customWidth="1"/>
    <col min="15634" max="15634" width="7.625" bestFit="1" customWidth="1"/>
    <col min="15635" max="15635" width="7.75" bestFit="1" customWidth="1"/>
    <col min="15636" max="15636" width="8" bestFit="1" customWidth="1"/>
    <col min="15637" max="15637" width="9.875" bestFit="1" customWidth="1"/>
    <col min="15638" max="15638" width="9" customWidth="1"/>
    <col min="15643" max="15643" width="7.625" bestFit="1" customWidth="1"/>
    <col min="15875" max="15875" width="9.875" bestFit="1" customWidth="1"/>
    <col min="15876" max="15878" width="9" customWidth="1"/>
    <col min="15881" max="15881" width="7.625" bestFit="1" customWidth="1"/>
    <col min="15882" max="15882" width="7.75" customWidth="1"/>
    <col min="15883" max="15883" width="8" bestFit="1" customWidth="1"/>
    <col min="15884" max="15884" width="9.875" bestFit="1" customWidth="1"/>
    <col min="15885" max="15885" width="9" customWidth="1"/>
    <col min="15890" max="15890" width="7.625" bestFit="1" customWidth="1"/>
    <col min="15891" max="15891" width="7.75" bestFit="1" customWidth="1"/>
    <col min="15892" max="15892" width="8" bestFit="1" customWidth="1"/>
    <col min="15893" max="15893" width="9.875" bestFit="1" customWidth="1"/>
    <col min="15894" max="15894" width="9" customWidth="1"/>
    <col min="15899" max="15899" width="7.625" bestFit="1" customWidth="1"/>
    <col min="16131" max="16131" width="9.875" bestFit="1" customWidth="1"/>
    <col min="16132" max="16134" width="9" customWidth="1"/>
    <col min="16137" max="16137" width="7.625" bestFit="1" customWidth="1"/>
    <col min="16138" max="16138" width="7.75" customWidth="1"/>
    <col min="16139" max="16139" width="8" bestFit="1" customWidth="1"/>
    <col min="16140" max="16140" width="9.875" bestFit="1" customWidth="1"/>
    <col min="16141" max="16141" width="9" customWidth="1"/>
    <col min="16146" max="16146" width="7.625" bestFit="1" customWidth="1"/>
    <col min="16147" max="16147" width="7.75" bestFit="1" customWidth="1"/>
    <col min="16148" max="16148" width="8" bestFit="1" customWidth="1"/>
    <col min="16149" max="16149" width="9.875" bestFit="1" customWidth="1"/>
    <col min="16150" max="16150" width="9" customWidth="1"/>
    <col min="16155" max="16155" width="7.625" bestFit="1" customWidth="1"/>
  </cols>
  <sheetData>
    <row r="1" spans="1:99" ht="35.25">
      <c r="A1" s="1" t="s">
        <v>58</v>
      </c>
      <c r="B1" s="78" t="s">
        <v>22</v>
      </c>
      <c r="C1" s="78"/>
      <c r="D1" s="78"/>
      <c r="E1" s="78"/>
      <c r="F1" s="78"/>
      <c r="G1" s="78"/>
      <c r="H1" s="78"/>
      <c r="I1" s="78"/>
      <c r="J1" s="78"/>
      <c r="K1" s="78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99" ht="14.25">
      <c r="A2" s="3" t="s">
        <v>23</v>
      </c>
      <c r="B2" s="57" t="s">
        <v>24</v>
      </c>
      <c r="C2" s="58"/>
      <c r="D2" s="59"/>
      <c r="E2" s="11"/>
      <c r="F2" s="11"/>
      <c r="G2" s="11"/>
      <c r="H2" s="11"/>
      <c r="I2" s="11"/>
      <c r="J2" s="1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99" ht="14.25">
      <c r="A3" s="3" t="s">
        <v>0</v>
      </c>
      <c r="B3" s="79" t="s">
        <v>25</v>
      </c>
      <c r="C3" s="80"/>
      <c r="D3" s="80"/>
      <c r="E3" s="80"/>
      <c r="F3" s="80"/>
      <c r="G3" s="80"/>
      <c r="H3" s="80"/>
      <c r="I3" s="80"/>
      <c r="J3" s="80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99" ht="15" customHeight="1">
      <c r="A4" s="19" t="s">
        <v>167</v>
      </c>
      <c r="B4" s="5" t="s">
        <v>26</v>
      </c>
      <c r="C4" s="5" t="s">
        <v>27</v>
      </c>
      <c r="D4" s="5" t="s">
        <v>28</v>
      </c>
      <c r="E4" s="5" t="s">
        <v>56</v>
      </c>
      <c r="F4" s="5" t="s">
        <v>57</v>
      </c>
      <c r="G4" s="21" t="s">
        <v>3</v>
      </c>
      <c r="H4" s="41" t="s">
        <v>4</v>
      </c>
      <c r="I4" s="81" t="s">
        <v>29</v>
      </c>
      <c r="J4" s="19" t="s">
        <v>167</v>
      </c>
      <c r="K4" s="20" t="s">
        <v>26</v>
      </c>
      <c r="L4" s="20" t="s">
        <v>27</v>
      </c>
      <c r="M4" s="20" t="s">
        <v>28</v>
      </c>
      <c r="N4" s="20" t="s">
        <v>56</v>
      </c>
      <c r="O4" s="20" t="s">
        <v>57</v>
      </c>
      <c r="P4" s="21" t="s">
        <v>3</v>
      </c>
      <c r="Q4" s="41" t="s">
        <v>4</v>
      </c>
      <c r="R4" s="86" t="s">
        <v>29</v>
      </c>
      <c r="S4" s="19" t="s">
        <v>167</v>
      </c>
      <c r="T4" s="5" t="s">
        <v>26</v>
      </c>
      <c r="U4" s="5" t="s">
        <v>27</v>
      </c>
      <c r="V4" s="5" t="s">
        <v>28</v>
      </c>
      <c r="W4" s="5" t="s">
        <v>56</v>
      </c>
      <c r="X4" s="5" t="s">
        <v>57</v>
      </c>
      <c r="Y4" s="21" t="s">
        <v>3</v>
      </c>
      <c r="Z4" s="41" t="s">
        <v>4</v>
      </c>
      <c r="AA4" s="81" t="s">
        <v>29</v>
      </c>
      <c r="AB4" s="19" t="s">
        <v>167</v>
      </c>
      <c r="AC4" s="20" t="s">
        <v>26</v>
      </c>
      <c r="AD4" s="20" t="s">
        <v>27</v>
      </c>
      <c r="AE4" s="20" t="s">
        <v>28</v>
      </c>
      <c r="AF4" s="20" t="s">
        <v>56</v>
      </c>
      <c r="AG4" s="20" t="s">
        <v>57</v>
      </c>
      <c r="AH4" s="21" t="s">
        <v>3</v>
      </c>
      <c r="AI4" s="41" t="s">
        <v>4</v>
      </c>
      <c r="AJ4" s="86" t="s">
        <v>29</v>
      </c>
      <c r="AK4" s="19" t="s">
        <v>167</v>
      </c>
      <c r="AL4" s="20" t="s">
        <v>26</v>
      </c>
      <c r="AM4" s="20" t="s">
        <v>27</v>
      </c>
      <c r="AN4" s="20" t="s">
        <v>28</v>
      </c>
      <c r="AO4" s="20" t="s">
        <v>56</v>
      </c>
      <c r="AP4" s="20" t="s">
        <v>57</v>
      </c>
      <c r="AQ4" s="21" t="s">
        <v>3</v>
      </c>
      <c r="AR4" s="41" t="s">
        <v>4</v>
      </c>
      <c r="AS4" s="41" t="s">
        <v>29</v>
      </c>
      <c r="AT4" s="19" t="s">
        <v>167</v>
      </c>
      <c r="AU4" s="20" t="s">
        <v>26</v>
      </c>
      <c r="AV4" s="20" t="s">
        <v>27</v>
      </c>
      <c r="AW4" s="20" t="s">
        <v>28</v>
      </c>
      <c r="AX4" s="20" t="s">
        <v>56</v>
      </c>
      <c r="AY4" s="20" t="s">
        <v>57</v>
      </c>
      <c r="AZ4" s="21" t="s">
        <v>3</v>
      </c>
      <c r="BA4" s="41" t="s">
        <v>4</v>
      </c>
      <c r="BB4" s="49" t="s">
        <v>29</v>
      </c>
      <c r="BC4" s="19" t="s">
        <v>167</v>
      </c>
      <c r="BD4" s="20" t="s">
        <v>26</v>
      </c>
      <c r="BE4" s="20" t="s">
        <v>27</v>
      </c>
      <c r="BF4" s="20" t="s">
        <v>28</v>
      </c>
      <c r="BG4" s="20" t="s">
        <v>56</v>
      </c>
      <c r="BH4" s="20" t="s">
        <v>57</v>
      </c>
      <c r="BI4" s="21" t="s">
        <v>3</v>
      </c>
      <c r="BJ4" s="41" t="s">
        <v>4</v>
      </c>
      <c r="BK4" s="41" t="s">
        <v>29</v>
      </c>
      <c r="BL4" s="19" t="s">
        <v>167</v>
      </c>
      <c r="BM4" s="5" t="s">
        <v>26</v>
      </c>
      <c r="BN4" s="5" t="s">
        <v>27</v>
      </c>
      <c r="BO4" s="5" t="s">
        <v>28</v>
      </c>
      <c r="BP4" s="5" t="s">
        <v>56</v>
      </c>
      <c r="BQ4" s="5" t="s">
        <v>57</v>
      </c>
      <c r="BR4" s="21" t="s">
        <v>3</v>
      </c>
      <c r="BS4" s="41" t="s">
        <v>4</v>
      </c>
      <c r="BT4" s="47" t="s">
        <v>29</v>
      </c>
      <c r="BU4" s="19" t="s">
        <v>167</v>
      </c>
      <c r="BV4" s="20" t="s">
        <v>26</v>
      </c>
      <c r="BW4" s="20" t="s">
        <v>27</v>
      </c>
      <c r="BX4" s="20" t="s">
        <v>28</v>
      </c>
      <c r="BY4" s="20" t="s">
        <v>56</v>
      </c>
      <c r="BZ4" s="20" t="s">
        <v>57</v>
      </c>
      <c r="CA4" s="21" t="s">
        <v>3</v>
      </c>
      <c r="CB4" s="41" t="s">
        <v>4</v>
      </c>
      <c r="CC4" s="41" t="s">
        <v>29</v>
      </c>
      <c r="CD4" s="19" t="s">
        <v>167</v>
      </c>
      <c r="CE4" s="5" t="s">
        <v>26</v>
      </c>
      <c r="CF4" s="5" t="s">
        <v>27</v>
      </c>
      <c r="CG4" s="5" t="s">
        <v>28</v>
      </c>
      <c r="CH4" s="5" t="s">
        <v>56</v>
      </c>
      <c r="CI4" s="5" t="s">
        <v>57</v>
      </c>
      <c r="CJ4" s="21" t="s">
        <v>3</v>
      </c>
      <c r="CK4" s="41" t="s">
        <v>4</v>
      </c>
      <c r="CL4" s="47" t="s">
        <v>29</v>
      </c>
      <c r="CM4" s="19" t="s">
        <v>167</v>
      </c>
      <c r="CN4" s="20" t="s">
        <v>26</v>
      </c>
      <c r="CO4" s="20" t="s">
        <v>27</v>
      </c>
      <c r="CP4" s="20" t="s">
        <v>28</v>
      </c>
      <c r="CQ4" s="20" t="s">
        <v>56</v>
      </c>
      <c r="CR4" s="20" t="s">
        <v>57</v>
      </c>
      <c r="CS4" s="21" t="s">
        <v>3</v>
      </c>
      <c r="CT4" s="41" t="s">
        <v>4</v>
      </c>
      <c r="CU4" s="41" t="s">
        <v>29</v>
      </c>
    </row>
    <row r="5" spans="1:99" ht="15">
      <c r="A5" s="7" t="s">
        <v>30</v>
      </c>
      <c r="B5" s="8">
        <v>18607</v>
      </c>
      <c r="C5" s="8">
        <v>1850.7</v>
      </c>
      <c r="D5" s="4">
        <v>1.4</v>
      </c>
      <c r="E5" s="8" t="s">
        <v>10</v>
      </c>
      <c r="F5" s="50">
        <v>1</v>
      </c>
      <c r="G5" s="24" t="s">
        <v>15</v>
      </c>
      <c r="H5" s="25" t="s">
        <v>6</v>
      </c>
      <c r="I5" s="82"/>
      <c r="J5" s="22" t="s">
        <v>31</v>
      </c>
      <c r="K5" s="28">
        <v>19193</v>
      </c>
      <c r="L5" s="28">
        <v>1909.3</v>
      </c>
      <c r="M5" s="23">
        <v>1.4</v>
      </c>
      <c r="N5" s="28" t="s">
        <v>10</v>
      </c>
      <c r="O5" s="29">
        <v>1</v>
      </c>
      <c r="P5" s="24" t="s">
        <v>31</v>
      </c>
      <c r="Q5" s="25" t="s">
        <v>7</v>
      </c>
      <c r="R5" s="86"/>
      <c r="S5" s="7" t="s">
        <v>30</v>
      </c>
      <c r="T5" s="8">
        <v>18625</v>
      </c>
      <c r="U5" s="8">
        <v>1852.5</v>
      </c>
      <c r="V5" s="4">
        <v>5</v>
      </c>
      <c r="W5" s="8" t="s">
        <v>10</v>
      </c>
      <c r="X5" s="50">
        <v>1</v>
      </c>
      <c r="Y5" s="24" t="s">
        <v>15</v>
      </c>
      <c r="Z5" s="25" t="s">
        <v>6</v>
      </c>
      <c r="AA5" s="82"/>
      <c r="AB5" s="22" t="s">
        <v>32</v>
      </c>
      <c r="AC5" s="28">
        <v>18900</v>
      </c>
      <c r="AD5" s="28">
        <v>1880</v>
      </c>
      <c r="AE5" s="23">
        <v>5</v>
      </c>
      <c r="AF5" s="28" t="s">
        <v>10</v>
      </c>
      <c r="AG5" s="29">
        <v>1</v>
      </c>
      <c r="AH5" s="24" t="s">
        <v>15</v>
      </c>
      <c r="AI5" s="25" t="s">
        <v>7</v>
      </c>
      <c r="AJ5" s="86"/>
      <c r="AK5" s="27" t="s">
        <v>31</v>
      </c>
      <c r="AL5" s="28">
        <v>19175</v>
      </c>
      <c r="AM5" s="28">
        <v>1907.5</v>
      </c>
      <c r="AN5" s="23">
        <v>5</v>
      </c>
      <c r="AO5" s="28" t="s">
        <v>10</v>
      </c>
      <c r="AP5" s="29">
        <v>1</v>
      </c>
      <c r="AQ5" s="24" t="s">
        <v>31</v>
      </c>
      <c r="AR5" s="25" t="s">
        <v>7</v>
      </c>
      <c r="AS5" s="41"/>
      <c r="AT5" s="27" t="s">
        <v>30</v>
      </c>
      <c r="AU5" s="28">
        <v>18625</v>
      </c>
      <c r="AV5" s="28">
        <v>1852.5</v>
      </c>
      <c r="AW5" s="23">
        <v>5</v>
      </c>
      <c r="AX5" s="28" t="s">
        <v>10</v>
      </c>
      <c r="AY5" s="29">
        <v>25</v>
      </c>
      <c r="AZ5" s="24" t="s">
        <v>30</v>
      </c>
      <c r="BA5" s="25" t="s">
        <v>6</v>
      </c>
      <c r="BB5" s="51"/>
      <c r="BC5" s="27" t="s">
        <v>31</v>
      </c>
      <c r="BD5" s="28">
        <v>19175</v>
      </c>
      <c r="BE5" s="28">
        <v>1907.5</v>
      </c>
      <c r="BF5" s="23">
        <v>5</v>
      </c>
      <c r="BG5" s="28" t="s">
        <v>10</v>
      </c>
      <c r="BH5" s="29">
        <v>25</v>
      </c>
      <c r="BI5" s="24" t="s">
        <v>31</v>
      </c>
      <c r="BJ5" s="25" t="s">
        <v>7</v>
      </c>
      <c r="BK5" s="41"/>
      <c r="BL5" s="7" t="s">
        <v>30</v>
      </c>
      <c r="BM5" s="8">
        <v>18700</v>
      </c>
      <c r="BN5" s="8">
        <v>1860</v>
      </c>
      <c r="BO5" s="4">
        <v>20</v>
      </c>
      <c r="BP5" s="8" t="s">
        <v>10</v>
      </c>
      <c r="BQ5" s="50">
        <v>1</v>
      </c>
      <c r="BR5" s="24" t="s">
        <v>15</v>
      </c>
      <c r="BS5" s="25" t="s">
        <v>6</v>
      </c>
      <c r="BT5" s="48"/>
      <c r="BU5" s="27" t="s">
        <v>31</v>
      </c>
      <c r="BV5" s="28">
        <v>19100</v>
      </c>
      <c r="BW5" s="28">
        <v>1900</v>
      </c>
      <c r="BX5" s="23">
        <v>20</v>
      </c>
      <c r="BY5" s="28" t="s">
        <v>10</v>
      </c>
      <c r="BZ5" s="29">
        <v>1</v>
      </c>
      <c r="CA5" s="24" t="s">
        <v>31</v>
      </c>
      <c r="CB5" s="25" t="s">
        <v>7</v>
      </c>
      <c r="CC5" s="41"/>
      <c r="CD5" s="7" t="s">
        <v>30</v>
      </c>
      <c r="CE5" s="8">
        <v>18700</v>
      </c>
      <c r="CF5" s="8">
        <v>1860</v>
      </c>
      <c r="CG5" s="4">
        <v>20</v>
      </c>
      <c r="CH5" s="8" t="s">
        <v>10</v>
      </c>
      <c r="CI5" s="50">
        <v>100</v>
      </c>
      <c r="CJ5" s="24" t="s">
        <v>30</v>
      </c>
      <c r="CK5" s="25" t="s">
        <v>6</v>
      </c>
      <c r="CL5" s="48"/>
      <c r="CM5" s="27" t="s">
        <v>31</v>
      </c>
      <c r="CN5" s="28">
        <v>19100</v>
      </c>
      <c r="CO5" s="28">
        <v>1900</v>
      </c>
      <c r="CP5" s="23">
        <v>20</v>
      </c>
      <c r="CQ5" s="28" t="s">
        <v>10</v>
      </c>
      <c r="CR5" s="29">
        <v>100</v>
      </c>
      <c r="CS5" s="24" t="s">
        <v>30</v>
      </c>
      <c r="CT5" s="25" t="s">
        <v>7</v>
      </c>
      <c r="CU5" s="41"/>
    </row>
    <row r="6" spans="1:99" ht="14.25">
      <c r="A6" s="83" t="s">
        <v>16</v>
      </c>
      <c r="B6" s="84"/>
      <c r="C6" s="6" t="s">
        <v>17</v>
      </c>
      <c r="D6" s="6" t="s">
        <v>33</v>
      </c>
      <c r="E6" s="83" t="s">
        <v>34</v>
      </c>
      <c r="F6" s="85"/>
      <c r="G6" s="84"/>
      <c r="H6" s="26" t="s">
        <v>5</v>
      </c>
      <c r="I6" s="2"/>
      <c r="J6" s="83" t="s">
        <v>16</v>
      </c>
      <c r="K6" s="84"/>
      <c r="L6" s="18" t="s">
        <v>17</v>
      </c>
      <c r="M6" s="18" t="s">
        <v>33</v>
      </c>
      <c r="N6" s="83" t="s">
        <v>34</v>
      </c>
      <c r="O6" s="85"/>
      <c r="P6" s="84"/>
      <c r="Q6" s="26" t="s">
        <v>5</v>
      </c>
      <c r="R6" s="19"/>
      <c r="S6" s="83" t="s">
        <v>16</v>
      </c>
      <c r="T6" s="84"/>
      <c r="U6" s="6" t="s">
        <v>17</v>
      </c>
      <c r="V6" s="6" t="s">
        <v>33</v>
      </c>
      <c r="W6" s="83" t="s">
        <v>34</v>
      </c>
      <c r="X6" s="85"/>
      <c r="Y6" s="84"/>
      <c r="Z6" s="26" t="s">
        <v>5</v>
      </c>
      <c r="AA6" s="2"/>
      <c r="AB6" s="83" t="s">
        <v>16</v>
      </c>
      <c r="AC6" s="84"/>
      <c r="AD6" s="18" t="s">
        <v>17</v>
      </c>
      <c r="AE6" s="18" t="s">
        <v>33</v>
      </c>
      <c r="AF6" s="83" t="s">
        <v>34</v>
      </c>
      <c r="AG6" s="85"/>
      <c r="AH6" s="84"/>
      <c r="AI6" s="26" t="s">
        <v>5</v>
      </c>
      <c r="AJ6" s="19"/>
      <c r="AK6" s="42" t="s">
        <v>16</v>
      </c>
      <c r="AL6" s="43"/>
      <c r="AM6" s="18" t="s">
        <v>17</v>
      </c>
      <c r="AN6" s="18" t="s">
        <v>33</v>
      </c>
      <c r="AO6" s="83" t="s">
        <v>34</v>
      </c>
      <c r="AP6" s="85"/>
      <c r="AQ6" s="84"/>
      <c r="AR6" s="26" t="s">
        <v>5</v>
      </c>
      <c r="AS6" s="19"/>
      <c r="AT6" s="42" t="s">
        <v>16</v>
      </c>
      <c r="AU6" s="43"/>
      <c r="AV6" s="18" t="s">
        <v>17</v>
      </c>
      <c r="AW6" s="18" t="s">
        <v>33</v>
      </c>
      <c r="AX6" s="83" t="s">
        <v>34</v>
      </c>
      <c r="AY6" s="85"/>
      <c r="AZ6" s="84"/>
      <c r="BA6" s="26" t="s">
        <v>5</v>
      </c>
      <c r="BB6" s="19"/>
      <c r="BC6" s="42" t="s">
        <v>16</v>
      </c>
      <c r="BD6" s="43"/>
      <c r="BE6" s="18" t="s">
        <v>17</v>
      </c>
      <c r="BF6" s="18" t="s">
        <v>33</v>
      </c>
      <c r="BG6" s="83" t="s">
        <v>34</v>
      </c>
      <c r="BH6" s="85"/>
      <c r="BI6" s="84"/>
      <c r="BJ6" s="26" t="s">
        <v>5</v>
      </c>
      <c r="BK6" s="19"/>
      <c r="BL6" s="52" t="s">
        <v>16</v>
      </c>
      <c r="BM6" s="53"/>
      <c r="BN6" s="6" t="s">
        <v>17</v>
      </c>
      <c r="BO6" s="6" t="s">
        <v>33</v>
      </c>
      <c r="BP6" s="83" t="s">
        <v>34</v>
      </c>
      <c r="BQ6" s="85"/>
      <c r="BR6" s="84"/>
      <c r="BS6" s="26" t="s">
        <v>5</v>
      </c>
      <c r="BT6" s="2"/>
      <c r="BU6" s="42" t="s">
        <v>16</v>
      </c>
      <c r="BV6" s="43"/>
      <c r="BW6" s="18" t="s">
        <v>17</v>
      </c>
      <c r="BX6" s="18" t="s">
        <v>33</v>
      </c>
      <c r="BY6" s="83" t="s">
        <v>34</v>
      </c>
      <c r="BZ6" s="85"/>
      <c r="CA6" s="84"/>
      <c r="CB6" s="26" t="s">
        <v>5</v>
      </c>
      <c r="CC6" s="19"/>
      <c r="CD6" s="52" t="s">
        <v>16</v>
      </c>
      <c r="CE6" s="53"/>
      <c r="CF6" s="6" t="s">
        <v>17</v>
      </c>
      <c r="CG6" s="6" t="s">
        <v>33</v>
      </c>
      <c r="CH6" s="83" t="s">
        <v>34</v>
      </c>
      <c r="CI6" s="85"/>
      <c r="CJ6" s="84"/>
      <c r="CK6" s="26" t="s">
        <v>5</v>
      </c>
      <c r="CL6" s="2"/>
      <c r="CM6" s="42" t="s">
        <v>16</v>
      </c>
      <c r="CN6" s="43"/>
      <c r="CO6" s="18" t="s">
        <v>17</v>
      </c>
      <c r="CP6" s="18" t="s">
        <v>33</v>
      </c>
      <c r="CQ6" s="83" t="s">
        <v>34</v>
      </c>
      <c r="CR6" s="85"/>
      <c r="CS6" s="84"/>
      <c r="CT6" s="26" t="s">
        <v>5</v>
      </c>
      <c r="CU6" s="19"/>
    </row>
    <row r="7" spans="1:99" ht="15">
      <c r="A7" s="54">
        <f>((C5-2.5*0.18)-0.2)*2</f>
        <v>3700.1</v>
      </c>
      <c r="B7" s="54">
        <f>((C5-2.5*0.18)+0.2)*2</f>
        <v>3700.9</v>
      </c>
      <c r="C7" s="10" t="s">
        <v>9</v>
      </c>
      <c r="D7" s="10" t="s">
        <v>9</v>
      </c>
      <c r="E7" s="87" t="s">
        <v>35</v>
      </c>
      <c r="F7" s="88"/>
      <c r="G7" s="89"/>
      <c r="H7" s="75"/>
      <c r="I7" s="55" t="s">
        <v>36</v>
      </c>
      <c r="J7" s="54">
        <f>((L5+2.5*0.18)-0.2)*2</f>
        <v>3819.1</v>
      </c>
      <c r="K7" s="54">
        <f>((L5+2.5*0.18)+0.2)*2</f>
        <v>3819.9</v>
      </c>
      <c r="L7" s="10" t="s">
        <v>9</v>
      </c>
      <c r="M7" s="10" t="s">
        <v>9</v>
      </c>
      <c r="N7" s="87" t="s">
        <v>35</v>
      </c>
      <c r="O7" s="88"/>
      <c r="P7" s="89"/>
      <c r="Q7" s="75"/>
      <c r="R7" s="55" t="s">
        <v>36</v>
      </c>
      <c r="S7" s="54">
        <f>((U5-INT((V5*5)/2)*0.18)-0.2)*2</f>
        <v>3700.2799999999997</v>
      </c>
      <c r="T7" s="54">
        <f>((U5-INT((V5*5)/2)*0.18)+0.2)*2</f>
        <v>3701.08</v>
      </c>
      <c r="U7" s="10" t="s">
        <v>9</v>
      </c>
      <c r="V7" s="10" t="s">
        <v>9</v>
      </c>
      <c r="W7" s="87" t="s">
        <v>35</v>
      </c>
      <c r="X7" s="88"/>
      <c r="Y7" s="89"/>
      <c r="Z7" s="75"/>
      <c r="AA7" s="55" t="s">
        <v>36</v>
      </c>
      <c r="AB7" s="54">
        <f>((AD5-INT((AE5*5)/2)*0.18)-0.2)*2</f>
        <v>3755.2799999999997</v>
      </c>
      <c r="AC7" s="54">
        <f>((AD5-INT((AE5*5)/2)*0.18)+0.2)*2</f>
        <v>3756.08</v>
      </c>
      <c r="AD7" s="10" t="s">
        <v>9</v>
      </c>
      <c r="AE7" s="10" t="s">
        <v>9</v>
      </c>
      <c r="AF7" s="87" t="s">
        <v>35</v>
      </c>
      <c r="AG7" s="88"/>
      <c r="AH7" s="89"/>
      <c r="AI7" s="75"/>
      <c r="AJ7" s="55" t="s">
        <v>36</v>
      </c>
      <c r="AK7" s="54">
        <f>((AM5+INT((AN5*5)/2)*0.18)-0.2)*2</f>
        <v>3818.92</v>
      </c>
      <c r="AL7" s="54">
        <f>((AM5+INT((AN5*5)/2)*0.18)+0.2)*2</f>
        <v>3819.7200000000003</v>
      </c>
      <c r="AM7" s="10" t="s">
        <v>9</v>
      </c>
      <c r="AN7" s="10" t="s">
        <v>9</v>
      </c>
      <c r="AO7" s="87" t="s">
        <v>35</v>
      </c>
      <c r="AP7" s="88"/>
      <c r="AQ7" s="89"/>
      <c r="AR7" s="75"/>
      <c r="AS7" s="55" t="s">
        <v>36</v>
      </c>
      <c r="AT7" s="54">
        <f>(AV5-AW5/2)*2</f>
        <v>3700</v>
      </c>
      <c r="AU7" s="54">
        <f>(AV5+AW5/2)*2</f>
        <v>3710</v>
      </c>
      <c r="AV7" s="10" t="s">
        <v>9</v>
      </c>
      <c r="AW7" s="10" t="s">
        <v>9</v>
      </c>
      <c r="AX7" s="87" t="s">
        <v>35</v>
      </c>
      <c r="AY7" s="88"/>
      <c r="AZ7" s="89"/>
      <c r="BA7" s="75"/>
      <c r="BB7" s="55" t="s">
        <v>36</v>
      </c>
      <c r="BC7" s="54">
        <f>(BE5-BF5/2)*2</f>
        <v>3810</v>
      </c>
      <c r="BD7" s="54">
        <f>(BE5+BF5/2)*2</f>
        <v>3820</v>
      </c>
      <c r="BE7" s="10" t="s">
        <v>9</v>
      </c>
      <c r="BF7" s="10" t="s">
        <v>9</v>
      </c>
      <c r="BG7" s="87" t="s">
        <v>35</v>
      </c>
      <c r="BH7" s="88"/>
      <c r="BI7" s="89"/>
      <c r="BJ7" s="75"/>
      <c r="BK7" s="55" t="s">
        <v>36</v>
      </c>
      <c r="BL7" s="54">
        <f>((BN5-(INT((BO5*5)/2)-0.5)*0.18)-0.2)*2</f>
        <v>3701.7799999999997</v>
      </c>
      <c r="BM7" s="54">
        <f>((BN5-(INT((BO5*5)/2)-0.5)*0.18)+0.2)*2</f>
        <v>3702.58</v>
      </c>
      <c r="BN7" s="10" t="s">
        <v>9</v>
      </c>
      <c r="BO7" s="10" t="s">
        <v>9</v>
      </c>
      <c r="BP7" s="87" t="s">
        <v>35</v>
      </c>
      <c r="BQ7" s="88"/>
      <c r="BR7" s="89"/>
      <c r="BS7" s="75"/>
      <c r="BT7" s="55" t="s">
        <v>36</v>
      </c>
      <c r="BU7" s="54">
        <f>((BW5+(INT((BX5*5)/2)-0.5)*0.18)-0.2)*2</f>
        <v>3817.42</v>
      </c>
      <c r="BV7" s="54">
        <f>((BW5+(INT((BX5*5)/2)-0.5)*0.18)+0.2)*2</f>
        <v>3818.2200000000003</v>
      </c>
      <c r="BW7" s="10" t="s">
        <v>9</v>
      </c>
      <c r="BX7" s="10" t="s">
        <v>9</v>
      </c>
      <c r="BY7" s="87" t="s">
        <v>35</v>
      </c>
      <c r="BZ7" s="88"/>
      <c r="CA7" s="89"/>
      <c r="CB7" s="75"/>
      <c r="CC7" s="55" t="s">
        <v>36</v>
      </c>
      <c r="CD7" s="54">
        <f>(CF5-CG5/2)*2</f>
        <v>3700</v>
      </c>
      <c r="CE7" s="54">
        <f>(CF5+CG5/2)*2</f>
        <v>3740</v>
      </c>
      <c r="CF7" s="10" t="s">
        <v>9</v>
      </c>
      <c r="CG7" s="10" t="s">
        <v>9</v>
      </c>
      <c r="CH7" s="87" t="s">
        <v>35</v>
      </c>
      <c r="CI7" s="88"/>
      <c r="CJ7" s="89"/>
      <c r="CK7" s="75"/>
      <c r="CL7" s="55" t="s">
        <v>36</v>
      </c>
      <c r="CM7" s="54">
        <f>(CO5-CP5/2)*2</f>
        <v>3780</v>
      </c>
      <c r="CN7" s="54">
        <f>(CO5+CP5/2)*2</f>
        <v>3820</v>
      </c>
      <c r="CO7" s="10" t="s">
        <v>9</v>
      </c>
      <c r="CP7" s="10" t="s">
        <v>9</v>
      </c>
      <c r="CQ7" s="87" t="s">
        <v>35</v>
      </c>
      <c r="CR7" s="88"/>
      <c r="CS7" s="89"/>
      <c r="CT7" s="75"/>
      <c r="CU7" s="55" t="s">
        <v>36</v>
      </c>
    </row>
    <row r="8" spans="1:99" ht="15">
      <c r="A8" s="54">
        <f>((C5-2.5*0.18)-0.2)*3</f>
        <v>5550.15</v>
      </c>
      <c r="B8" s="54">
        <f>((C5-2.5*0.18)+0.2)*2</f>
        <v>3700.9</v>
      </c>
      <c r="C8" s="10" t="s">
        <v>9</v>
      </c>
      <c r="D8" s="10" t="s">
        <v>9</v>
      </c>
      <c r="E8" s="87" t="s">
        <v>35</v>
      </c>
      <c r="F8" s="88"/>
      <c r="G8" s="89"/>
      <c r="H8" s="75"/>
      <c r="I8" s="55" t="s">
        <v>37</v>
      </c>
      <c r="J8" s="54">
        <f>((L5+2.5*0.18)-0.2)*3</f>
        <v>5728.65</v>
      </c>
      <c r="K8" s="54">
        <f>((L5+2.5*0.18)+0.2)*3</f>
        <v>5729.85</v>
      </c>
      <c r="L8" s="10" t="s">
        <v>9</v>
      </c>
      <c r="M8" s="10" t="s">
        <v>9</v>
      </c>
      <c r="N8" s="87" t="s">
        <v>35</v>
      </c>
      <c r="O8" s="88"/>
      <c r="P8" s="89"/>
      <c r="Q8" s="75"/>
      <c r="R8" s="55" t="s">
        <v>37</v>
      </c>
      <c r="S8" s="54">
        <f>((U5-INT((V5*5)/2)*0.18)-0.2)*3</f>
        <v>5550.42</v>
      </c>
      <c r="T8" s="54">
        <f>((U5-INT((V5*5)/2)*0.18)+0.2)*3</f>
        <v>5551.62</v>
      </c>
      <c r="U8" s="10" t="s">
        <v>9</v>
      </c>
      <c r="V8" s="10" t="s">
        <v>9</v>
      </c>
      <c r="W8" s="87" t="s">
        <v>35</v>
      </c>
      <c r="X8" s="88"/>
      <c r="Y8" s="89"/>
      <c r="Z8" s="75"/>
      <c r="AA8" s="55" t="s">
        <v>37</v>
      </c>
      <c r="AB8" s="54">
        <f>((AD5-INT((AE5*5)/2)*0.18)-0.2)*3</f>
        <v>5632.92</v>
      </c>
      <c r="AC8" s="54">
        <f>((AD5-INT((AE5*5)/2)*0.18)+0.2)*3</f>
        <v>5634.12</v>
      </c>
      <c r="AD8" s="10" t="s">
        <v>9</v>
      </c>
      <c r="AE8" s="10" t="s">
        <v>9</v>
      </c>
      <c r="AF8" s="87" t="s">
        <v>35</v>
      </c>
      <c r="AG8" s="88"/>
      <c r="AH8" s="89"/>
      <c r="AI8" s="75"/>
      <c r="AJ8" s="55" t="s">
        <v>37</v>
      </c>
      <c r="AK8" s="54">
        <f>((AM5+INT((AN5*5)/2)*0.18)-0.2)*3</f>
        <v>5728.38</v>
      </c>
      <c r="AL8" s="54">
        <f>((AM5+INT((AN5*5)/2)*0.18)+0.2)*3</f>
        <v>5729.58</v>
      </c>
      <c r="AM8" s="10" t="s">
        <v>9</v>
      </c>
      <c r="AN8" s="10" t="s">
        <v>9</v>
      </c>
      <c r="AO8" s="87" t="s">
        <v>35</v>
      </c>
      <c r="AP8" s="88"/>
      <c r="AQ8" s="89"/>
      <c r="AR8" s="75"/>
      <c r="AS8" s="55" t="s">
        <v>37</v>
      </c>
      <c r="AT8" s="54">
        <f>(AV5-AW5/2)*3</f>
        <v>5550</v>
      </c>
      <c r="AU8" s="54">
        <f>(AV5+AW5/2)*3</f>
        <v>5565</v>
      </c>
      <c r="AV8" s="10" t="s">
        <v>9</v>
      </c>
      <c r="AW8" s="10" t="s">
        <v>9</v>
      </c>
      <c r="AX8" s="87" t="s">
        <v>35</v>
      </c>
      <c r="AY8" s="88"/>
      <c r="AZ8" s="89"/>
      <c r="BA8" s="75"/>
      <c r="BB8" s="55" t="s">
        <v>37</v>
      </c>
      <c r="BC8" s="54">
        <f>(BE5-BF5/2)*3</f>
        <v>5715</v>
      </c>
      <c r="BD8" s="54">
        <f>(BE5+BF5/2)*3</f>
        <v>5730</v>
      </c>
      <c r="BE8" s="10" t="s">
        <v>9</v>
      </c>
      <c r="BF8" s="10" t="s">
        <v>9</v>
      </c>
      <c r="BG8" s="87" t="s">
        <v>35</v>
      </c>
      <c r="BH8" s="88"/>
      <c r="BI8" s="89"/>
      <c r="BJ8" s="75"/>
      <c r="BK8" s="55" t="s">
        <v>37</v>
      </c>
      <c r="BL8" s="54">
        <f>((BN5-(INT((BO5*5)/2)-0.5)*0.18)-0.2)*3</f>
        <v>5552.67</v>
      </c>
      <c r="BM8" s="54">
        <f>((BN5-(INT((BO5*5)/2)-0.5)*0.18)+0.2)*3</f>
        <v>5553.87</v>
      </c>
      <c r="BN8" s="10" t="s">
        <v>9</v>
      </c>
      <c r="BO8" s="10" t="s">
        <v>9</v>
      </c>
      <c r="BP8" s="87" t="s">
        <v>35</v>
      </c>
      <c r="BQ8" s="88"/>
      <c r="BR8" s="89"/>
      <c r="BS8" s="75"/>
      <c r="BT8" s="55" t="s">
        <v>37</v>
      </c>
      <c r="BU8" s="54">
        <f>((BW5+(INT((BX5*5)/2)-0.5)*0.18)-0.2)*3</f>
        <v>5726.13</v>
      </c>
      <c r="BV8" s="54">
        <f>((BW5+(INT((BX5*5)/2)-0.5)*0.18)+0.2)*3</f>
        <v>5727.33</v>
      </c>
      <c r="BW8" s="10" t="s">
        <v>9</v>
      </c>
      <c r="BX8" s="10" t="s">
        <v>9</v>
      </c>
      <c r="BY8" s="87" t="s">
        <v>35</v>
      </c>
      <c r="BZ8" s="88"/>
      <c r="CA8" s="89"/>
      <c r="CB8" s="75"/>
      <c r="CC8" s="55" t="s">
        <v>37</v>
      </c>
      <c r="CD8" s="54">
        <f>(CF5-CG5/2)*3</f>
        <v>5550</v>
      </c>
      <c r="CE8" s="54">
        <f>(CF5+CG5/2)*3</f>
        <v>5610</v>
      </c>
      <c r="CF8" s="10" t="s">
        <v>9</v>
      </c>
      <c r="CG8" s="10" t="s">
        <v>9</v>
      </c>
      <c r="CH8" s="87" t="s">
        <v>35</v>
      </c>
      <c r="CI8" s="88"/>
      <c r="CJ8" s="89"/>
      <c r="CK8" s="75"/>
      <c r="CL8" s="55" t="s">
        <v>37</v>
      </c>
      <c r="CM8" s="54">
        <f>(CO5-CP5/2)*3</f>
        <v>5670</v>
      </c>
      <c r="CN8" s="54">
        <f>(CO5+CP5/2)*3</f>
        <v>5730</v>
      </c>
      <c r="CO8" s="10" t="s">
        <v>9</v>
      </c>
      <c r="CP8" s="10" t="s">
        <v>9</v>
      </c>
      <c r="CQ8" s="87" t="s">
        <v>35</v>
      </c>
      <c r="CR8" s="88"/>
      <c r="CS8" s="89"/>
      <c r="CT8" s="75"/>
      <c r="CU8" s="55" t="s">
        <v>37</v>
      </c>
    </row>
    <row r="9" spans="1:99" ht="15">
      <c r="A9" s="54">
        <f>((C5-2.5*0.18)-0.2)*4</f>
        <v>7400.2</v>
      </c>
      <c r="B9" s="54">
        <f>((C5-2.5*0.18)+0.2)*4</f>
        <v>7401.8</v>
      </c>
      <c r="C9" s="10" t="s">
        <v>9</v>
      </c>
      <c r="D9" s="10" t="s">
        <v>9</v>
      </c>
      <c r="E9" s="90" t="s">
        <v>35</v>
      </c>
      <c r="F9" s="90"/>
      <c r="G9" s="90"/>
      <c r="H9" s="75"/>
      <c r="I9" s="55" t="s">
        <v>38</v>
      </c>
      <c r="J9" s="54">
        <f>((L5+2.5*0.18)-0.2)*4</f>
        <v>7638.2</v>
      </c>
      <c r="K9" s="54">
        <f>((L5+2.5*0.18)+0.2)*4</f>
        <v>7639.8</v>
      </c>
      <c r="L9" s="10" t="s">
        <v>9</v>
      </c>
      <c r="M9" s="10" t="s">
        <v>9</v>
      </c>
      <c r="N9" s="90" t="s">
        <v>35</v>
      </c>
      <c r="O9" s="90"/>
      <c r="P9" s="90"/>
      <c r="Q9" s="75"/>
      <c r="R9" s="55" t="s">
        <v>38</v>
      </c>
      <c r="S9" s="54">
        <f>((U5-INT((V5*5)/2)*0.18)-0.2)*4</f>
        <v>7400.5599999999995</v>
      </c>
      <c r="T9" s="54">
        <f>((U5-INT((V5*5)/2)*0.18)+0.2)*4</f>
        <v>7402.16</v>
      </c>
      <c r="U9" s="10" t="s">
        <v>9</v>
      </c>
      <c r="V9" s="10" t="s">
        <v>9</v>
      </c>
      <c r="W9" s="90" t="s">
        <v>35</v>
      </c>
      <c r="X9" s="90"/>
      <c r="Y9" s="90"/>
      <c r="Z9" s="75"/>
      <c r="AA9" s="55" t="s">
        <v>38</v>
      </c>
      <c r="AB9" s="54">
        <f>((AD5-INT((AE5*5)/2)*0.18)-0.2)*4</f>
        <v>7510.5599999999995</v>
      </c>
      <c r="AC9" s="54">
        <f>((AD5-INT((AE5*5)/2)*0.18)+0.2)*4</f>
        <v>7512.16</v>
      </c>
      <c r="AD9" s="10" t="s">
        <v>9</v>
      </c>
      <c r="AE9" s="10" t="s">
        <v>9</v>
      </c>
      <c r="AF9" s="90" t="s">
        <v>35</v>
      </c>
      <c r="AG9" s="90"/>
      <c r="AH9" s="90"/>
      <c r="AI9" s="75"/>
      <c r="AJ9" s="55" t="s">
        <v>38</v>
      </c>
      <c r="AK9" s="54">
        <f>((AM5+INT((AN5*5)/2)*0.18)-0.2)*4</f>
        <v>7637.84</v>
      </c>
      <c r="AL9" s="54">
        <f>((AM5+INT((AN5*5)/2)*0.18)+0.2)*4</f>
        <v>7639.4400000000005</v>
      </c>
      <c r="AM9" s="10" t="s">
        <v>9</v>
      </c>
      <c r="AN9" s="10" t="s">
        <v>9</v>
      </c>
      <c r="AO9" s="87" t="s">
        <v>39</v>
      </c>
      <c r="AP9" s="88"/>
      <c r="AQ9" s="89"/>
      <c r="AR9" s="75"/>
      <c r="AS9" s="55" t="s">
        <v>38</v>
      </c>
      <c r="AT9" s="54">
        <f>(AV5-AW5/2)*4</f>
        <v>7400</v>
      </c>
      <c r="AU9" s="54">
        <f>(AV5+AW5/2)*4</f>
        <v>7420</v>
      </c>
      <c r="AV9" s="10" t="s">
        <v>9</v>
      </c>
      <c r="AW9" s="10" t="s">
        <v>9</v>
      </c>
      <c r="AX9" s="87" t="s">
        <v>39</v>
      </c>
      <c r="AY9" s="88"/>
      <c r="AZ9" s="89"/>
      <c r="BA9" s="75"/>
      <c r="BB9" s="55" t="s">
        <v>38</v>
      </c>
      <c r="BC9" s="54">
        <f>(BE5-BF5/2)*4</f>
        <v>7620</v>
      </c>
      <c r="BD9" s="54">
        <f>(BE5+BF5/2)*4</f>
        <v>7640</v>
      </c>
      <c r="BE9" s="10" t="s">
        <v>9</v>
      </c>
      <c r="BF9" s="10" t="s">
        <v>9</v>
      </c>
      <c r="BG9" s="87" t="s">
        <v>39</v>
      </c>
      <c r="BH9" s="88"/>
      <c r="BI9" s="89"/>
      <c r="BJ9" s="75"/>
      <c r="BK9" s="55" t="s">
        <v>38</v>
      </c>
      <c r="BL9" s="54">
        <f>((BN5-(INT((BO5*5)/2)-0.5)*0.18)-0.2)*4</f>
        <v>7403.5599999999995</v>
      </c>
      <c r="BM9" s="54">
        <f>((BN5-(INT((BO5*5)/2)-0.5)*0.18)+0.2)*4</f>
        <v>7405.16</v>
      </c>
      <c r="BN9" s="10" t="s">
        <v>9</v>
      </c>
      <c r="BO9" s="10" t="s">
        <v>9</v>
      </c>
      <c r="BP9" s="87" t="s">
        <v>39</v>
      </c>
      <c r="BQ9" s="88"/>
      <c r="BR9" s="89"/>
      <c r="BS9" s="75"/>
      <c r="BT9" s="55" t="s">
        <v>38</v>
      </c>
      <c r="BU9" s="54">
        <f>((BW5+(INT((BX5*5)/2)-0.5)*0.18)-0.2)*4</f>
        <v>7634.84</v>
      </c>
      <c r="BV9" s="54">
        <f>((BW5+(INT((BX5*5)/2)-0.5)*0.18)+0.2)*4</f>
        <v>7636.4400000000005</v>
      </c>
      <c r="BW9" s="10" t="s">
        <v>9</v>
      </c>
      <c r="BX9" s="10" t="s">
        <v>9</v>
      </c>
      <c r="BY9" s="87" t="s">
        <v>39</v>
      </c>
      <c r="BZ9" s="88"/>
      <c r="CA9" s="89"/>
      <c r="CB9" s="75"/>
      <c r="CC9" s="55" t="s">
        <v>38</v>
      </c>
      <c r="CD9" s="54">
        <f>(CF5-CG5/2)*4</f>
        <v>7400</v>
      </c>
      <c r="CE9" s="54">
        <f>(CF5+CG5/2)*4</f>
        <v>7480</v>
      </c>
      <c r="CF9" s="10" t="s">
        <v>9</v>
      </c>
      <c r="CG9" s="10" t="s">
        <v>9</v>
      </c>
      <c r="CH9" s="87" t="s">
        <v>39</v>
      </c>
      <c r="CI9" s="88"/>
      <c r="CJ9" s="89"/>
      <c r="CK9" s="75"/>
      <c r="CL9" s="55" t="s">
        <v>38</v>
      </c>
      <c r="CM9" s="54">
        <f>(CO5-CP5/2)*4</f>
        <v>7560</v>
      </c>
      <c r="CN9" s="54">
        <f>(CO5+CP5/2)*4</f>
        <v>7640</v>
      </c>
      <c r="CO9" s="10" t="s">
        <v>9</v>
      </c>
      <c r="CP9" s="10" t="s">
        <v>9</v>
      </c>
      <c r="CQ9" s="87" t="s">
        <v>35</v>
      </c>
      <c r="CR9" s="88"/>
      <c r="CS9" s="89"/>
      <c r="CT9" s="75"/>
      <c r="CU9" s="55" t="s">
        <v>38</v>
      </c>
    </row>
    <row r="10" spans="1:99" ht="15">
      <c r="A10" s="54">
        <f>((C5-2.5*0.18)-0.2)*5</f>
        <v>9250.25</v>
      </c>
      <c r="B10" s="54">
        <f>((C5-2.5*0.18)+0.2)*5</f>
        <v>9252.25</v>
      </c>
      <c r="C10" s="10" t="s">
        <v>9</v>
      </c>
      <c r="D10" s="10" t="s">
        <v>9</v>
      </c>
      <c r="E10" s="87" t="s">
        <v>35</v>
      </c>
      <c r="F10" s="88"/>
      <c r="G10" s="89"/>
      <c r="H10" s="75"/>
      <c r="I10" s="55" t="s">
        <v>40</v>
      </c>
      <c r="J10" s="54">
        <f>((L5+2.5*0.18)-0.2)*5</f>
        <v>9547.75</v>
      </c>
      <c r="K10" s="54">
        <f>((L5+2.5*0.18)+0.2)*5</f>
        <v>9549.75</v>
      </c>
      <c r="L10" s="10" t="s">
        <v>9</v>
      </c>
      <c r="M10" s="10" t="s">
        <v>9</v>
      </c>
      <c r="N10" s="87" t="s">
        <v>35</v>
      </c>
      <c r="O10" s="88"/>
      <c r="P10" s="89"/>
      <c r="Q10" s="75"/>
      <c r="R10" s="55" t="s">
        <v>40</v>
      </c>
      <c r="S10" s="54">
        <f>((U5-INT((V5*5)/2)*0.18)-0.2)*5</f>
        <v>9250.6999999999989</v>
      </c>
      <c r="T10" s="54">
        <f>((U5-INT((V5*5)/2)*0.18)+0.2)*5</f>
        <v>9252.7000000000007</v>
      </c>
      <c r="U10" s="10" t="s">
        <v>9</v>
      </c>
      <c r="V10" s="10" t="s">
        <v>9</v>
      </c>
      <c r="W10" s="87" t="s">
        <v>35</v>
      </c>
      <c r="X10" s="88"/>
      <c r="Y10" s="89"/>
      <c r="Z10" s="75"/>
      <c r="AA10" s="55" t="s">
        <v>40</v>
      </c>
      <c r="AB10" s="54">
        <f>((AD5-INT((AE5*5)/2)*0.18)-0.2)*5</f>
        <v>9388.1999999999989</v>
      </c>
      <c r="AC10" s="54">
        <f>((AD5-INT((AE5*5)/2)*0.18)+0.2)*5</f>
        <v>9390.2000000000007</v>
      </c>
      <c r="AD10" s="10" t="s">
        <v>9</v>
      </c>
      <c r="AE10" s="10" t="s">
        <v>9</v>
      </c>
      <c r="AF10" s="87" t="s">
        <v>35</v>
      </c>
      <c r="AG10" s="88"/>
      <c r="AH10" s="89"/>
      <c r="AI10" s="75"/>
      <c r="AJ10" s="55" t="s">
        <v>37</v>
      </c>
      <c r="AK10" s="54">
        <f>((AM5+INT((AN5*5)/2)*0.18)-0.2)*5</f>
        <v>9547.2999999999993</v>
      </c>
      <c r="AL10" s="54">
        <f>((AM5+INT((AN5*5)/2)*0.18)+0.2)*5</f>
        <v>9549.3000000000011</v>
      </c>
      <c r="AM10" s="10" t="s">
        <v>9</v>
      </c>
      <c r="AN10" s="10" t="s">
        <v>9</v>
      </c>
      <c r="AO10" s="87" t="s">
        <v>39</v>
      </c>
      <c r="AP10" s="88"/>
      <c r="AQ10" s="89"/>
      <c r="AR10" s="75"/>
      <c r="AS10" s="55" t="s">
        <v>40</v>
      </c>
      <c r="AT10" s="54">
        <f>(AV5-AW5/2)*5</f>
        <v>9250</v>
      </c>
      <c r="AU10" s="54">
        <f>(AV5+AW5/2)*5</f>
        <v>9275</v>
      </c>
      <c r="AV10" s="10" t="s">
        <v>9</v>
      </c>
      <c r="AW10" s="10" t="s">
        <v>9</v>
      </c>
      <c r="AX10" s="87" t="s">
        <v>39</v>
      </c>
      <c r="AY10" s="88"/>
      <c r="AZ10" s="89"/>
      <c r="BA10" s="75"/>
      <c r="BB10" s="55" t="s">
        <v>40</v>
      </c>
      <c r="BC10" s="54">
        <f>(BE5-BF5/2)*5</f>
        <v>9525</v>
      </c>
      <c r="BD10" s="54">
        <f>(BE5+BF5/2)*5</f>
        <v>9550</v>
      </c>
      <c r="BE10" s="10" t="s">
        <v>9</v>
      </c>
      <c r="BF10" s="10" t="s">
        <v>9</v>
      </c>
      <c r="BG10" s="87" t="s">
        <v>39</v>
      </c>
      <c r="BH10" s="88"/>
      <c r="BI10" s="89"/>
      <c r="BJ10" s="75"/>
      <c r="BK10" s="55" t="s">
        <v>40</v>
      </c>
      <c r="BL10" s="54">
        <f>((BN5-(INT((BO5*5)/2)-0.5)*0.18)-0.2)*5</f>
        <v>9254.4499999999989</v>
      </c>
      <c r="BM10" s="54">
        <f>((BN5-(INT((BO5*5)/2)-0.5)*0.18)+0.2)*5</f>
        <v>9256.4500000000007</v>
      </c>
      <c r="BN10" s="10" t="s">
        <v>9</v>
      </c>
      <c r="BO10" s="10" t="s">
        <v>9</v>
      </c>
      <c r="BP10" s="87" t="s">
        <v>39</v>
      </c>
      <c r="BQ10" s="88"/>
      <c r="BR10" s="89"/>
      <c r="BS10" s="75"/>
      <c r="BT10" s="55" t="s">
        <v>37</v>
      </c>
      <c r="BU10" s="54">
        <f>((BW5+(INT((BX5*5)/2)-0.5)*0.18)-0.2)*5</f>
        <v>9543.5499999999993</v>
      </c>
      <c r="BV10" s="54">
        <f>((BW5+(INT((BX5*5)/2)-0.5)*0.18)+0.2)*5</f>
        <v>9545.5500000000011</v>
      </c>
      <c r="BW10" s="10" t="s">
        <v>9</v>
      </c>
      <c r="BX10" s="10" t="s">
        <v>9</v>
      </c>
      <c r="BY10" s="87" t="s">
        <v>39</v>
      </c>
      <c r="BZ10" s="88"/>
      <c r="CA10" s="89"/>
      <c r="CB10" s="75"/>
      <c r="CC10" s="55" t="s">
        <v>40</v>
      </c>
      <c r="CD10" s="54">
        <f>(CF5-CG5/2)*5</f>
        <v>9250</v>
      </c>
      <c r="CE10" s="54">
        <f>(CF5+CG5/2)*5</f>
        <v>9350</v>
      </c>
      <c r="CF10" s="10" t="s">
        <v>9</v>
      </c>
      <c r="CG10" s="10" t="s">
        <v>9</v>
      </c>
      <c r="CH10" s="87" t="s">
        <v>39</v>
      </c>
      <c r="CI10" s="88"/>
      <c r="CJ10" s="89"/>
      <c r="CK10" s="75"/>
      <c r="CL10" s="55" t="s">
        <v>40</v>
      </c>
      <c r="CM10" s="54">
        <f>(CO5-CP5/2)*5</f>
        <v>9450</v>
      </c>
      <c r="CN10" s="54">
        <f>(CO5+CP5/2)*5</f>
        <v>9550</v>
      </c>
      <c r="CO10" s="10" t="s">
        <v>9</v>
      </c>
      <c r="CP10" s="10" t="s">
        <v>9</v>
      </c>
      <c r="CQ10" s="87" t="s">
        <v>35</v>
      </c>
      <c r="CR10" s="88"/>
      <c r="CS10" s="89"/>
      <c r="CT10" s="75"/>
      <c r="CU10" s="55" t="s">
        <v>40</v>
      </c>
    </row>
    <row r="11" spans="1:99" ht="15">
      <c r="A11" s="54">
        <f>((C5-2.5*0.18)-0.2)*6</f>
        <v>11100.3</v>
      </c>
      <c r="B11" s="54">
        <f>((C5-2.5*0.18)+0.2)*6</f>
        <v>11102.7</v>
      </c>
      <c r="C11" s="10" t="s">
        <v>9</v>
      </c>
      <c r="D11" s="10" t="s">
        <v>9</v>
      </c>
      <c r="E11" s="90" t="s">
        <v>35</v>
      </c>
      <c r="F11" s="90"/>
      <c r="G11" s="90"/>
      <c r="H11" s="75"/>
      <c r="I11" s="55" t="s">
        <v>41</v>
      </c>
      <c r="J11" s="54">
        <f>((L5+2.5*0.18)-0.2)*6</f>
        <v>11457.3</v>
      </c>
      <c r="K11" s="54">
        <f>((L5+2.5*0.18)+0.2)*6</f>
        <v>11459.7</v>
      </c>
      <c r="L11" s="10" t="s">
        <v>9</v>
      </c>
      <c r="M11" s="10" t="s">
        <v>9</v>
      </c>
      <c r="N11" s="90" t="s">
        <v>35</v>
      </c>
      <c r="O11" s="90"/>
      <c r="P11" s="90"/>
      <c r="Q11" s="75"/>
      <c r="R11" s="55" t="s">
        <v>41</v>
      </c>
      <c r="S11" s="54">
        <f>((U5-INT((V5*5)/2)*0.18)-0.2)*6</f>
        <v>11100.84</v>
      </c>
      <c r="T11" s="54">
        <f>((U5-INT((V5*5)/2)*0.18)+0.2)*6</f>
        <v>11103.24</v>
      </c>
      <c r="U11" s="10" t="s">
        <v>9</v>
      </c>
      <c r="V11" s="10" t="s">
        <v>9</v>
      </c>
      <c r="W11" s="90" t="s">
        <v>35</v>
      </c>
      <c r="X11" s="90"/>
      <c r="Y11" s="90"/>
      <c r="Z11" s="75"/>
      <c r="AA11" s="55" t="s">
        <v>41</v>
      </c>
      <c r="AB11" s="54">
        <f>((AD5-INT((AE5*5)/2)*0.18)-0.2)*6</f>
        <v>11265.84</v>
      </c>
      <c r="AC11" s="54">
        <f>((AD5-INT((AE5*5)/2)*0.18)+0.2)*6</f>
        <v>11268.24</v>
      </c>
      <c r="AD11" s="10" t="s">
        <v>9</v>
      </c>
      <c r="AE11" s="10" t="s">
        <v>9</v>
      </c>
      <c r="AF11" s="90" t="s">
        <v>35</v>
      </c>
      <c r="AG11" s="90"/>
      <c r="AH11" s="90"/>
      <c r="AI11" s="75"/>
      <c r="AJ11" s="55" t="s">
        <v>38</v>
      </c>
      <c r="AK11" s="54">
        <f>((AM5+INT((AN5*5)/2)*0.18)-0.2)*6</f>
        <v>11456.76</v>
      </c>
      <c r="AL11" s="54">
        <f>((AM5+INT((AN5*5)/2)*0.18)+0.2)*6</f>
        <v>11459.16</v>
      </c>
      <c r="AM11" s="10" t="s">
        <v>9</v>
      </c>
      <c r="AN11" s="10" t="s">
        <v>9</v>
      </c>
      <c r="AO11" s="87" t="s">
        <v>39</v>
      </c>
      <c r="AP11" s="88"/>
      <c r="AQ11" s="89"/>
      <c r="AR11" s="75"/>
      <c r="AS11" s="55" t="s">
        <v>41</v>
      </c>
      <c r="AT11" s="54">
        <f>(AV5-AW5/2)*6</f>
        <v>11100</v>
      </c>
      <c r="AU11" s="54">
        <f>(AV5+AW5/2)*6</f>
        <v>11130</v>
      </c>
      <c r="AV11" s="10" t="s">
        <v>9</v>
      </c>
      <c r="AW11" s="10" t="s">
        <v>9</v>
      </c>
      <c r="AX11" s="87" t="s">
        <v>39</v>
      </c>
      <c r="AY11" s="88"/>
      <c r="AZ11" s="89"/>
      <c r="BA11" s="75"/>
      <c r="BB11" s="55" t="s">
        <v>41</v>
      </c>
      <c r="BC11" s="54">
        <f>(BE5-BF5/2)*6</f>
        <v>11430</v>
      </c>
      <c r="BD11" s="54">
        <f>(BE5+BF5/2)*6</f>
        <v>11460</v>
      </c>
      <c r="BE11" s="10" t="s">
        <v>9</v>
      </c>
      <c r="BF11" s="10" t="s">
        <v>9</v>
      </c>
      <c r="BG11" s="87" t="s">
        <v>39</v>
      </c>
      <c r="BH11" s="88"/>
      <c r="BI11" s="89"/>
      <c r="BJ11" s="98"/>
      <c r="BK11" s="55" t="s">
        <v>41</v>
      </c>
      <c r="BL11" s="54">
        <f>((BN5-(INT((BO5*5)/2)-0.5)*0.18)-0.2)*6</f>
        <v>11105.34</v>
      </c>
      <c r="BM11" s="54">
        <f>((BN5-(INT((BO5*5)/2)-0.5)*0.18)+0.2)*6</f>
        <v>11107.74</v>
      </c>
      <c r="BN11" s="10" t="s">
        <v>9</v>
      </c>
      <c r="BO11" s="10" t="s">
        <v>9</v>
      </c>
      <c r="BP11" s="87" t="s">
        <v>39</v>
      </c>
      <c r="BQ11" s="88"/>
      <c r="BR11" s="89"/>
      <c r="BS11" s="75"/>
      <c r="BT11" s="55" t="s">
        <v>38</v>
      </c>
      <c r="BU11" s="54">
        <f>((BW5+(INT((BX5*5)/2)-0.5)*0.18)-0.2)*6</f>
        <v>11452.26</v>
      </c>
      <c r="BV11" s="54">
        <f>((BW5+(INT((BX5*5)/2)-0.5)*0.18)+0.2)*6</f>
        <v>11454.66</v>
      </c>
      <c r="BW11" s="10" t="s">
        <v>9</v>
      </c>
      <c r="BX11" s="10" t="s">
        <v>9</v>
      </c>
      <c r="BY11" s="87" t="s">
        <v>39</v>
      </c>
      <c r="BZ11" s="88"/>
      <c r="CA11" s="89"/>
      <c r="CB11" s="75"/>
      <c r="CC11" s="55" t="s">
        <v>41</v>
      </c>
      <c r="CD11" s="54">
        <f>(CF5-CG5/2)*6</f>
        <v>11100</v>
      </c>
      <c r="CE11" s="54">
        <f>(CF5+CG5/2)*6</f>
        <v>11220</v>
      </c>
      <c r="CF11" s="10" t="s">
        <v>9</v>
      </c>
      <c r="CG11" s="10" t="s">
        <v>9</v>
      </c>
      <c r="CH11" s="87" t="s">
        <v>39</v>
      </c>
      <c r="CI11" s="88"/>
      <c r="CJ11" s="89"/>
      <c r="CK11" s="75"/>
      <c r="CL11" s="55" t="s">
        <v>41</v>
      </c>
      <c r="CM11" s="54">
        <f>(CO5-CP5/2)*6</f>
        <v>11340</v>
      </c>
      <c r="CN11" s="54">
        <f>(CO5+CP5/2)*6</f>
        <v>11460</v>
      </c>
      <c r="CO11" s="10" t="s">
        <v>9</v>
      </c>
      <c r="CP11" s="10" t="s">
        <v>9</v>
      </c>
      <c r="CQ11" s="87" t="s">
        <v>35</v>
      </c>
      <c r="CR11" s="88"/>
      <c r="CS11" s="89"/>
      <c r="CT11" s="75"/>
      <c r="CU11" s="55" t="s">
        <v>41</v>
      </c>
    </row>
    <row r="12" spans="1:99" ht="14.25">
      <c r="J12" s="54"/>
      <c r="K12" s="54"/>
    </row>
  </sheetData>
  <mergeCells count="76">
    <mergeCell ref="CH10:CJ10"/>
    <mergeCell ref="CQ10:CS10"/>
    <mergeCell ref="AO11:AQ11"/>
    <mergeCell ref="AX11:AZ11"/>
    <mergeCell ref="BG11:BI11"/>
    <mergeCell ref="BP11:BR11"/>
    <mergeCell ref="BY11:CA11"/>
    <mergeCell ref="CH11:CJ11"/>
    <mergeCell ref="CQ11:CS11"/>
    <mergeCell ref="AO10:AQ10"/>
    <mergeCell ref="AX10:AZ10"/>
    <mergeCell ref="BG10:BI10"/>
    <mergeCell ref="BP10:BR10"/>
    <mergeCell ref="BY10:CA10"/>
    <mergeCell ref="CH8:CJ8"/>
    <mergeCell ref="CQ8:CS8"/>
    <mergeCell ref="AO9:AQ9"/>
    <mergeCell ref="AX9:AZ9"/>
    <mergeCell ref="BG9:BI9"/>
    <mergeCell ref="BP9:BR9"/>
    <mergeCell ref="BY9:CA9"/>
    <mergeCell ref="CH9:CJ9"/>
    <mergeCell ref="CQ9:CS9"/>
    <mergeCell ref="AO8:AQ8"/>
    <mergeCell ref="AX8:AZ8"/>
    <mergeCell ref="BG8:BI8"/>
    <mergeCell ref="BP8:BR8"/>
    <mergeCell ref="BY8:CA8"/>
    <mergeCell ref="BY6:CA6"/>
    <mergeCell ref="CH6:CJ6"/>
    <mergeCell ref="CQ6:CS6"/>
    <mergeCell ref="AO7:AQ7"/>
    <mergeCell ref="AX7:AZ7"/>
    <mergeCell ref="BG7:BI7"/>
    <mergeCell ref="BP7:BR7"/>
    <mergeCell ref="BY7:CA7"/>
    <mergeCell ref="CH7:CJ7"/>
    <mergeCell ref="CQ7:CS7"/>
    <mergeCell ref="AO6:AQ6"/>
    <mergeCell ref="AX6:AZ6"/>
    <mergeCell ref="BG6:BI6"/>
    <mergeCell ref="BP6:BR6"/>
    <mergeCell ref="AJ4:AJ5"/>
    <mergeCell ref="AB6:AC6"/>
    <mergeCell ref="AF6:AH6"/>
    <mergeCell ref="AF7:AH7"/>
    <mergeCell ref="AF8:AH8"/>
    <mergeCell ref="AF9:AH9"/>
    <mergeCell ref="AF10:AH10"/>
    <mergeCell ref="AF11:AH11"/>
    <mergeCell ref="E11:G11"/>
    <mergeCell ref="N11:P11"/>
    <mergeCell ref="W11:Y11"/>
    <mergeCell ref="E9:G9"/>
    <mergeCell ref="N9:P9"/>
    <mergeCell ref="E10:G10"/>
    <mergeCell ref="N10:P10"/>
    <mergeCell ref="W10:Y10"/>
    <mergeCell ref="B1:K1"/>
    <mergeCell ref="B3:J3"/>
    <mergeCell ref="I4:I5"/>
    <mergeCell ref="R4:R5"/>
    <mergeCell ref="AA4:AA5"/>
    <mergeCell ref="A6:B6"/>
    <mergeCell ref="J6:K6"/>
    <mergeCell ref="N6:P6"/>
    <mergeCell ref="S6:T6"/>
    <mergeCell ref="W9:Y9"/>
    <mergeCell ref="W6:Y6"/>
    <mergeCell ref="E7:G7"/>
    <mergeCell ref="N7:P7"/>
    <mergeCell ref="W7:Y7"/>
    <mergeCell ref="E8:G8"/>
    <mergeCell ref="N8:P8"/>
    <mergeCell ref="W8:Y8"/>
    <mergeCell ref="E6:G6"/>
  </mergeCells>
  <phoneticPr fontId="2" type="noConversion"/>
  <conditionalFormatting sqref="H7">
    <cfRule type="containsBlanks" priority="268" stopIfTrue="1">
      <formula>LEN(TRIM(H7))=0</formula>
    </cfRule>
    <cfRule type="cellIs" dxfId="3035" priority="269" stopIfTrue="1" operator="greaterThan">
      <formula>-30</formula>
    </cfRule>
    <cfRule type="cellIs" dxfId="3034" priority="270" stopIfTrue="1" operator="between">
      <formula>-33</formula>
      <formula>-30</formula>
    </cfRule>
  </conditionalFormatting>
  <conditionalFormatting sqref="H8">
    <cfRule type="containsBlanks" priority="265" stopIfTrue="1">
      <formula>LEN(TRIM(H8))=0</formula>
    </cfRule>
    <cfRule type="cellIs" dxfId="3033" priority="266" stopIfTrue="1" operator="greaterThan">
      <formula>-30</formula>
    </cfRule>
    <cfRule type="cellIs" dxfId="3032" priority="267" stopIfTrue="1" operator="between">
      <formula>-33</formula>
      <formula>-30</formula>
    </cfRule>
  </conditionalFormatting>
  <conditionalFormatting sqref="H9">
    <cfRule type="containsBlanks" priority="262" stopIfTrue="1">
      <formula>LEN(TRIM(H9))=0</formula>
    </cfRule>
    <cfRule type="cellIs" dxfId="3031" priority="263" stopIfTrue="1" operator="greaterThan">
      <formula>-30</formula>
    </cfRule>
    <cfRule type="cellIs" dxfId="3030" priority="264" stopIfTrue="1" operator="between">
      <formula>-33</formula>
      <formula>-30</formula>
    </cfRule>
  </conditionalFormatting>
  <conditionalFormatting sqref="Q7">
    <cfRule type="containsBlanks" priority="259" stopIfTrue="1">
      <formula>LEN(TRIM(Q7))=0</formula>
    </cfRule>
    <cfRule type="cellIs" dxfId="3029" priority="260" stopIfTrue="1" operator="greaterThan">
      <formula>-30</formula>
    </cfRule>
    <cfRule type="cellIs" dxfId="3028" priority="261" stopIfTrue="1" operator="between">
      <formula>-33</formula>
      <formula>-30</formula>
    </cfRule>
  </conditionalFormatting>
  <conditionalFormatting sqref="Q8">
    <cfRule type="containsBlanks" priority="256" stopIfTrue="1">
      <formula>LEN(TRIM(Q8))=0</formula>
    </cfRule>
    <cfRule type="cellIs" dxfId="3027" priority="257" stopIfTrue="1" operator="greaterThan">
      <formula>-30</formula>
    </cfRule>
    <cfRule type="cellIs" dxfId="3026" priority="258" stopIfTrue="1" operator="between">
      <formula>-33</formula>
      <formula>-30</formula>
    </cfRule>
  </conditionalFormatting>
  <conditionalFormatting sqref="Q9">
    <cfRule type="containsBlanks" priority="253" stopIfTrue="1">
      <formula>LEN(TRIM(Q9))=0</formula>
    </cfRule>
    <cfRule type="cellIs" dxfId="3025" priority="254" stopIfTrue="1" operator="greaterThan">
      <formula>-30</formula>
    </cfRule>
    <cfRule type="cellIs" dxfId="3024" priority="255" stopIfTrue="1" operator="between">
      <formula>-33</formula>
      <formula>-30</formula>
    </cfRule>
  </conditionalFormatting>
  <conditionalFormatting sqref="Z7">
    <cfRule type="containsBlanks" priority="250" stopIfTrue="1">
      <formula>LEN(TRIM(Z7))=0</formula>
    </cfRule>
    <cfRule type="cellIs" dxfId="3023" priority="251" stopIfTrue="1" operator="greaterThan">
      <formula>-30</formula>
    </cfRule>
    <cfRule type="cellIs" dxfId="3022" priority="252" stopIfTrue="1" operator="between">
      <formula>-33</formula>
      <formula>-30</formula>
    </cfRule>
  </conditionalFormatting>
  <conditionalFormatting sqref="Z8">
    <cfRule type="containsBlanks" priority="247" stopIfTrue="1">
      <formula>LEN(TRIM(Z8))=0</formula>
    </cfRule>
    <cfRule type="cellIs" dxfId="3021" priority="248" stopIfTrue="1" operator="greaterThan">
      <formula>-30</formula>
    </cfRule>
    <cfRule type="cellIs" dxfId="3020" priority="249" stopIfTrue="1" operator="between">
      <formula>-33</formula>
      <formula>-30</formula>
    </cfRule>
  </conditionalFormatting>
  <conditionalFormatting sqref="Z9">
    <cfRule type="containsBlanks" priority="244" stopIfTrue="1">
      <formula>LEN(TRIM(Z9))=0</formula>
    </cfRule>
    <cfRule type="cellIs" dxfId="3019" priority="245" stopIfTrue="1" operator="greaterThan">
      <formula>-30</formula>
    </cfRule>
    <cfRule type="cellIs" dxfId="3018" priority="246" stopIfTrue="1" operator="between">
      <formula>-33</formula>
      <formula>-30</formula>
    </cfRule>
  </conditionalFormatting>
  <conditionalFormatting sqref="AI7">
    <cfRule type="containsBlanks" priority="241" stopIfTrue="1">
      <formula>LEN(TRIM(AI7))=0</formula>
    </cfRule>
    <cfRule type="cellIs" dxfId="3017" priority="242" stopIfTrue="1" operator="greaterThan">
      <formula>-30</formula>
    </cfRule>
    <cfRule type="cellIs" dxfId="3016" priority="243" stopIfTrue="1" operator="between">
      <formula>-33</formula>
      <formula>-30</formula>
    </cfRule>
  </conditionalFormatting>
  <conditionalFormatting sqref="AI8">
    <cfRule type="containsBlanks" priority="238" stopIfTrue="1">
      <formula>LEN(TRIM(AI8))=0</formula>
    </cfRule>
    <cfRule type="cellIs" dxfId="3015" priority="239" stopIfTrue="1" operator="greaterThan">
      <formula>-30</formula>
    </cfRule>
    <cfRule type="cellIs" dxfId="3014" priority="240" stopIfTrue="1" operator="between">
      <formula>-33</formula>
      <formula>-30</formula>
    </cfRule>
  </conditionalFormatting>
  <conditionalFormatting sqref="AI9">
    <cfRule type="containsBlanks" priority="235" stopIfTrue="1">
      <formula>LEN(TRIM(AI9))=0</formula>
    </cfRule>
    <cfRule type="cellIs" dxfId="3013" priority="236" stopIfTrue="1" operator="greaterThan">
      <formula>-30</formula>
    </cfRule>
    <cfRule type="cellIs" dxfId="3012" priority="237" stopIfTrue="1" operator="between">
      <formula>-33</formula>
      <formula>-30</formula>
    </cfRule>
  </conditionalFormatting>
  <conditionalFormatting sqref="AR7">
    <cfRule type="containsBlanks" priority="232" stopIfTrue="1">
      <formula>LEN(TRIM(AR7))=0</formula>
    </cfRule>
    <cfRule type="cellIs" dxfId="3011" priority="233" stopIfTrue="1" operator="greaterThan">
      <formula>-30</formula>
    </cfRule>
    <cfRule type="cellIs" dxfId="3010" priority="234" stopIfTrue="1" operator="between">
      <formula>-33</formula>
      <formula>-30</formula>
    </cfRule>
  </conditionalFormatting>
  <conditionalFormatting sqref="AR8">
    <cfRule type="containsBlanks" priority="229" stopIfTrue="1">
      <formula>LEN(TRIM(AR8))=0</formula>
    </cfRule>
    <cfRule type="cellIs" dxfId="3009" priority="230" stopIfTrue="1" operator="greaterThan">
      <formula>-30</formula>
    </cfRule>
    <cfRule type="cellIs" dxfId="3008" priority="231" stopIfTrue="1" operator="between">
      <formula>-33</formula>
      <formula>-30</formula>
    </cfRule>
  </conditionalFormatting>
  <conditionalFormatting sqref="AR9">
    <cfRule type="containsBlanks" priority="226" stopIfTrue="1">
      <formula>LEN(TRIM(AR9))=0</formula>
    </cfRule>
    <cfRule type="cellIs" dxfId="3007" priority="227" stopIfTrue="1" operator="greaterThan">
      <formula>-30</formula>
    </cfRule>
    <cfRule type="cellIs" dxfId="3006" priority="228" stopIfTrue="1" operator="between">
      <formula>-33</formula>
      <formula>-30</formula>
    </cfRule>
  </conditionalFormatting>
  <conditionalFormatting sqref="BA7">
    <cfRule type="containsBlanks" priority="223" stopIfTrue="1">
      <formula>LEN(TRIM(BA7))=0</formula>
    </cfRule>
    <cfRule type="cellIs" dxfId="3005" priority="224" stopIfTrue="1" operator="greaterThan">
      <formula>-30</formula>
    </cfRule>
    <cfRule type="cellIs" dxfId="3004" priority="225" stopIfTrue="1" operator="between">
      <formula>-33</formula>
      <formula>-30</formula>
    </cfRule>
  </conditionalFormatting>
  <conditionalFormatting sqref="BA8">
    <cfRule type="containsBlanks" priority="220" stopIfTrue="1">
      <formula>LEN(TRIM(BA8))=0</formula>
    </cfRule>
    <cfRule type="cellIs" dxfId="3003" priority="221" stopIfTrue="1" operator="greaterThan">
      <formula>-30</formula>
    </cfRule>
    <cfRule type="cellIs" dxfId="3002" priority="222" stopIfTrue="1" operator="between">
      <formula>-33</formula>
      <formula>-30</formula>
    </cfRule>
  </conditionalFormatting>
  <conditionalFormatting sqref="BA9">
    <cfRule type="containsBlanks" priority="217" stopIfTrue="1">
      <formula>LEN(TRIM(BA9))=0</formula>
    </cfRule>
    <cfRule type="cellIs" dxfId="3001" priority="218" stopIfTrue="1" operator="greaterThan">
      <formula>-30</formula>
    </cfRule>
    <cfRule type="cellIs" dxfId="3000" priority="219" stopIfTrue="1" operator="between">
      <formula>-33</formula>
      <formula>-30</formula>
    </cfRule>
  </conditionalFormatting>
  <conditionalFormatting sqref="BJ7">
    <cfRule type="containsBlanks" priority="214" stopIfTrue="1">
      <formula>LEN(TRIM(BJ7))=0</formula>
    </cfRule>
    <cfRule type="cellIs" dxfId="2999" priority="215" stopIfTrue="1" operator="greaterThan">
      <formula>-30</formula>
    </cfRule>
    <cfRule type="cellIs" dxfId="2998" priority="216" stopIfTrue="1" operator="between">
      <formula>-33</formula>
      <formula>-30</formula>
    </cfRule>
  </conditionalFormatting>
  <conditionalFormatting sqref="BJ8">
    <cfRule type="containsBlanks" priority="211" stopIfTrue="1">
      <formula>LEN(TRIM(BJ8))=0</formula>
    </cfRule>
    <cfRule type="cellIs" dxfId="2997" priority="212" stopIfTrue="1" operator="greaterThan">
      <formula>-30</formula>
    </cfRule>
    <cfRule type="cellIs" dxfId="2996" priority="213" stopIfTrue="1" operator="between">
      <formula>-33</formula>
      <formula>-30</formula>
    </cfRule>
  </conditionalFormatting>
  <conditionalFormatting sqref="BJ9">
    <cfRule type="containsBlanks" priority="208" stopIfTrue="1">
      <formula>LEN(TRIM(BJ9))=0</formula>
    </cfRule>
    <cfRule type="cellIs" dxfId="2995" priority="209" stopIfTrue="1" operator="greaterThan">
      <formula>-30</formula>
    </cfRule>
    <cfRule type="cellIs" dxfId="2994" priority="210" stopIfTrue="1" operator="between">
      <formula>-33</formula>
      <formula>-30</formula>
    </cfRule>
  </conditionalFormatting>
  <conditionalFormatting sqref="BS7">
    <cfRule type="containsBlanks" priority="205" stopIfTrue="1">
      <formula>LEN(TRIM(BS7))=0</formula>
    </cfRule>
    <cfRule type="cellIs" dxfId="2993" priority="206" stopIfTrue="1" operator="greaterThan">
      <formula>-30</formula>
    </cfRule>
    <cfRule type="cellIs" dxfId="2992" priority="207" stopIfTrue="1" operator="between">
      <formula>-33</formula>
      <formula>-30</formula>
    </cfRule>
  </conditionalFormatting>
  <conditionalFormatting sqref="BS8">
    <cfRule type="containsBlanks" priority="202" stopIfTrue="1">
      <formula>LEN(TRIM(BS8))=0</formula>
    </cfRule>
    <cfRule type="cellIs" dxfId="2991" priority="203" stopIfTrue="1" operator="greaterThan">
      <formula>-30</formula>
    </cfRule>
    <cfRule type="cellIs" dxfId="2990" priority="204" stopIfTrue="1" operator="between">
      <formula>-33</formula>
      <formula>-30</formula>
    </cfRule>
  </conditionalFormatting>
  <conditionalFormatting sqref="BS9">
    <cfRule type="containsBlanks" priority="199" stopIfTrue="1">
      <formula>LEN(TRIM(BS9))=0</formula>
    </cfRule>
    <cfRule type="cellIs" dxfId="2989" priority="200" stopIfTrue="1" operator="greaterThan">
      <formula>-30</formula>
    </cfRule>
    <cfRule type="cellIs" dxfId="2988" priority="201" stopIfTrue="1" operator="between">
      <formula>-33</formula>
      <formula>-30</formula>
    </cfRule>
  </conditionalFormatting>
  <conditionalFormatting sqref="CB7">
    <cfRule type="containsBlanks" priority="196" stopIfTrue="1">
      <formula>LEN(TRIM(CB7))=0</formula>
    </cfRule>
    <cfRule type="cellIs" dxfId="2987" priority="197" stopIfTrue="1" operator="greaterThan">
      <formula>-30</formula>
    </cfRule>
    <cfRule type="cellIs" dxfId="2986" priority="198" stopIfTrue="1" operator="between">
      <formula>-33</formula>
      <formula>-30</formula>
    </cfRule>
  </conditionalFormatting>
  <conditionalFormatting sqref="CB8">
    <cfRule type="containsBlanks" priority="193" stopIfTrue="1">
      <formula>LEN(TRIM(CB8))=0</formula>
    </cfRule>
    <cfRule type="cellIs" dxfId="2985" priority="194" stopIfTrue="1" operator="greaterThan">
      <formula>-30</formula>
    </cfRule>
    <cfRule type="cellIs" dxfId="2984" priority="195" stopIfTrue="1" operator="between">
      <formula>-33</formula>
      <formula>-30</formula>
    </cfRule>
  </conditionalFormatting>
  <conditionalFormatting sqref="CB9">
    <cfRule type="containsBlanks" priority="190" stopIfTrue="1">
      <formula>LEN(TRIM(CB9))=0</formula>
    </cfRule>
    <cfRule type="cellIs" dxfId="2983" priority="191" stopIfTrue="1" operator="greaterThan">
      <formula>-30</formula>
    </cfRule>
    <cfRule type="cellIs" dxfId="2982" priority="192" stopIfTrue="1" operator="between">
      <formula>-33</formula>
      <formula>-30</formula>
    </cfRule>
  </conditionalFormatting>
  <conditionalFormatting sqref="Z7">
    <cfRule type="containsBlanks" priority="187" stopIfTrue="1">
      <formula>LEN(TRIM(Z7))=0</formula>
    </cfRule>
    <cfRule type="cellIs" dxfId="2981" priority="188" stopIfTrue="1" operator="greaterThan">
      <formula>-30</formula>
    </cfRule>
    <cfRule type="cellIs" dxfId="2980" priority="189" stopIfTrue="1" operator="between">
      <formula>-33</formula>
      <formula>-30</formula>
    </cfRule>
  </conditionalFormatting>
  <conditionalFormatting sqref="Z8">
    <cfRule type="containsBlanks" priority="184" stopIfTrue="1">
      <formula>LEN(TRIM(Z8))=0</formula>
    </cfRule>
    <cfRule type="cellIs" dxfId="2979" priority="185" stopIfTrue="1" operator="greaterThan">
      <formula>-30</formula>
    </cfRule>
    <cfRule type="cellIs" dxfId="2978" priority="186" stopIfTrue="1" operator="between">
      <formula>-33</formula>
      <formula>-30</formula>
    </cfRule>
  </conditionalFormatting>
  <conditionalFormatting sqref="Z9">
    <cfRule type="containsBlanks" priority="181" stopIfTrue="1">
      <formula>LEN(TRIM(Z9))=0</formula>
    </cfRule>
    <cfRule type="cellIs" dxfId="2977" priority="182" stopIfTrue="1" operator="greaterThan">
      <formula>-30</formula>
    </cfRule>
    <cfRule type="cellIs" dxfId="2976" priority="183" stopIfTrue="1" operator="between">
      <formula>-33</formula>
      <formula>-30</formula>
    </cfRule>
  </conditionalFormatting>
  <conditionalFormatting sqref="AI7">
    <cfRule type="containsBlanks" priority="178" stopIfTrue="1">
      <formula>LEN(TRIM(AI7))=0</formula>
    </cfRule>
    <cfRule type="cellIs" dxfId="2975" priority="179" stopIfTrue="1" operator="greaterThan">
      <formula>-30</formula>
    </cfRule>
    <cfRule type="cellIs" dxfId="2974" priority="180" stopIfTrue="1" operator="between">
      <formula>-33</formula>
      <formula>-30</formula>
    </cfRule>
  </conditionalFormatting>
  <conditionalFormatting sqref="AI8">
    <cfRule type="containsBlanks" priority="175" stopIfTrue="1">
      <formula>LEN(TRIM(AI8))=0</formula>
    </cfRule>
    <cfRule type="cellIs" dxfId="2973" priority="176" stopIfTrue="1" operator="greaterThan">
      <formula>-30</formula>
    </cfRule>
    <cfRule type="cellIs" dxfId="2972" priority="177" stopIfTrue="1" operator="between">
      <formula>-33</formula>
      <formula>-30</formula>
    </cfRule>
  </conditionalFormatting>
  <conditionalFormatting sqref="AI9">
    <cfRule type="containsBlanks" priority="172" stopIfTrue="1">
      <formula>LEN(TRIM(AI9))=0</formula>
    </cfRule>
    <cfRule type="cellIs" dxfId="2971" priority="173" stopIfTrue="1" operator="greaterThan">
      <formula>-30</formula>
    </cfRule>
    <cfRule type="cellIs" dxfId="2970" priority="174" stopIfTrue="1" operator="between">
      <formula>-33</formula>
      <formula>-30</formula>
    </cfRule>
  </conditionalFormatting>
  <conditionalFormatting sqref="AR7">
    <cfRule type="containsBlanks" priority="169" stopIfTrue="1">
      <formula>LEN(TRIM(AR7))=0</formula>
    </cfRule>
    <cfRule type="cellIs" dxfId="2969" priority="170" stopIfTrue="1" operator="greaterThan">
      <formula>-30</formula>
    </cfRule>
    <cfRule type="cellIs" dxfId="2968" priority="171" stopIfTrue="1" operator="between">
      <formula>-33</formula>
      <formula>-30</formula>
    </cfRule>
  </conditionalFormatting>
  <conditionalFormatting sqref="AR8">
    <cfRule type="containsBlanks" priority="166" stopIfTrue="1">
      <formula>LEN(TRIM(AR8))=0</formula>
    </cfRule>
    <cfRule type="cellIs" dxfId="2967" priority="167" stopIfTrue="1" operator="greaterThan">
      <formula>-30</formula>
    </cfRule>
    <cfRule type="cellIs" dxfId="2966" priority="168" stopIfTrue="1" operator="between">
      <formula>-33</formula>
      <formula>-30</formula>
    </cfRule>
  </conditionalFormatting>
  <conditionalFormatting sqref="AR9">
    <cfRule type="containsBlanks" priority="163" stopIfTrue="1">
      <formula>LEN(TRIM(AR9))=0</formula>
    </cfRule>
    <cfRule type="cellIs" dxfId="2965" priority="164" stopIfTrue="1" operator="greaterThan">
      <formula>-30</formula>
    </cfRule>
    <cfRule type="cellIs" dxfId="2964" priority="165" stopIfTrue="1" operator="between">
      <formula>-33</formula>
      <formula>-30</formula>
    </cfRule>
  </conditionalFormatting>
  <conditionalFormatting sqref="BA7">
    <cfRule type="containsBlanks" priority="160" stopIfTrue="1">
      <formula>LEN(TRIM(BA7))=0</formula>
    </cfRule>
    <cfRule type="cellIs" dxfId="2963" priority="161" stopIfTrue="1" operator="greaterThan">
      <formula>-30</formula>
    </cfRule>
    <cfRule type="cellIs" dxfId="2962" priority="162" stopIfTrue="1" operator="between">
      <formula>-33</formula>
      <formula>-30</formula>
    </cfRule>
  </conditionalFormatting>
  <conditionalFormatting sqref="BA8">
    <cfRule type="containsBlanks" priority="157" stopIfTrue="1">
      <formula>LEN(TRIM(BA8))=0</formula>
    </cfRule>
    <cfRule type="cellIs" dxfId="2961" priority="158" stopIfTrue="1" operator="greaterThan">
      <formula>-30</formula>
    </cfRule>
    <cfRule type="cellIs" dxfId="2960" priority="159" stopIfTrue="1" operator="between">
      <formula>-33</formula>
      <formula>-30</formula>
    </cfRule>
  </conditionalFormatting>
  <conditionalFormatting sqref="BA9">
    <cfRule type="containsBlanks" priority="154" stopIfTrue="1">
      <formula>LEN(TRIM(BA9))=0</formula>
    </cfRule>
    <cfRule type="cellIs" dxfId="2959" priority="155" stopIfTrue="1" operator="greaterThan">
      <formula>-30</formula>
    </cfRule>
    <cfRule type="cellIs" dxfId="2958" priority="156" stopIfTrue="1" operator="between">
      <formula>-33</formula>
      <formula>-30</formula>
    </cfRule>
  </conditionalFormatting>
  <conditionalFormatting sqref="BJ7">
    <cfRule type="containsBlanks" priority="151" stopIfTrue="1">
      <formula>LEN(TRIM(BJ7))=0</formula>
    </cfRule>
    <cfRule type="cellIs" dxfId="2957" priority="152" stopIfTrue="1" operator="greaterThan">
      <formula>-30</formula>
    </cfRule>
    <cfRule type="cellIs" dxfId="2956" priority="153" stopIfTrue="1" operator="between">
      <formula>-33</formula>
      <formula>-30</formula>
    </cfRule>
  </conditionalFormatting>
  <conditionalFormatting sqref="BJ8">
    <cfRule type="containsBlanks" priority="148" stopIfTrue="1">
      <formula>LEN(TRIM(BJ8))=0</formula>
    </cfRule>
    <cfRule type="cellIs" dxfId="2955" priority="149" stopIfTrue="1" operator="greaterThan">
      <formula>-30</formula>
    </cfRule>
    <cfRule type="cellIs" dxfId="2954" priority="150" stopIfTrue="1" operator="between">
      <formula>-33</formula>
      <formula>-30</formula>
    </cfRule>
  </conditionalFormatting>
  <conditionalFormatting sqref="BJ9">
    <cfRule type="containsBlanks" priority="145" stopIfTrue="1">
      <formula>LEN(TRIM(BJ9))=0</formula>
    </cfRule>
    <cfRule type="cellIs" dxfId="2953" priority="146" stopIfTrue="1" operator="greaterThan">
      <formula>-30</formula>
    </cfRule>
    <cfRule type="cellIs" dxfId="2952" priority="147" stopIfTrue="1" operator="between">
      <formula>-33</formula>
      <formula>-30</formula>
    </cfRule>
  </conditionalFormatting>
  <conditionalFormatting sqref="BS7">
    <cfRule type="containsBlanks" priority="142" stopIfTrue="1">
      <formula>LEN(TRIM(BS7))=0</formula>
    </cfRule>
    <cfRule type="cellIs" dxfId="2951" priority="143" stopIfTrue="1" operator="greaterThan">
      <formula>-30</formula>
    </cfRule>
    <cfRule type="cellIs" dxfId="2950" priority="144" stopIfTrue="1" operator="between">
      <formula>-33</formula>
      <formula>-30</formula>
    </cfRule>
  </conditionalFormatting>
  <conditionalFormatting sqref="BS8">
    <cfRule type="containsBlanks" priority="139" stopIfTrue="1">
      <formula>LEN(TRIM(BS8))=0</formula>
    </cfRule>
    <cfRule type="cellIs" dxfId="2949" priority="140" stopIfTrue="1" operator="greaterThan">
      <formula>-30</formula>
    </cfRule>
    <cfRule type="cellIs" dxfId="2948" priority="141" stopIfTrue="1" operator="between">
      <formula>-33</formula>
      <formula>-30</formula>
    </cfRule>
  </conditionalFormatting>
  <conditionalFormatting sqref="BS9">
    <cfRule type="containsBlanks" priority="136" stopIfTrue="1">
      <formula>LEN(TRIM(BS9))=0</formula>
    </cfRule>
    <cfRule type="cellIs" dxfId="2947" priority="137" stopIfTrue="1" operator="greaterThan">
      <formula>-30</formula>
    </cfRule>
    <cfRule type="cellIs" dxfId="2946" priority="138" stopIfTrue="1" operator="between">
      <formula>-33</formula>
      <formula>-30</formula>
    </cfRule>
  </conditionalFormatting>
  <conditionalFormatting sqref="CB7">
    <cfRule type="containsBlanks" priority="133" stopIfTrue="1">
      <formula>LEN(TRIM(CB7))=0</formula>
    </cfRule>
    <cfRule type="cellIs" dxfId="2945" priority="134" stopIfTrue="1" operator="greaterThan">
      <formula>-30</formula>
    </cfRule>
    <cfRule type="cellIs" dxfId="2944" priority="135" stopIfTrue="1" operator="between">
      <formula>-33</formula>
      <formula>-30</formula>
    </cfRule>
  </conditionalFormatting>
  <conditionalFormatting sqref="CB8">
    <cfRule type="containsBlanks" priority="130" stopIfTrue="1">
      <formula>LEN(TRIM(CB8))=0</formula>
    </cfRule>
    <cfRule type="cellIs" dxfId="2943" priority="131" stopIfTrue="1" operator="greaterThan">
      <formula>-30</formula>
    </cfRule>
    <cfRule type="cellIs" dxfId="2942" priority="132" stopIfTrue="1" operator="between">
      <formula>-33</formula>
      <formula>-30</formula>
    </cfRule>
  </conditionalFormatting>
  <conditionalFormatting sqref="CB9">
    <cfRule type="containsBlanks" priority="127" stopIfTrue="1">
      <formula>LEN(TRIM(CB9))=0</formula>
    </cfRule>
    <cfRule type="cellIs" dxfId="2941" priority="128" stopIfTrue="1" operator="greaterThan">
      <formula>-30</formula>
    </cfRule>
    <cfRule type="cellIs" dxfId="2940" priority="129" stopIfTrue="1" operator="between">
      <formula>-33</formula>
      <formula>-30</formula>
    </cfRule>
  </conditionalFormatting>
  <conditionalFormatting sqref="CK7">
    <cfRule type="containsBlanks" priority="124" stopIfTrue="1">
      <formula>LEN(TRIM(CK7))=0</formula>
    </cfRule>
    <cfRule type="cellIs" dxfId="2939" priority="125" stopIfTrue="1" operator="greaterThan">
      <formula>-30</formula>
    </cfRule>
    <cfRule type="cellIs" dxfId="2938" priority="126" stopIfTrue="1" operator="between">
      <formula>-33</formula>
      <formula>-30</formula>
    </cfRule>
  </conditionalFormatting>
  <conditionalFormatting sqref="CK8">
    <cfRule type="containsBlanks" priority="121" stopIfTrue="1">
      <formula>LEN(TRIM(CK8))=0</formula>
    </cfRule>
    <cfRule type="cellIs" dxfId="2937" priority="122" stopIfTrue="1" operator="greaterThan">
      <formula>-30</formula>
    </cfRule>
    <cfRule type="cellIs" dxfId="2936" priority="123" stopIfTrue="1" operator="between">
      <formula>-33</formula>
      <formula>-30</formula>
    </cfRule>
  </conditionalFormatting>
  <conditionalFormatting sqref="CK9">
    <cfRule type="containsBlanks" priority="118" stopIfTrue="1">
      <formula>LEN(TRIM(CK9))=0</formula>
    </cfRule>
    <cfRule type="cellIs" dxfId="2935" priority="119" stopIfTrue="1" operator="greaterThan">
      <formula>-30</formula>
    </cfRule>
    <cfRule type="cellIs" dxfId="2934" priority="120" stopIfTrue="1" operator="between">
      <formula>-33</formula>
      <formula>-30</formula>
    </cfRule>
  </conditionalFormatting>
  <conditionalFormatting sqref="CT7">
    <cfRule type="containsBlanks" priority="115" stopIfTrue="1">
      <formula>LEN(TRIM(CT7))=0</formula>
    </cfRule>
    <cfRule type="cellIs" dxfId="2933" priority="116" stopIfTrue="1" operator="greaterThan">
      <formula>-30</formula>
    </cfRule>
    <cfRule type="cellIs" dxfId="2932" priority="117" stopIfTrue="1" operator="between">
      <formula>-33</formula>
      <formula>-30</formula>
    </cfRule>
  </conditionalFormatting>
  <conditionalFormatting sqref="CT8">
    <cfRule type="containsBlanks" priority="112" stopIfTrue="1">
      <formula>LEN(TRIM(CT8))=0</formula>
    </cfRule>
    <cfRule type="cellIs" dxfId="2931" priority="113" stopIfTrue="1" operator="greaterThan">
      <formula>-30</formula>
    </cfRule>
    <cfRule type="cellIs" dxfId="2930" priority="114" stopIfTrue="1" operator="between">
      <formula>-33</formula>
      <formula>-30</formula>
    </cfRule>
  </conditionalFormatting>
  <conditionalFormatting sqref="CT9">
    <cfRule type="containsBlanks" priority="109" stopIfTrue="1">
      <formula>LEN(TRIM(CT9))=0</formula>
    </cfRule>
    <cfRule type="cellIs" dxfId="2929" priority="110" stopIfTrue="1" operator="greaterThan">
      <formula>-30</formula>
    </cfRule>
    <cfRule type="cellIs" dxfId="2928" priority="111" stopIfTrue="1" operator="between">
      <formula>-33</formula>
      <formula>-30</formula>
    </cfRule>
  </conditionalFormatting>
  <conditionalFormatting sqref="H10">
    <cfRule type="containsBlanks" priority="106" stopIfTrue="1">
      <formula>LEN(TRIM(H10))=0</formula>
    </cfRule>
    <cfRule type="cellIs" dxfId="2927" priority="107" stopIfTrue="1" operator="greaterThan">
      <formula>-30</formula>
    </cfRule>
    <cfRule type="cellIs" dxfId="2926" priority="108" stopIfTrue="1" operator="between">
      <formula>-33</formula>
      <formula>-30</formula>
    </cfRule>
  </conditionalFormatting>
  <conditionalFormatting sqref="H11">
    <cfRule type="containsBlanks" priority="103" stopIfTrue="1">
      <formula>LEN(TRIM(H11))=0</formula>
    </cfRule>
    <cfRule type="cellIs" dxfId="2925" priority="104" stopIfTrue="1" operator="greaterThan">
      <formula>-30</formula>
    </cfRule>
    <cfRule type="cellIs" dxfId="2924" priority="105" stopIfTrue="1" operator="between">
      <formula>-33</formula>
      <formula>-30</formula>
    </cfRule>
  </conditionalFormatting>
  <conditionalFormatting sqref="Q10">
    <cfRule type="containsBlanks" priority="100" stopIfTrue="1">
      <formula>LEN(TRIM(Q10))=0</formula>
    </cfRule>
    <cfRule type="cellIs" dxfId="2923" priority="101" stopIfTrue="1" operator="greaterThan">
      <formula>-30</formula>
    </cfRule>
    <cfRule type="cellIs" dxfId="2922" priority="102" stopIfTrue="1" operator="between">
      <formula>-33</formula>
      <formula>-30</formula>
    </cfRule>
  </conditionalFormatting>
  <conditionalFormatting sqref="Q11">
    <cfRule type="containsBlanks" priority="97" stopIfTrue="1">
      <formula>LEN(TRIM(Q11))=0</formula>
    </cfRule>
    <cfRule type="cellIs" dxfId="2921" priority="98" stopIfTrue="1" operator="greaterThan">
      <formula>-30</formula>
    </cfRule>
    <cfRule type="cellIs" dxfId="2920" priority="99" stopIfTrue="1" operator="between">
      <formula>-33</formula>
      <formula>-30</formula>
    </cfRule>
  </conditionalFormatting>
  <conditionalFormatting sqref="Z10">
    <cfRule type="containsBlanks" priority="94" stopIfTrue="1">
      <formula>LEN(TRIM(Z10))=0</formula>
    </cfRule>
    <cfRule type="cellIs" dxfId="2919" priority="95" stopIfTrue="1" operator="greaterThan">
      <formula>-30</formula>
    </cfRule>
    <cfRule type="cellIs" dxfId="2918" priority="96" stopIfTrue="1" operator="between">
      <formula>-33</formula>
      <formula>-30</formula>
    </cfRule>
  </conditionalFormatting>
  <conditionalFormatting sqref="Z11">
    <cfRule type="containsBlanks" priority="91" stopIfTrue="1">
      <formula>LEN(TRIM(Z11))=0</formula>
    </cfRule>
    <cfRule type="cellIs" dxfId="2917" priority="92" stopIfTrue="1" operator="greaterThan">
      <formula>-30</formula>
    </cfRule>
    <cfRule type="cellIs" dxfId="2916" priority="93" stopIfTrue="1" operator="between">
      <formula>-33</formula>
      <formula>-30</formula>
    </cfRule>
  </conditionalFormatting>
  <conditionalFormatting sqref="AI10">
    <cfRule type="containsBlanks" priority="88" stopIfTrue="1">
      <formula>LEN(TRIM(AI10))=0</formula>
    </cfRule>
    <cfRule type="cellIs" dxfId="2915" priority="89" stopIfTrue="1" operator="greaterThan">
      <formula>-30</formula>
    </cfRule>
    <cfRule type="cellIs" dxfId="2914" priority="90" stopIfTrue="1" operator="between">
      <formula>-33</formula>
      <formula>-30</formula>
    </cfRule>
  </conditionalFormatting>
  <conditionalFormatting sqref="AI11">
    <cfRule type="containsBlanks" priority="85" stopIfTrue="1">
      <formula>LEN(TRIM(AI11))=0</formula>
    </cfRule>
    <cfRule type="cellIs" dxfId="2913" priority="86" stopIfTrue="1" operator="greaterThan">
      <formula>-30</formula>
    </cfRule>
    <cfRule type="cellIs" dxfId="2912" priority="87" stopIfTrue="1" operator="between">
      <formula>-33</formula>
      <formula>-30</formula>
    </cfRule>
  </conditionalFormatting>
  <conditionalFormatting sqref="AR10">
    <cfRule type="containsBlanks" priority="82" stopIfTrue="1">
      <formula>LEN(TRIM(AR10))=0</formula>
    </cfRule>
    <cfRule type="cellIs" dxfId="2911" priority="83" stopIfTrue="1" operator="greaterThan">
      <formula>-30</formula>
    </cfRule>
    <cfRule type="cellIs" dxfId="2910" priority="84" stopIfTrue="1" operator="between">
      <formula>-33</formula>
      <formula>-30</formula>
    </cfRule>
  </conditionalFormatting>
  <conditionalFormatting sqref="AR11">
    <cfRule type="containsBlanks" priority="79" stopIfTrue="1">
      <formula>LEN(TRIM(AR11))=0</formula>
    </cfRule>
    <cfRule type="cellIs" dxfId="2909" priority="80" stopIfTrue="1" operator="greaterThan">
      <formula>-30</formula>
    </cfRule>
    <cfRule type="cellIs" dxfId="2908" priority="81" stopIfTrue="1" operator="between">
      <formula>-33</formula>
      <formula>-30</formula>
    </cfRule>
  </conditionalFormatting>
  <conditionalFormatting sqref="BA10">
    <cfRule type="containsBlanks" priority="76" stopIfTrue="1">
      <formula>LEN(TRIM(BA10))=0</formula>
    </cfRule>
    <cfRule type="cellIs" dxfId="2907" priority="77" stopIfTrue="1" operator="greaterThan">
      <formula>-30</formula>
    </cfRule>
    <cfRule type="cellIs" dxfId="2906" priority="78" stopIfTrue="1" operator="between">
      <formula>-33</formula>
      <formula>-30</formula>
    </cfRule>
  </conditionalFormatting>
  <conditionalFormatting sqref="BA11">
    <cfRule type="containsBlanks" priority="73" stopIfTrue="1">
      <formula>LEN(TRIM(BA11))=0</formula>
    </cfRule>
    <cfRule type="cellIs" dxfId="2905" priority="74" stopIfTrue="1" operator="greaterThan">
      <formula>-30</formula>
    </cfRule>
    <cfRule type="cellIs" dxfId="2904" priority="75" stopIfTrue="1" operator="between">
      <formula>-33</formula>
      <formula>-30</formula>
    </cfRule>
  </conditionalFormatting>
  <conditionalFormatting sqref="BJ10">
    <cfRule type="containsBlanks" priority="70" stopIfTrue="1">
      <formula>LEN(TRIM(BJ10))=0</formula>
    </cfRule>
    <cfRule type="cellIs" dxfId="2903" priority="71" stopIfTrue="1" operator="greaterThan">
      <formula>-30</formula>
    </cfRule>
    <cfRule type="cellIs" dxfId="2902" priority="72" stopIfTrue="1" operator="between">
      <formula>-33</formula>
      <formula>-30</formula>
    </cfRule>
  </conditionalFormatting>
  <conditionalFormatting sqref="BJ11">
    <cfRule type="containsBlanks" priority="67" stopIfTrue="1">
      <formula>LEN(TRIM(BJ11))=0</formula>
    </cfRule>
    <cfRule type="cellIs" dxfId="2901" priority="68" stopIfTrue="1" operator="greaterThan">
      <formula>-30</formula>
    </cfRule>
    <cfRule type="cellIs" dxfId="2900" priority="69" stopIfTrue="1" operator="between">
      <formula>-33</formula>
      <formula>-30</formula>
    </cfRule>
  </conditionalFormatting>
  <conditionalFormatting sqref="BS10">
    <cfRule type="containsBlanks" priority="64" stopIfTrue="1">
      <formula>LEN(TRIM(BS10))=0</formula>
    </cfRule>
    <cfRule type="cellIs" dxfId="2899" priority="65" stopIfTrue="1" operator="greaterThan">
      <formula>-30</formula>
    </cfRule>
    <cfRule type="cellIs" dxfId="2898" priority="66" stopIfTrue="1" operator="between">
      <formula>-33</formula>
      <formula>-30</formula>
    </cfRule>
  </conditionalFormatting>
  <conditionalFormatting sqref="BS11">
    <cfRule type="containsBlanks" priority="61" stopIfTrue="1">
      <formula>LEN(TRIM(BS11))=0</formula>
    </cfRule>
    <cfRule type="cellIs" dxfId="2897" priority="62" stopIfTrue="1" operator="greaterThan">
      <formula>-30</formula>
    </cfRule>
    <cfRule type="cellIs" dxfId="2896" priority="63" stopIfTrue="1" operator="between">
      <formula>-33</formula>
      <formula>-30</formula>
    </cfRule>
  </conditionalFormatting>
  <conditionalFormatting sqref="CB10">
    <cfRule type="containsBlanks" priority="58" stopIfTrue="1">
      <formula>LEN(TRIM(CB10))=0</formula>
    </cfRule>
    <cfRule type="cellIs" dxfId="2895" priority="59" stopIfTrue="1" operator="greaterThan">
      <formula>-30</formula>
    </cfRule>
    <cfRule type="cellIs" dxfId="2894" priority="60" stopIfTrue="1" operator="between">
      <formula>-33</formula>
      <formula>-30</formula>
    </cfRule>
  </conditionalFormatting>
  <conditionalFormatting sqref="CB11">
    <cfRule type="containsBlanks" priority="55" stopIfTrue="1">
      <formula>LEN(TRIM(CB11))=0</formula>
    </cfRule>
    <cfRule type="cellIs" dxfId="2893" priority="56" stopIfTrue="1" operator="greaterThan">
      <formula>-30</formula>
    </cfRule>
    <cfRule type="cellIs" dxfId="2892" priority="57" stopIfTrue="1" operator="between">
      <formula>-33</formula>
      <formula>-30</formula>
    </cfRule>
  </conditionalFormatting>
  <conditionalFormatting sqref="Z10">
    <cfRule type="containsBlanks" priority="52" stopIfTrue="1">
      <formula>LEN(TRIM(Z10))=0</formula>
    </cfRule>
    <cfRule type="cellIs" dxfId="2891" priority="53" stopIfTrue="1" operator="greaterThan">
      <formula>-30</formula>
    </cfRule>
    <cfRule type="cellIs" dxfId="2890" priority="54" stopIfTrue="1" operator="between">
      <formula>-33</formula>
      <formula>-30</formula>
    </cfRule>
  </conditionalFormatting>
  <conditionalFormatting sqref="Z11">
    <cfRule type="containsBlanks" priority="49" stopIfTrue="1">
      <formula>LEN(TRIM(Z11))=0</formula>
    </cfRule>
    <cfRule type="cellIs" dxfId="2889" priority="50" stopIfTrue="1" operator="greaterThan">
      <formula>-30</formula>
    </cfRule>
    <cfRule type="cellIs" dxfId="2888" priority="51" stopIfTrue="1" operator="between">
      <formula>-33</formula>
      <formula>-30</formula>
    </cfRule>
  </conditionalFormatting>
  <conditionalFormatting sqref="AI10">
    <cfRule type="containsBlanks" priority="46" stopIfTrue="1">
      <formula>LEN(TRIM(AI10))=0</formula>
    </cfRule>
    <cfRule type="cellIs" dxfId="2887" priority="47" stopIfTrue="1" operator="greaterThan">
      <formula>-30</formula>
    </cfRule>
    <cfRule type="cellIs" dxfId="2886" priority="48" stopIfTrue="1" operator="between">
      <formula>-33</formula>
      <formula>-30</formula>
    </cfRule>
  </conditionalFormatting>
  <conditionalFormatting sqref="AI11">
    <cfRule type="containsBlanks" priority="43" stopIfTrue="1">
      <formula>LEN(TRIM(AI11))=0</formula>
    </cfRule>
    <cfRule type="cellIs" dxfId="2885" priority="44" stopIfTrue="1" operator="greaterThan">
      <formula>-30</formula>
    </cfRule>
    <cfRule type="cellIs" dxfId="2884" priority="45" stopIfTrue="1" operator="between">
      <formula>-33</formula>
      <formula>-30</formula>
    </cfRule>
  </conditionalFormatting>
  <conditionalFormatting sqref="AR10">
    <cfRule type="containsBlanks" priority="40" stopIfTrue="1">
      <formula>LEN(TRIM(AR10))=0</formula>
    </cfRule>
    <cfRule type="cellIs" dxfId="2883" priority="41" stopIfTrue="1" operator="greaterThan">
      <formula>-30</formula>
    </cfRule>
    <cfRule type="cellIs" dxfId="2882" priority="42" stopIfTrue="1" operator="between">
      <formula>-33</formula>
      <formula>-30</formula>
    </cfRule>
  </conditionalFormatting>
  <conditionalFormatting sqref="AR11">
    <cfRule type="containsBlanks" priority="37" stopIfTrue="1">
      <formula>LEN(TRIM(AR11))=0</formula>
    </cfRule>
    <cfRule type="cellIs" dxfId="2881" priority="38" stopIfTrue="1" operator="greaterThan">
      <formula>-30</formula>
    </cfRule>
    <cfRule type="cellIs" dxfId="2880" priority="39" stopIfTrue="1" operator="between">
      <formula>-33</formula>
      <formula>-30</formula>
    </cfRule>
  </conditionalFormatting>
  <conditionalFormatting sqref="BA10">
    <cfRule type="containsBlanks" priority="34" stopIfTrue="1">
      <formula>LEN(TRIM(BA10))=0</formula>
    </cfRule>
    <cfRule type="cellIs" dxfId="2879" priority="35" stopIfTrue="1" operator="greaterThan">
      <formula>-30</formula>
    </cfRule>
    <cfRule type="cellIs" dxfId="2878" priority="36" stopIfTrue="1" operator="between">
      <formula>-33</formula>
      <formula>-30</formula>
    </cfRule>
  </conditionalFormatting>
  <conditionalFormatting sqref="BA11">
    <cfRule type="containsBlanks" priority="31" stopIfTrue="1">
      <formula>LEN(TRIM(BA11))=0</formula>
    </cfRule>
    <cfRule type="cellIs" dxfId="2877" priority="32" stopIfTrue="1" operator="greaterThan">
      <formula>-30</formula>
    </cfRule>
    <cfRule type="cellIs" dxfId="2876" priority="33" stopIfTrue="1" operator="between">
      <formula>-33</formula>
      <formula>-30</formula>
    </cfRule>
  </conditionalFormatting>
  <conditionalFormatting sqref="BJ10">
    <cfRule type="containsBlanks" priority="28" stopIfTrue="1">
      <formula>LEN(TRIM(BJ10))=0</formula>
    </cfRule>
    <cfRule type="cellIs" dxfId="2875" priority="29" stopIfTrue="1" operator="greaterThan">
      <formula>-30</formula>
    </cfRule>
    <cfRule type="cellIs" dxfId="2874" priority="30" stopIfTrue="1" operator="between">
      <formula>-33</formula>
      <formula>-30</formula>
    </cfRule>
  </conditionalFormatting>
  <conditionalFormatting sqref="BJ11">
    <cfRule type="containsBlanks" priority="25" stopIfTrue="1">
      <formula>LEN(TRIM(BJ11))=0</formula>
    </cfRule>
    <cfRule type="cellIs" dxfId="2873" priority="26" stopIfTrue="1" operator="greaterThan">
      <formula>-30</formula>
    </cfRule>
    <cfRule type="cellIs" dxfId="2872" priority="27" stopIfTrue="1" operator="between">
      <formula>-33</formula>
      <formula>-30</formula>
    </cfRule>
  </conditionalFormatting>
  <conditionalFormatting sqref="BS10">
    <cfRule type="containsBlanks" priority="22" stopIfTrue="1">
      <formula>LEN(TRIM(BS10))=0</formula>
    </cfRule>
    <cfRule type="cellIs" dxfId="2871" priority="23" stopIfTrue="1" operator="greaterThan">
      <formula>-30</formula>
    </cfRule>
    <cfRule type="cellIs" dxfId="2870" priority="24" stopIfTrue="1" operator="between">
      <formula>-33</formula>
      <formula>-30</formula>
    </cfRule>
  </conditionalFormatting>
  <conditionalFormatting sqref="BS11">
    <cfRule type="containsBlanks" priority="19" stopIfTrue="1">
      <formula>LEN(TRIM(BS11))=0</formula>
    </cfRule>
    <cfRule type="cellIs" dxfId="2869" priority="20" stopIfTrue="1" operator="greaterThan">
      <formula>-30</formula>
    </cfRule>
    <cfRule type="cellIs" dxfId="2868" priority="21" stopIfTrue="1" operator="between">
      <formula>-33</formula>
      <formula>-30</formula>
    </cfRule>
  </conditionalFormatting>
  <conditionalFormatting sqref="CB10">
    <cfRule type="containsBlanks" priority="16" stopIfTrue="1">
      <formula>LEN(TRIM(CB10))=0</formula>
    </cfRule>
    <cfRule type="cellIs" dxfId="2867" priority="17" stopIfTrue="1" operator="greaterThan">
      <formula>-30</formula>
    </cfRule>
    <cfRule type="cellIs" dxfId="2866" priority="18" stopIfTrue="1" operator="between">
      <formula>-33</formula>
      <formula>-30</formula>
    </cfRule>
  </conditionalFormatting>
  <conditionalFormatting sqref="CB11">
    <cfRule type="containsBlanks" priority="13" stopIfTrue="1">
      <formula>LEN(TRIM(CB11))=0</formula>
    </cfRule>
    <cfRule type="cellIs" dxfId="2865" priority="14" stopIfTrue="1" operator="greaterThan">
      <formula>-30</formula>
    </cfRule>
    <cfRule type="cellIs" dxfId="2864" priority="15" stopIfTrue="1" operator="between">
      <formula>-33</formula>
      <formula>-30</formula>
    </cfRule>
  </conditionalFormatting>
  <conditionalFormatting sqref="CK10">
    <cfRule type="containsBlanks" priority="10" stopIfTrue="1">
      <formula>LEN(TRIM(CK10))=0</formula>
    </cfRule>
    <cfRule type="cellIs" dxfId="2863" priority="11" stopIfTrue="1" operator="greaterThan">
      <formula>-30</formula>
    </cfRule>
    <cfRule type="cellIs" dxfId="2862" priority="12" stopIfTrue="1" operator="between">
      <formula>-33</formula>
      <formula>-30</formula>
    </cfRule>
  </conditionalFormatting>
  <conditionalFormatting sqref="CK11">
    <cfRule type="containsBlanks" priority="7" stopIfTrue="1">
      <formula>LEN(TRIM(CK11))=0</formula>
    </cfRule>
    <cfRule type="cellIs" dxfId="2861" priority="8" stopIfTrue="1" operator="greaterThan">
      <formula>-30</formula>
    </cfRule>
    <cfRule type="cellIs" dxfId="2860" priority="9" stopIfTrue="1" operator="between">
      <formula>-33</formula>
      <formula>-30</formula>
    </cfRule>
  </conditionalFormatting>
  <conditionalFormatting sqref="CT10">
    <cfRule type="containsBlanks" priority="4" stopIfTrue="1">
      <formula>LEN(TRIM(CT10))=0</formula>
    </cfRule>
    <cfRule type="cellIs" dxfId="2859" priority="5" stopIfTrue="1" operator="greaterThan">
      <formula>-30</formula>
    </cfRule>
    <cfRule type="cellIs" dxfId="2858" priority="6" stopIfTrue="1" operator="between">
      <formula>-33</formula>
      <formula>-30</formula>
    </cfRule>
  </conditionalFormatting>
  <conditionalFormatting sqref="CT11">
    <cfRule type="containsBlanks" priority="1" stopIfTrue="1">
      <formula>LEN(TRIM(CT11))=0</formula>
    </cfRule>
    <cfRule type="cellIs" dxfId="2857" priority="2" stopIfTrue="1" operator="greaterThan">
      <formula>-30</formula>
    </cfRule>
    <cfRule type="cellIs" dxfId="2856" priority="3" stopIfTrue="1" operator="between">
      <formula>-33</formula>
      <formula>-30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U12"/>
  <sheetViews>
    <sheetView topLeftCell="BT1" zoomScale="85" zoomScaleNormal="85" workbookViewId="0">
      <selection activeCell="AR7" sqref="AR7:AR12"/>
    </sheetView>
  </sheetViews>
  <sheetFormatPr defaultRowHeight="13.5"/>
  <cols>
    <col min="3" max="3" width="9.875" bestFit="1" customWidth="1"/>
    <col min="4" max="4" width="9" customWidth="1"/>
    <col min="9" max="9" width="7.625" bestFit="1" customWidth="1"/>
    <col min="10" max="10" width="7.75" bestFit="1" customWidth="1"/>
    <col min="11" max="11" width="8" bestFit="1" customWidth="1"/>
    <col min="12" max="12" width="9.875" bestFit="1" customWidth="1"/>
    <col min="13" max="13" width="9" customWidth="1"/>
    <col min="18" max="18" width="7.625" bestFit="1" customWidth="1"/>
    <col min="19" max="19" width="7.75" bestFit="1" customWidth="1"/>
    <col min="20" max="20" width="8" bestFit="1" customWidth="1"/>
    <col min="21" max="21" width="9.875" bestFit="1" customWidth="1"/>
    <col min="22" max="22" width="9" customWidth="1"/>
    <col min="27" max="27" width="7.625" bestFit="1" customWidth="1"/>
    <col min="259" max="259" width="9.875" bestFit="1" customWidth="1"/>
    <col min="260" max="260" width="9" customWidth="1"/>
    <col min="265" max="265" width="7.625" bestFit="1" customWidth="1"/>
    <col min="266" max="266" width="7.75" bestFit="1" customWidth="1"/>
    <col min="267" max="267" width="8" bestFit="1" customWidth="1"/>
    <col min="268" max="268" width="9.875" bestFit="1" customWidth="1"/>
    <col min="269" max="269" width="9" customWidth="1"/>
    <col min="274" max="274" width="7.625" bestFit="1" customWidth="1"/>
    <col min="275" max="275" width="7.75" bestFit="1" customWidth="1"/>
    <col min="276" max="276" width="8" bestFit="1" customWidth="1"/>
    <col min="277" max="277" width="9.875" bestFit="1" customWidth="1"/>
    <col min="278" max="278" width="9" customWidth="1"/>
    <col min="283" max="283" width="7.625" bestFit="1" customWidth="1"/>
    <col min="515" max="515" width="9.875" bestFit="1" customWidth="1"/>
    <col min="516" max="516" width="9" customWidth="1"/>
    <col min="521" max="521" width="7.625" bestFit="1" customWidth="1"/>
    <col min="522" max="522" width="7.75" bestFit="1" customWidth="1"/>
    <col min="523" max="523" width="8" bestFit="1" customWidth="1"/>
    <col min="524" max="524" width="9.875" bestFit="1" customWidth="1"/>
    <col min="525" max="525" width="9" customWidth="1"/>
    <col min="530" max="530" width="7.625" bestFit="1" customWidth="1"/>
    <col min="531" max="531" width="7.75" bestFit="1" customWidth="1"/>
    <col min="532" max="532" width="8" bestFit="1" customWidth="1"/>
    <col min="533" max="533" width="9.875" bestFit="1" customWidth="1"/>
    <col min="534" max="534" width="9" customWidth="1"/>
    <col min="539" max="539" width="7.625" bestFit="1" customWidth="1"/>
    <col min="771" max="771" width="9.875" bestFit="1" customWidth="1"/>
    <col min="772" max="772" width="9" customWidth="1"/>
    <col min="777" max="777" width="7.625" bestFit="1" customWidth="1"/>
    <col min="778" max="778" width="7.75" bestFit="1" customWidth="1"/>
    <col min="779" max="779" width="8" bestFit="1" customWidth="1"/>
    <col min="780" max="780" width="9.875" bestFit="1" customWidth="1"/>
    <col min="781" max="781" width="9" customWidth="1"/>
    <col min="786" max="786" width="7.625" bestFit="1" customWidth="1"/>
    <col min="787" max="787" width="7.75" bestFit="1" customWidth="1"/>
    <col min="788" max="788" width="8" bestFit="1" customWidth="1"/>
    <col min="789" max="789" width="9.875" bestFit="1" customWidth="1"/>
    <col min="790" max="790" width="9" customWidth="1"/>
    <col min="795" max="795" width="7.625" bestFit="1" customWidth="1"/>
    <col min="1027" max="1027" width="9.875" bestFit="1" customWidth="1"/>
    <col min="1028" max="1028" width="9" customWidth="1"/>
    <col min="1033" max="1033" width="7.625" bestFit="1" customWidth="1"/>
    <col min="1034" max="1034" width="7.75" bestFit="1" customWidth="1"/>
    <col min="1035" max="1035" width="8" bestFit="1" customWidth="1"/>
    <col min="1036" max="1036" width="9.875" bestFit="1" customWidth="1"/>
    <col min="1037" max="1037" width="9" customWidth="1"/>
    <col min="1042" max="1042" width="7.625" bestFit="1" customWidth="1"/>
    <col min="1043" max="1043" width="7.75" bestFit="1" customWidth="1"/>
    <col min="1044" max="1044" width="8" bestFit="1" customWidth="1"/>
    <col min="1045" max="1045" width="9.875" bestFit="1" customWidth="1"/>
    <col min="1046" max="1046" width="9" customWidth="1"/>
    <col min="1051" max="1051" width="7.625" bestFit="1" customWidth="1"/>
    <col min="1283" max="1283" width="9.875" bestFit="1" customWidth="1"/>
    <col min="1284" max="1284" width="9" customWidth="1"/>
    <col min="1289" max="1289" width="7.625" bestFit="1" customWidth="1"/>
    <col min="1290" max="1290" width="7.75" bestFit="1" customWidth="1"/>
    <col min="1291" max="1291" width="8" bestFit="1" customWidth="1"/>
    <col min="1292" max="1292" width="9.875" bestFit="1" customWidth="1"/>
    <col min="1293" max="1293" width="9" customWidth="1"/>
    <col min="1298" max="1298" width="7.625" bestFit="1" customWidth="1"/>
    <col min="1299" max="1299" width="7.75" bestFit="1" customWidth="1"/>
    <col min="1300" max="1300" width="8" bestFit="1" customWidth="1"/>
    <col min="1301" max="1301" width="9.875" bestFit="1" customWidth="1"/>
    <col min="1302" max="1302" width="9" customWidth="1"/>
    <col min="1307" max="1307" width="7.625" bestFit="1" customWidth="1"/>
    <col min="1539" max="1539" width="9.875" bestFit="1" customWidth="1"/>
    <col min="1540" max="1540" width="9" customWidth="1"/>
    <col min="1545" max="1545" width="7.625" bestFit="1" customWidth="1"/>
    <col min="1546" max="1546" width="7.75" bestFit="1" customWidth="1"/>
    <col min="1547" max="1547" width="8" bestFit="1" customWidth="1"/>
    <col min="1548" max="1548" width="9.875" bestFit="1" customWidth="1"/>
    <col min="1549" max="1549" width="9" customWidth="1"/>
    <col min="1554" max="1554" width="7.625" bestFit="1" customWidth="1"/>
    <col min="1555" max="1555" width="7.75" bestFit="1" customWidth="1"/>
    <col min="1556" max="1556" width="8" bestFit="1" customWidth="1"/>
    <col min="1557" max="1557" width="9.875" bestFit="1" customWidth="1"/>
    <col min="1558" max="1558" width="9" customWidth="1"/>
    <col min="1563" max="1563" width="7.625" bestFit="1" customWidth="1"/>
    <col min="1795" max="1795" width="9.875" bestFit="1" customWidth="1"/>
    <col min="1796" max="1796" width="9" customWidth="1"/>
    <col min="1801" max="1801" width="7.625" bestFit="1" customWidth="1"/>
    <col min="1802" max="1802" width="7.75" bestFit="1" customWidth="1"/>
    <col min="1803" max="1803" width="8" bestFit="1" customWidth="1"/>
    <col min="1804" max="1804" width="9.875" bestFit="1" customWidth="1"/>
    <col min="1805" max="1805" width="9" customWidth="1"/>
    <col min="1810" max="1810" width="7.625" bestFit="1" customWidth="1"/>
    <col min="1811" max="1811" width="7.75" bestFit="1" customWidth="1"/>
    <col min="1812" max="1812" width="8" bestFit="1" customWidth="1"/>
    <col min="1813" max="1813" width="9.875" bestFit="1" customWidth="1"/>
    <col min="1814" max="1814" width="9" customWidth="1"/>
    <col min="1819" max="1819" width="7.625" bestFit="1" customWidth="1"/>
    <col min="2051" max="2051" width="9.875" bestFit="1" customWidth="1"/>
    <col min="2052" max="2052" width="9" customWidth="1"/>
    <col min="2057" max="2057" width="7.625" bestFit="1" customWidth="1"/>
    <col min="2058" max="2058" width="7.75" bestFit="1" customWidth="1"/>
    <col min="2059" max="2059" width="8" bestFit="1" customWidth="1"/>
    <col min="2060" max="2060" width="9.875" bestFit="1" customWidth="1"/>
    <col min="2061" max="2061" width="9" customWidth="1"/>
    <col min="2066" max="2066" width="7.625" bestFit="1" customWidth="1"/>
    <col min="2067" max="2067" width="7.75" bestFit="1" customWidth="1"/>
    <col min="2068" max="2068" width="8" bestFit="1" customWidth="1"/>
    <col min="2069" max="2069" width="9.875" bestFit="1" customWidth="1"/>
    <col min="2070" max="2070" width="9" customWidth="1"/>
    <col min="2075" max="2075" width="7.625" bestFit="1" customWidth="1"/>
    <col min="2307" max="2307" width="9.875" bestFit="1" customWidth="1"/>
    <col min="2308" max="2308" width="9" customWidth="1"/>
    <col min="2313" max="2313" width="7.625" bestFit="1" customWidth="1"/>
    <col min="2314" max="2314" width="7.75" bestFit="1" customWidth="1"/>
    <col min="2315" max="2315" width="8" bestFit="1" customWidth="1"/>
    <col min="2316" max="2316" width="9.875" bestFit="1" customWidth="1"/>
    <col min="2317" max="2317" width="9" customWidth="1"/>
    <col min="2322" max="2322" width="7.625" bestFit="1" customWidth="1"/>
    <col min="2323" max="2323" width="7.75" bestFit="1" customWidth="1"/>
    <col min="2324" max="2324" width="8" bestFit="1" customWidth="1"/>
    <col min="2325" max="2325" width="9.875" bestFit="1" customWidth="1"/>
    <col min="2326" max="2326" width="9" customWidth="1"/>
    <col min="2331" max="2331" width="7.625" bestFit="1" customWidth="1"/>
    <col min="2563" max="2563" width="9.875" bestFit="1" customWidth="1"/>
    <col min="2564" max="2564" width="9" customWidth="1"/>
    <col min="2569" max="2569" width="7.625" bestFit="1" customWidth="1"/>
    <col min="2570" max="2570" width="7.75" bestFit="1" customWidth="1"/>
    <col min="2571" max="2571" width="8" bestFit="1" customWidth="1"/>
    <col min="2572" max="2572" width="9.875" bestFit="1" customWidth="1"/>
    <col min="2573" max="2573" width="9" customWidth="1"/>
    <col min="2578" max="2578" width="7.625" bestFit="1" customWidth="1"/>
    <col min="2579" max="2579" width="7.75" bestFit="1" customWidth="1"/>
    <col min="2580" max="2580" width="8" bestFit="1" customWidth="1"/>
    <col min="2581" max="2581" width="9.875" bestFit="1" customWidth="1"/>
    <col min="2582" max="2582" width="9" customWidth="1"/>
    <col min="2587" max="2587" width="7.625" bestFit="1" customWidth="1"/>
    <col min="2819" max="2819" width="9.875" bestFit="1" customWidth="1"/>
    <col min="2820" max="2820" width="9" customWidth="1"/>
    <col min="2825" max="2825" width="7.625" bestFit="1" customWidth="1"/>
    <col min="2826" max="2826" width="7.75" bestFit="1" customWidth="1"/>
    <col min="2827" max="2827" width="8" bestFit="1" customWidth="1"/>
    <col min="2828" max="2828" width="9.875" bestFit="1" customWidth="1"/>
    <col min="2829" max="2829" width="9" customWidth="1"/>
    <col min="2834" max="2834" width="7.625" bestFit="1" customWidth="1"/>
    <col min="2835" max="2835" width="7.75" bestFit="1" customWidth="1"/>
    <col min="2836" max="2836" width="8" bestFit="1" customWidth="1"/>
    <col min="2837" max="2837" width="9.875" bestFit="1" customWidth="1"/>
    <col min="2838" max="2838" width="9" customWidth="1"/>
    <col min="2843" max="2843" width="7.625" bestFit="1" customWidth="1"/>
    <col min="3075" max="3075" width="9.875" bestFit="1" customWidth="1"/>
    <col min="3076" max="3076" width="9" customWidth="1"/>
    <col min="3081" max="3081" width="7.625" bestFit="1" customWidth="1"/>
    <col min="3082" max="3082" width="7.75" bestFit="1" customWidth="1"/>
    <col min="3083" max="3083" width="8" bestFit="1" customWidth="1"/>
    <col min="3084" max="3084" width="9.875" bestFit="1" customWidth="1"/>
    <col min="3085" max="3085" width="9" customWidth="1"/>
    <col min="3090" max="3090" width="7.625" bestFit="1" customWidth="1"/>
    <col min="3091" max="3091" width="7.75" bestFit="1" customWidth="1"/>
    <col min="3092" max="3092" width="8" bestFit="1" customWidth="1"/>
    <col min="3093" max="3093" width="9.875" bestFit="1" customWidth="1"/>
    <col min="3094" max="3094" width="9" customWidth="1"/>
    <col min="3099" max="3099" width="7.625" bestFit="1" customWidth="1"/>
    <col min="3331" max="3331" width="9.875" bestFit="1" customWidth="1"/>
    <col min="3332" max="3332" width="9" customWidth="1"/>
    <col min="3337" max="3337" width="7.625" bestFit="1" customWidth="1"/>
    <col min="3338" max="3338" width="7.75" bestFit="1" customWidth="1"/>
    <col min="3339" max="3339" width="8" bestFit="1" customWidth="1"/>
    <col min="3340" max="3340" width="9.875" bestFit="1" customWidth="1"/>
    <col min="3341" max="3341" width="9" customWidth="1"/>
    <col min="3346" max="3346" width="7.625" bestFit="1" customWidth="1"/>
    <col min="3347" max="3347" width="7.75" bestFit="1" customWidth="1"/>
    <col min="3348" max="3348" width="8" bestFit="1" customWidth="1"/>
    <col min="3349" max="3349" width="9.875" bestFit="1" customWidth="1"/>
    <col min="3350" max="3350" width="9" customWidth="1"/>
    <col min="3355" max="3355" width="7.625" bestFit="1" customWidth="1"/>
    <col min="3587" max="3587" width="9.875" bestFit="1" customWidth="1"/>
    <col min="3588" max="3588" width="9" customWidth="1"/>
    <col min="3593" max="3593" width="7.625" bestFit="1" customWidth="1"/>
    <col min="3594" max="3594" width="7.75" bestFit="1" customWidth="1"/>
    <col min="3595" max="3595" width="8" bestFit="1" customWidth="1"/>
    <col min="3596" max="3596" width="9.875" bestFit="1" customWidth="1"/>
    <col min="3597" max="3597" width="9" customWidth="1"/>
    <col min="3602" max="3602" width="7.625" bestFit="1" customWidth="1"/>
    <col min="3603" max="3603" width="7.75" bestFit="1" customWidth="1"/>
    <col min="3604" max="3604" width="8" bestFit="1" customWidth="1"/>
    <col min="3605" max="3605" width="9.875" bestFit="1" customWidth="1"/>
    <col min="3606" max="3606" width="9" customWidth="1"/>
    <col min="3611" max="3611" width="7.625" bestFit="1" customWidth="1"/>
    <col min="3843" max="3843" width="9.875" bestFit="1" customWidth="1"/>
    <col min="3844" max="3844" width="9" customWidth="1"/>
    <col min="3849" max="3849" width="7.625" bestFit="1" customWidth="1"/>
    <col min="3850" max="3850" width="7.75" bestFit="1" customWidth="1"/>
    <col min="3851" max="3851" width="8" bestFit="1" customWidth="1"/>
    <col min="3852" max="3852" width="9.875" bestFit="1" customWidth="1"/>
    <col min="3853" max="3853" width="9" customWidth="1"/>
    <col min="3858" max="3858" width="7.625" bestFit="1" customWidth="1"/>
    <col min="3859" max="3859" width="7.75" bestFit="1" customWidth="1"/>
    <col min="3860" max="3860" width="8" bestFit="1" customWidth="1"/>
    <col min="3861" max="3861" width="9.875" bestFit="1" customWidth="1"/>
    <col min="3862" max="3862" width="9" customWidth="1"/>
    <col min="3867" max="3867" width="7.625" bestFit="1" customWidth="1"/>
    <col min="4099" max="4099" width="9.875" bestFit="1" customWidth="1"/>
    <col min="4100" max="4100" width="9" customWidth="1"/>
    <col min="4105" max="4105" width="7.625" bestFit="1" customWidth="1"/>
    <col min="4106" max="4106" width="7.75" bestFit="1" customWidth="1"/>
    <col min="4107" max="4107" width="8" bestFit="1" customWidth="1"/>
    <col min="4108" max="4108" width="9.875" bestFit="1" customWidth="1"/>
    <col min="4109" max="4109" width="9" customWidth="1"/>
    <col min="4114" max="4114" width="7.625" bestFit="1" customWidth="1"/>
    <col min="4115" max="4115" width="7.75" bestFit="1" customWidth="1"/>
    <col min="4116" max="4116" width="8" bestFit="1" customWidth="1"/>
    <col min="4117" max="4117" width="9.875" bestFit="1" customWidth="1"/>
    <col min="4118" max="4118" width="9" customWidth="1"/>
    <col min="4123" max="4123" width="7.625" bestFit="1" customWidth="1"/>
    <col min="4355" max="4355" width="9.875" bestFit="1" customWidth="1"/>
    <col min="4356" max="4356" width="9" customWidth="1"/>
    <col min="4361" max="4361" width="7.625" bestFit="1" customWidth="1"/>
    <col min="4362" max="4362" width="7.75" bestFit="1" customWidth="1"/>
    <col min="4363" max="4363" width="8" bestFit="1" customWidth="1"/>
    <col min="4364" max="4364" width="9.875" bestFit="1" customWidth="1"/>
    <col min="4365" max="4365" width="9" customWidth="1"/>
    <col min="4370" max="4370" width="7.625" bestFit="1" customWidth="1"/>
    <col min="4371" max="4371" width="7.75" bestFit="1" customWidth="1"/>
    <col min="4372" max="4372" width="8" bestFit="1" customWidth="1"/>
    <col min="4373" max="4373" width="9.875" bestFit="1" customWidth="1"/>
    <col min="4374" max="4374" width="9" customWidth="1"/>
    <col min="4379" max="4379" width="7.625" bestFit="1" customWidth="1"/>
    <col min="4611" max="4611" width="9.875" bestFit="1" customWidth="1"/>
    <col min="4612" max="4612" width="9" customWidth="1"/>
    <col min="4617" max="4617" width="7.625" bestFit="1" customWidth="1"/>
    <col min="4618" max="4618" width="7.75" bestFit="1" customWidth="1"/>
    <col min="4619" max="4619" width="8" bestFit="1" customWidth="1"/>
    <col min="4620" max="4620" width="9.875" bestFit="1" customWidth="1"/>
    <col min="4621" max="4621" width="9" customWidth="1"/>
    <col min="4626" max="4626" width="7.625" bestFit="1" customWidth="1"/>
    <col min="4627" max="4627" width="7.75" bestFit="1" customWidth="1"/>
    <col min="4628" max="4628" width="8" bestFit="1" customWidth="1"/>
    <col min="4629" max="4629" width="9.875" bestFit="1" customWidth="1"/>
    <col min="4630" max="4630" width="9" customWidth="1"/>
    <col min="4635" max="4635" width="7.625" bestFit="1" customWidth="1"/>
    <col min="4867" max="4867" width="9.875" bestFit="1" customWidth="1"/>
    <col min="4868" max="4868" width="9" customWidth="1"/>
    <col min="4873" max="4873" width="7.625" bestFit="1" customWidth="1"/>
    <col min="4874" max="4874" width="7.75" bestFit="1" customWidth="1"/>
    <col min="4875" max="4875" width="8" bestFit="1" customWidth="1"/>
    <col min="4876" max="4876" width="9.875" bestFit="1" customWidth="1"/>
    <col min="4877" max="4877" width="9" customWidth="1"/>
    <col min="4882" max="4882" width="7.625" bestFit="1" customWidth="1"/>
    <col min="4883" max="4883" width="7.75" bestFit="1" customWidth="1"/>
    <col min="4884" max="4884" width="8" bestFit="1" customWidth="1"/>
    <col min="4885" max="4885" width="9.875" bestFit="1" customWidth="1"/>
    <col min="4886" max="4886" width="9" customWidth="1"/>
    <col min="4891" max="4891" width="7.625" bestFit="1" customWidth="1"/>
    <col min="5123" max="5123" width="9.875" bestFit="1" customWidth="1"/>
    <col min="5124" max="5124" width="9" customWidth="1"/>
    <col min="5129" max="5129" width="7.625" bestFit="1" customWidth="1"/>
    <col min="5130" max="5130" width="7.75" bestFit="1" customWidth="1"/>
    <col min="5131" max="5131" width="8" bestFit="1" customWidth="1"/>
    <col min="5132" max="5132" width="9.875" bestFit="1" customWidth="1"/>
    <col min="5133" max="5133" width="9" customWidth="1"/>
    <col min="5138" max="5138" width="7.625" bestFit="1" customWidth="1"/>
    <col min="5139" max="5139" width="7.75" bestFit="1" customWidth="1"/>
    <col min="5140" max="5140" width="8" bestFit="1" customWidth="1"/>
    <col min="5141" max="5141" width="9.875" bestFit="1" customWidth="1"/>
    <col min="5142" max="5142" width="9" customWidth="1"/>
    <col min="5147" max="5147" width="7.625" bestFit="1" customWidth="1"/>
    <col min="5379" max="5379" width="9.875" bestFit="1" customWidth="1"/>
    <col min="5380" max="5380" width="9" customWidth="1"/>
    <col min="5385" max="5385" width="7.625" bestFit="1" customWidth="1"/>
    <col min="5386" max="5386" width="7.75" bestFit="1" customWidth="1"/>
    <col min="5387" max="5387" width="8" bestFit="1" customWidth="1"/>
    <col min="5388" max="5388" width="9.875" bestFit="1" customWidth="1"/>
    <col min="5389" max="5389" width="9" customWidth="1"/>
    <col min="5394" max="5394" width="7.625" bestFit="1" customWidth="1"/>
    <col min="5395" max="5395" width="7.75" bestFit="1" customWidth="1"/>
    <col min="5396" max="5396" width="8" bestFit="1" customWidth="1"/>
    <col min="5397" max="5397" width="9.875" bestFit="1" customWidth="1"/>
    <col min="5398" max="5398" width="9" customWidth="1"/>
    <col min="5403" max="5403" width="7.625" bestFit="1" customWidth="1"/>
    <col min="5635" max="5635" width="9.875" bestFit="1" customWidth="1"/>
    <col min="5636" max="5636" width="9" customWidth="1"/>
    <col min="5641" max="5641" width="7.625" bestFit="1" customWidth="1"/>
    <col min="5642" max="5642" width="7.75" bestFit="1" customWidth="1"/>
    <col min="5643" max="5643" width="8" bestFit="1" customWidth="1"/>
    <col min="5644" max="5644" width="9.875" bestFit="1" customWidth="1"/>
    <col min="5645" max="5645" width="9" customWidth="1"/>
    <col min="5650" max="5650" width="7.625" bestFit="1" customWidth="1"/>
    <col min="5651" max="5651" width="7.75" bestFit="1" customWidth="1"/>
    <col min="5652" max="5652" width="8" bestFit="1" customWidth="1"/>
    <col min="5653" max="5653" width="9.875" bestFit="1" customWidth="1"/>
    <col min="5654" max="5654" width="9" customWidth="1"/>
    <col min="5659" max="5659" width="7.625" bestFit="1" customWidth="1"/>
    <col min="5891" max="5891" width="9.875" bestFit="1" customWidth="1"/>
    <col min="5892" max="5892" width="9" customWidth="1"/>
    <col min="5897" max="5897" width="7.625" bestFit="1" customWidth="1"/>
    <col min="5898" max="5898" width="7.75" bestFit="1" customWidth="1"/>
    <col min="5899" max="5899" width="8" bestFit="1" customWidth="1"/>
    <col min="5900" max="5900" width="9.875" bestFit="1" customWidth="1"/>
    <col min="5901" max="5901" width="9" customWidth="1"/>
    <col min="5906" max="5906" width="7.625" bestFit="1" customWidth="1"/>
    <col min="5907" max="5907" width="7.75" bestFit="1" customWidth="1"/>
    <col min="5908" max="5908" width="8" bestFit="1" customWidth="1"/>
    <col min="5909" max="5909" width="9.875" bestFit="1" customWidth="1"/>
    <col min="5910" max="5910" width="9" customWidth="1"/>
    <col min="5915" max="5915" width="7.625" bestFit="1" customWidth="1"/>
    <col min="6147" max="6147" width="9.875" bestFit="1" customWidth="1"/>
    <col min="6148" max="6148" width="9" customWidth="1"/>
    <col min="6153" max="6153" width="7.625" bestFit="1" customWidth="1"/>
    <col min="6154" max="6154" width="7.75" bestFit="1" customWidth="1"/>
    <col min="6155" max="6155" width="8" bestFit="1" customWidth="1"/>
    <col min="6156" max="6156" width="9.875" bestFit="1" customWidth="1"/>
    <col min="6157" max="6157" width="9" customWidth="1"/>
    <col min="6162" max="6162" width="7.625" bestFit="1" customWidth="1"/>
    <col min="6163" max="6163" width="7.75" bestFit="1" customWidth="1"/>
    <col min="6164" max="6164" width="8" bestFit="1" customWidth="1"/>
    <col min="6165" max="6165" width="9.875" bestFit="1" customWidth="1"/>
    <col min="6166" max="6166" width="9" customWidth="1"/>
    <col min="6171" max="6171" width="7.625" bestFit="1" customWidth="1"/>
    <col min="6403" max="6403" width="9.875" bestFit="1" customWidth="1"/>
    <col min="6404" max="6404" width="9" customWidth="1"/>
    <col min="6409" max="6409" width="7.625" bestFit="1" customWidth="1"/>
    <col min="6410" max="6410" width="7.75" bestFit="1" customWidth="1"/>
    <col min="6411" max="6411" width="8" bestFit="1" customWidth="1"/>
    <col min="6412" max="6412" width="9.875" bestFit="1" customWidth="1"/>
    <col min="6413" max="6413" width="9" customWidth="1"/>
    <col min="6418" max="6418" width="7.625" bestFit="1" customWidth="1"/>
    <col min="6419" max="6419" width="7.75" bestFit="1" customWidth="1"/>
    <col min="6420" max="6420" width="8" bestFit="1" customWidth="1"/>
    <col min="6421" max="6421" width="9.875" bestFit="1" customWidth="1"/>
    <col min="6422" max="6422" width="9" customWidth="1"/>
    <col min="6427" max="6427" width="7.625" bestFit="1" customWidth="1"/>
    <col min="6659" max="6659" width="9.875" bestFit="1" customWidth="1"/>
    <col min="6660" max="6660" width="9" customWidth="1"/>
    <col min="6665" max="6665" width="7.625" bestFit="1" customWidth="1"/>
    <col min="6666" max="6666" width="7.75" bestFit="1" customWidth="1"/>
    <col min="6667" max="6667" width="8" bestFit="1" customWidth="1"/>
    <col min="6668" max="6668" width="9.875" bestFit="1" customWidth="1"/>
    <col min="6669" max="6669" width="9" customWidth="1"/>
    <col min="6674" max="6674" width="7.625" bestFit="1" customWidth="1"/>
    <col min="6675" max="6675" width="7.75" bestFit="1" customWidth="1"/>
    <col min="6676" max="6676" width="8" bestFit="1" customWidth="1"/>
    <col min="6677" max="6677" width="9.875" bestFit="1" customWidth="1"/>
    <col min="6678" max="6678" width="9" customWidth="1"/>
    <col min="6683" max="6683" width="7.625" bestFit="1" customWidth="1"/>
    <col min="6915" max="6915" width="9.875" bestFit="1" customWidth="1"/>
    <col min="6916" max="6916" width="9" customWidth="1"/>
    <col min="6921" max="6921" width="7.625" bestFit="1" customWidth="1"/>
    <col min="6922" max="6922" width="7.75" bestFit="1" customWidth="1"/>
    <col min="6923" max="6923" width="8" bestFit="1" customWidth="1"/>
    <col min="6924" max="6924" width="9.875" bestFit="1" customWidth="1"/>
    <col min="6925" max="6925" width="9" customWidth="1"/>
    <col min="6930" max="6930" width="7.625" bestFit="1" customWidth="1"/>
    <col min="6931" max="6931" width="7.75" bestFit="1" customWidth="1"/>
    <col min="6932" max="6932" width="8" bestFit="1" customWidth="1"/>
    <col min="6933" max="6933" width="9.875" bestFit="1" customWidth="1"/>
    <col min="6934" max="6934" width="9" customWidth="1"/>
    <col min="6939" max="6939" width="7.625" bestFit="1" customWidth="1"/>
    <col min="7171" max="7171" width="9.875" bestFit="1" customWidth="1"/>
    <col min="7172" max="7172" width="9" customWidth="1"/>
    <col min="7177" max="7177" width="7.625" bestFit="1" customWidth="1"/>
    <col min="7178" max="7178" width="7.75" bestFit="1" customWidth="1"/>
    <col min="7179" max="7179" width="8" bestFit="1" customWidth="1"/>
    <col min="7180" max="7180" width="9.875" bestFit="1" customWidth="1"/>
    <col min="7181" max="7181" width="9" customWidth="1"/>
    <col min="7186" max="7186" width="7.625" bestFit="1" customWidth="1"/>
    <col min="7187" max="7187" width="7.75" bestFit="1" customWidth="1"/>
    <col min="7188" max="7188" width="8" bestFit="1" customWidth="1"/>
    <col min="7189" max="7189" width="9.875" bestFit="1" customWidth="1"/>
    <col min="7190" max="7190" width="9" customWidth="1"/>
    <col min="7195" max="7195" width="7.625" bestFit="1" customWidth="1"/>
    <col min="7427" max="7427" width="9.875" bestFit="1" customWidth="1"/>
    <col min="7428" max="7428" width="9" customWidth="1"/>
    <col min="7433" max="7433" width="7.625" bestFit="1" customWidth="1"/>
    <col min="7434" max="7434" width="7.75" bestFit="1" customWidth="1"/>
    <col min="7435" max="7435" width="8" bestFit="1" customWidth="1"/>
    <col min="7436" max="7436" width="9.875" bestFit="1" customWidth="1"/>
    <col min="7437" max="7437" width="9" customWidth="1"/>
    <col min="7442" max="7442" width="7.625" bestFit="1" customWidth="1"/>
    <col min="7443" max="7443" width="7.75" bestFit="1" customWidth="1"/>
    <col min="7444" max="7444" width="8" bestFit="1" customWidth="1"/>
    <col min="7445" max="7445" width="9.875" bestFit="1" customWidth="1"/>
    <col min="7446" max="7446" width="9" customWidth="1"/>
    <col min="7451" max="7451" width="7.625" bestFit="1" customWidth="1"/>
    <col min="7683" max="7683" width="9.875" bestFit="1" customWidth="1"/>
    <col min="7684" max="7684" width="9" customWidth="1"/>
    <col min="7689" max="7689" width="7.625" bestFit="1" customWidth="1"/>
    <col min="7690" max="7690" width="7.75" bestFit="1" customWidth="1"/>
    <col min="7691" max="7691" width="8" bestFit="1" customWidth="1"/>
    <col min="7692" max="7692" width="9.875" bestFit="1" customWidth="1"/>
    <col min="7693" max="7693" width="9" customWidth="1"/>
    <col min="7698" max="7698" width="7.625" bestFit="1" customWidth="1"/>
    <col min="7699" max="7699" width="7.75" bestFit="1" customWidth="1"/>
    <col min="7700" max="7700" width="8" bestFit="1" customWidth="1"/>
    <col min="7701" max="7701" width="9.875" bestFit="1" customWidth="1"/>
    <col min="7702" max="7702" width="9" customWidth="1"/>
    <col min="7707" max="7707" width="7.625" bestFit="1" customWidth="1"/>
    <col min="7939" max="7939" width="9.875" bestFit="1" customWidth="1"/>
    <col min="7940" max="7940" width="9" customWidth="1"/>
    <col min="7945" max="7945" width="7.625" bestFit="1" customWidth="1"/>
    <col min="7946" max="7946" width="7.75" bestFit="1" customWidth="1"/>
    <col min="7947" max="7947" width="8" bestFit="1" customWidth="1"/>
    <col min="7948" max="7948" width="9.875" bestFit="1" customWidth="1"/>
    <col min="7949" max="7949" width="9" customWidth="1"/>
    <col min="7954" max="7954" width="7.625" bestFit="1" customWidth="1"/>
    <col min="7955" max="7955" width="7.75" bestFit="1" customWidth="1"/>
    <col min="7956" max="7956" width="8" bestFit="1" customWidth="1"/>
    <col min="7957" max="7957" width="9.875" bestFit="1" customWidth="1"/>
    <col min="7958" max="7958" width="9" customWidth="1"/>
    <col min="7963" max="7963" width="7.625" bestFit="1" customWidth="1"/>
    <col min="8195" max="8195" width="9.875" bestFit="1" customWidth="1"/>
    <col min="8196" max="8196" width="9" customWidth="1"/>
    <col min="8201" max="8201" width="7.625" bestFit="1" customWidth="1"/>
    <col min="8202" max="8202" width="7.75" bestFit="1" customWidth="1"/>
    <col min="8203" max="8203" width="8" bestFit="1" customWidth="1"/>
    <col min="8204" max="8204" width="9.875" bestFit="1" customWidth="1"/>
    <col min="8205" max="8205" width="9" customWidth="1"/>
    <col min="8210" max="8210" width="7.625" bestFit="1" customWidth="1"/>
    <col min="8211" max="8211" width="7.75" bestFit="1" customWidth="1"/>
    <col min="8212" max="8212" width="8" bestFit="1" customWidth="1"/>
    <col min="8213" max="8213" width="9.875" bestFit="1" customWidth="1"/>
    <col min="8214" max="8214" width="9" customWidth="1"/>
    <col min="8219" max="8219" width="7.625" bestFit="1" customWidth="1"/>
    <col min="8451" max="8451" width="9.875" bestFit="1" customWidth="1"/>
    <col min="8452" max="8452" width="9" customWidth="1"/>
    <col min="8457" max="8457" width="7.625" bestFit="1" customWidth="1"/>
    <col min="8458" max="8458" width="7.75" bestFit="1" customWidth="1"/>
    <col min="8459" max="8459" width="8" bestFit="1" customWidth="1"/>
    <col min="8460" max="8460" width="9.875" bestFit="1" customWidth="1"/>
    <col min="8461" max="8461" width="9" customWidth="1"/>
    <col min="8466" max="8466" width="7.625" bestFit="1" customWidth="1"/>
    <col min="8467" max="8467" width="7.75" bestFit="1" customWidth="1"/>
    <col min="8468" max="8468" width="8" bestFit="1" customWidth="1"/>
    <col min="8469" max="8469" width="9.875" bestFit="1" customWidth="1"/>
    <col min="8470" max="8470" width="9" customWidth="1"/>
    <col min="8475" max="8475" width="7.625" bestFit="1" customWidth="1"/>
    <col min="8707" max="8707" width="9.875" bestFit="1" customWidth="1"/>
    <col min="8708" max="8708" width="9" customWidth="1"/>
    <col min="8713" max="8713" width="7.625" bestFit="1" customWidth="1"/>
    <col min="8714" max="8714" width="7.75" bestFit="1" customWidth="1"/>
    <col min="8715" max="8715" width="8" bestFit="1" customWidth="1"/>
    <col min="8716" max="8716" width="9.875" bestFit="1" customWidth="1"/>
    <col min="8717" max="8717" width="9" customWidth="1"/>
    <col min="8722" max="8722" width="7.625" bestFit="1" customWidth="1"/>
    <col min="8723" max="8723" width="7.75" bestFit="1" customWidth="1"/>
    <col min="8724" max="8724" width="8" bestFit="1" customWidth="1"/>
    <col min="8725" max="8725" width="9.875" bestFit="1" customWidth="1"/>
    <col min="8726" max="8726" width="9" customWidth="1"/>
    <col min="8731" max="8731" width="7.625" bestFit="1" customWidth="1"/>
    <col min="8963" max="8963" width="9.875" bestFit="1" customWidth="1"/>
    <col min="8964" max="8964" width="9" customWidth="1"/>
    <col min="8969" max="8969" width="7.625" bestFit="1" customWidth="1"/>
    <col min="8970" max="8970" width="7.75" bestFit="1" customWidth="1"/>
    <col min="8971" max="8971" width="8" bestFit="1" customWidth="1"/>
    <col min="8972" max="8972" width="9.875" bestFit="1" customWidth="1"/>
    <col min="8973" max="8973" width="9" customWidth="1"/>
    <col min="8978" max="8978" width="7.625" bestFit="1" customWidth="1"/>
    <col min="8979" max="8979" width="7.75" bestFit="1" customWidth="1"/>
    <col min="8980" max="8980" width="8" bestFit="1" customWidth="1"/>
    <col min="8981" max="8981" width="9.875" bestFit="1" customWidth="1"/>
    <col min="8982" max="8982" width="9" customWidth="1"/>
    <col min="8987" max="8987" width="7.625" bestFit="1" customWidth="1"/>
    <col min="9219" max="9219" width="9.875" bestFit="1" customWidth="1"/>
    <col min="9220" max="9220" width="9" customWidth="1"/>
    <col min="9225" max="9225" width="7.625" bestFit="1" customWidth="1"/>
    <col min="9226" max="9226" width="7.75" bestFit="1" customWidth="1"/>
    <col min="9227" max="9227" width="8" bestFit="1" customWidth="1"/>
    <col min="9228" max="9228" width="9.875" bestFit="1" customWidth="1"/>
    <col min="9229" max="9229" width="9" customWidth="1"/>
    <col min="9234" max="9234" width="7.625" bestFit="1" customWidth="1"/>
    <col min="9235" max="9235" width="7.75" bestFit="1" customWidth="1"/>
    <col min="9236" max="9236" width="8" bestFit="1" customWidth="1"/>
    <col min="9237" max="9237" width="9.875" bestFit="1" customWidth="1"/>
    <col min="9238" max="9238" width="9" customWidth="1"/>
    <col min="9243" max="9243" width="7.625" bestFit="1" customWidth="1"/>
    <col min="9475" max="9475" width="9.875" bestFit="1" customWidth="1"/>
    <col min="9476" max="9476" width="9" customWidth="1"/>
    <col min="9481" max="9481" width="7.625" bestFit="1" customWidth="1"/>
    <col min="9482" max="9482" width="7.75" bestFit="1" customWidth="1"/>
    <col min="9483" max="9483" width="8" bestFit="1" customWidth="1"/>
    <col min="9484" max="9484" width="9.875" bestFit="1" customWidth="1"/>
    <col min="9485" max="9485" width="9" customWidth="1"/>
    <col min="9490" max="9490" width="7.625" bestFit="1" customWidth="1"/>
    <col min="9491" max="9491" width="7.75" bestFit="1" customWidth="1"/>
    <col min="9492" max="9492" width="8" bestFit="1" customWidth="1"/>
    <col min="9493" max="9493" width="9.875" bestFit="1" customWidth="1"/>
    <col min="9494" max="9494" width="9" customWidth="1"/>
    <col min="9499" max="9499" width="7.625" bestFit="1" customWidth="1"/>
    <col min="9731" max="9731" width="9.875" bestFit="1" customWidth="1"/>
    <col min="9732" max="9732" width="9" customWidth="1"/>
    <col min="9737" max="9737" width="7.625" bestFit="1" customWidth="1"/>
    <col min="9738" max="9738" width="7.75" bestFit="1" customWidth="1"/>
    <col min="9739" max="9739" width="8" bestFit="1" customWidth="1"/>
    <col min="9740" max="9740" width="9.875" bestFit="1" customWidth="1"/>
    <col min="9741" max="9741" width="9" customWidth="1"/>
    <col min="9746" max="9746" width="7.625" bestFit="1" customWidth="1"/>
    <col min="9747" max="9747" width="7.75" bestFit="1" customWidth="1"/>
    <col min="9748" max="9748" width="8" bestFit="1" customWidth="1"/>
    <col min="9749" max="9749" width="9.875" bestFit="1" customWidth="1"/>
    <col min="9750" max="9750" width="9" customWidth="1"/>
    <col min="9755" max="9755" width="7.625" bestFit="1" customWidth="1"/>
    <col min="9987" max="9987" width="9.875" bestFit="1" customWidth="1"/>
    <col min="9988" max="9988" width="9" customWidth="1"/>
    <col min="9993" max="9993" width="7.625" bestFit="1" customWidth="1"/>
    <col min="9994" max="9994" width="7.75" bestFit="1" customWidth="1"/>
    <col min="9995" max="9995" width="8" bestFit="1" customWidth="1"/>
    <col min="9996" max="9996" width="9.875" bestFit="1" customWidth="1"/>
    <col min="9997" max="9997" width="9" customWidth="1"/>
    <col min="10002" max="10002" width="7.625" bestFit="1" customWidth="1"/>
    <col min="10003" max="10003" width="7.75" bestFit="1" customWidth="1"/>
    <col min="10004" max="10004" width="8" bestFit="1" customWidth="1"/>
    <col min="10005" max="10005" width="9.875" bestFit="1" customWidth="1"/>
    <col min="10006" max="10006" width="9" customWidth="1"/>
    <col min="10011" max="10011" width="7.625" bestFit="1" customWidth="1"/>
    <col min="10243" max="10243" width="9.875" bestFit="1" customWidth="1"/>
    <col min="10244" max="10244" width="9" customWidth="1"/>
    <col min="10249" max="10249" width="7.625" bestFit="1" customWidth="1"/>
    <col min="10250" max="10250" width="7.75" bestFit="1" customWidth="1"/>
    <col min="10251" max="10251" width="8" bestFit="1" customWidth="1"/>
    <col min="10252" max="10252" width="9.875" bestFit="1" customWidth="1"/>
    <col min="10253" max="10253" width="9" customWidth="1"/>
    <col min="10258" max="10258" width="7.625" bestFit="1" customWidth="1"/>
    <col min="10259" max="10259" width="7.75" bestFit="1" customWidth="1"/>
    <col min="10260" max="10260" width="8" bestFit="1" customWidth="1"/>
    <col min="10261" max="10261" width="9.875" bestFit="1" customWidth="1"/>
    <col min="10262" max="10262" width="9" customWidth="1"/>
    <col min="10267" max="10267" width="7.625" bestFit="1" customWidth="1"/>
    <col min="10499" max="10499" width="9.875" bestFit="1" customWidth="1"/>
    <col min="10500" max="10500" width="9" customWidth="1"/>
    <col min="10505" max="10505" width="7.625" bestFit="1" customWidth="1"/>
    <col min="10506" max="10506" width="7.75" bestFit="1" customWidth="1"/>
    <col min="10507" max="10507" width="8" bestFit="1" customWidth="1"/>
    <col min="10508" max="10508" width="9.875" bestFit="1" customWidth="1"/>
    <col min="10509" max="10509" width="9" customWidth="1"/>
    <col min="10514" max="10514" width="7.625" bestFit="1" customWidth="1"/>
    <col min="10515" max="10515" width="7.75" bestFit="1" customWidth="1"/>
    <col min="10516" max="10516" width="8" bestFit="1" customWidth="1"/>
    <col min="10517" max="10517" width="9.875" bestFit="1" customWidth="1"/>
    <col min="10518" max="10518" width="9" customWidth="1"/>
    <col min="10523" max="10523" width="7.625" bestFit="1" customWidth="1"/>
    <col min="10755" max="10755" width="9.875" bestFit="1" customWidth="1"/>
    <col min="10756" max="10756" width="9" customWidth="1"/>
    <col min="10761" max="10761" width="7.625" bestFit="1" customWidth="1"/>
    <col min="10762" max="10762" width="7.75" bestFit="1" customWidth="1"/>
    <col min="10763" max="10763" width="8" bestFit="1" customWidth="1"/>
    <col min="10764" max="10764" width="9.875" bestFit="1" customWidth="1"/>
    <col min="10765" max="10765" width="9" customWidth="1"/>
    <col min="10770" max="10770" width="7.625" bestFit="1" customWidth="1"/>
    <col min="10771" max="10771" width="7.75" bestFit="1" customWidth="1"/>
    <col min="10772" max="10772" width="8" bestFit="1" customWidth="1"/>
    <col min="10773" max="10773" width="9.875" bestFit="1" customWidth="1"/>
    <col min="10774" max="10774" width="9" customWidth="1"/>
    <col min="10779" max="10779" width="7.625" bestFit="1" customWidth="1"/>
    <col min="11011" max="11011" width="9.875" bestFit="1" customWidth="1"/>
    <col min="11012" max="11012" width="9" customWidth="1"/>
    <col min="11017" max="11017" width="7.625" bestFit="1" customWidth="1"/>
    <col min="11018" max="11018" width="7.75" bestFit="1" customWidth="1"/>
    <col min="11019" max="11019" width="8" bestFit="1" customWidth="1"/>
    <col min="11020" max="11020" width="9.875" bestFit="1" customWidth="1"/>
    <col min="11021" max="11021" width="9" customWidth="1"/>
    <col min="11026" max="11026" width="7.625" bestFit="1" customWidth="1"/>
    <col min="11027" max="11027" width="7.75" bestFit="1" customWidth="1"/>
    <col min="11028" max="11028" width="8" bestFit="1" customWidth="1"/>
    <col min="11029" max="11029" width="9.875" bestFit="1" customWidth="1"/>
    <col min="11030" max="11030" width="9" customWidth="1"/>
    <col min="11035" max="11035" width="7.625" bestFit="1" customWidth="1"/>
    <col min="11267" max="11267" width="9.875" bestFit="1" customWidth="1"/>
    <col min="11268" max="11268" width="9" customWidth="1"/>
    <col min="11273" max="11273" width="7.625" bestFit="1" customWidth="1"/>
    <col min="11274" max="11274" width="7.75" bestFit="1" customWidth="1"/>
    <col min="11275" max="11275" width="8" bestFit="1" customWidth="1"/>
    <col min="11276" max="11276" width="9.875" bestFit="1" customWidth="1"/>
    <col min="11277" max="11277" width="9" customWidth="1"/>
    <col min="11282" max="11282" width="7.625" bestFit="1" customWidth="1"/>
    <col min="11283" max="11283" width="7.75" bestFit="1" customWidth="1"/>
    <col min="11284" max="11284" width="8" bestFit="1" customWidth="1"/>
    <col min="11285" max="11285" width="9.875" bestFit="1" customWidth="1"/>
    <col min="11286" max="11286" width="9" customWidth="1"/>
    <col min="11291" max="11291" width="7.625" bestFit="1" customWidth="1"/>
    <col min="11523" max="11523" width="9.875" bestFit="1" customWidth="1"/>
    <col min="11524" max="11524" width="9" customWidth="1"/>
    <col min="11529" max="11529" width="7.625" bestFit="1" customWidth="1"/>
    <col min="11530" max="11530" width="7.75" bestFit="1" customWidth="1"/>
    <col min="11531" max="11531" width="8" bestFit="1" customWidth="1"/>
    <col min="11532" max="11532" width="9.875" bestFit="1" customWidth="1"/>
    <col min="11533" max="11533" width="9" customWidth="1"/>
    <col min="11538" max="11538" width="7.625" bestFit="1" customWidth="1"/>
    <col min="11539" max="11539" width="7.75" bestFit="1" customWidth="1"/>
    <col min="11540" max="11540" width="8" bestFit="1" customWidth="1"/>
    <col min="11541" max="11541" width="9.875" bestFit="1" customWidth="1"/>
    <col min="11542" max="11542" width="9" customWidth="1"/>
    <col min="11547" max="11547" width="7.625" bestFit="1" customWidth="1"/>
    <col min="11779" max="11779" width="9.875" bestFit="1" customWidth="1"/>
    <col min="11780" max="11780" width="9" customWidth="1"/>
    <col min="11785" max="11785" width="7.625" bestFit="1" customWidth="1"/>
    <col min="11786" max="11786" width="7.75" bestFit="1" customWidth="1"/>
    <col min="11787" max="11787" width="8" bestFit="1" customWidth="1"/>
    <col min="11788" max="11788" width="9.875" bestFit="1" customWidth="1"/>
    <col min="11789" max="11789" width="9" customWidth="1"/>
    <col min="11794" max="11794" width="7.625" bestFit="1" customWidth="1"/>
    <col min="11795" max="11795" width="7.75" bestFit="1" customWidth="1"/>
    <col min="11796" max="11796" width="8" bestFit="1" customWidth="1"/>
    <col min="11797" max="11797" width="9.875" bestFit="1" customWidth="1"/>
    <col min="11798" max="11798" width="9" customWidth="1"/>
    <col min="11803" max="11803" width="7.625" bestFit="1" customWidth="1"/>
    <col min="12035" max="12035" width="9.875" bestFit="1" customWidth="1"/>
    <col min="12036" max="12036" width="9" customWidth="1"/>
    <col min="12041" max="12041" width="7.625" bestFit="1" customWidth="1"/>
    <col min="12042" max="12042" width="7.75" bestFit="1" customWidth="1"/>
    <col min="12043" max="12043" width="8" bestFit="1" customWidth="1"/>
    <col min="12044" max="12044" width="9.875" bestFit="1" customWidth="1"/>
    <col min="12045" max="12045" width="9" customWidth="1"/>
    <col min="12050" max="12050" width="7.625" bestFit="1" customWidth="1"/>
    <col min="12051" max="12051" width="7.75" bestFit="1" customWidth="1"/>
    <col min="12052" max="12052" width="8" bestFit="1" customWidth="1"/>
    <col min="12053" max="12053" width="9.875" bestFit="1" customWidth="1"/>
    <col min="12054" max="12054" width="9" customWidth="1"/>
    <col min="12059" max="12059" width="7.625" bestFit="1" customWidth="1"/>
    <col min="12291" max="12291" width="9.875" bestFit="1" customWidth="1"/>
    <col min="12292" max="12292" width="9" customWidth="1"/>
    <col min="12297" max="12297" width="7.625" bestFit="1" customWidth="1"/>
    <col min="12298" max="12298" width="7.75" bestFit="1" customWidth="1"/>
    <col min="12299" max="12299" width="8" bestFit="1" customWidth="1"/>
    <col min="12300" max="12300" width="9.875" bestFit="1" customWidth="1"/>
    <col min="12301" max="12301" width="9" customWidth="1"/>
    <col min="12306" max="12306" width="7.625" bestFit="1" customWidth="1"/>
    <col min="12307" max="12307" width="7.75" bestFit="1" customWidth="1"/>
    <col min="12308" max="12308" width="8" bestFit="1" customWidth="1"/>
    <col min="12309" max="12309" width="9.875" bestFit="1" customWidth="1"/>
    <col min="12310" max="12310" width="9" customWidth="1"/>
    <col min="12315" max="12315" width="7.625" bestFit="1" customWidth="1"/>
    <col min="12547" max="12547" width="9.875" bestFit="1" customWidth="1"/>
    <col min="12548" max="12548" width="9" customWidth="1"/>
    <col min="12553" max="12553" width="7.625" bestFit="1" customWidth="1"/>
    <col min="12554" max="12554" width="7.75" bestFit="1" customWidth="1"/>
    <col min="12555" max="12555" width="8" bestFit="1" customWidth="1"/>
    <col min="12556" max="12556" width="9.875" bestFit="1" customWidth="1"/>
    <col min="12557" max="12557" width="9" customWidth="1"/>
    <col min="12562" max="12562" width="7.625" bestFit="1" customWidth="1"/>
    <col min="12563" max="12563" width="7.75" bestFit="1" customWidth="1"/>
    <col min="12564" max="12564" width="8" bestFit="1" customWidth="1"/>
    <col min="12565" max="12565" width="9.875" bestFit="1" customWidth="1"/>
    <col min="12566" max="12566" width="9" customWidth="1"/>
    <col min="12571" max="12571" width="7.625" bestFit="1" customWidth="1"/>
    <col min="12803" max="12803" width="9.875" bestFit="1" customWidth="1"/>
    <col min="12804" max="12804" width="9" customWidth="1"/>
    <col min="12809" max="12809" width="7.625" bestFit="1" customWidth="1"/>
    <col min="12810" max="12810" width="7.75" bestFit="1" customWidth="1"/>
    <col min="12811" max="12811" width="8" bestFit="1" customWidth="1"/>
    <col min="12812" max="12812" width="9.875" bestFit="1" customWidth="1"/>
    <col min="12813" max="12813" width="9" customWidth="1"/>
    <col min="12818" max="12818" width="7.625" bestFit="1" customWidth="1"/>
    <col min="12819" max="12819" width="7.75" bestFit="1" customWidth="1"/>
    <col min="12820" max="12820" width="8" bestFit="1" customWidth="1"/>
    <col min="12821" max="12821" width="9.875" bestFit="1" customWidth="1"/>
    <col min="12822" max="12822" width="9" customWidth="1"/>
    <col min="12827" max="12827" width="7.625" bestFit="1" customWidth="1"/>
    <col min="13059" max="13059" width="9.875" bestFit="1" customWidth="1"/>
    <col min="13060" max="13060" width="9" customWidth="1"/>
    <col min="13065" max="13065" width="7.625" bestFit="1" customWidth="1"/>
    <col min="13066" max="13066" width="7.75" bestFit="1" customWidth="1"/>
    <col min="13067" max="13067" width="8" bestFit="1" customWidth="1"/>
    <col min="13068" max="13068" width="9.875" bestFit="1" customWidth="1"/>
    <col min="13069" max="13069" width="9" customWidth="1"/>
    <col min="13074" max="13074" width="7.625" bestFit="1" customWidth="1"/>
    <col min="13075" max="13075" width="7.75" bestFit="1" customWidth="1"/>
    <col min="13076" max="13076" width="8" bestFit="1" customWidth="1"/>
    <col min="13077" max="13077" width="9.875" bestFit="1" customWidth="1"/>
    <col min="13078" max="13078" width="9" customWidth="1"/>
    <col min="13083" max="13083" width="7.625" bestFit="1" customWidth="1"/>
    <col min="13315" max="13315" width="9.875" bestFit="1" customWidth="1"/>
    <col min="13316" max="13316" width="9" customWidth="1"/>
    <col min="13321" max="13321" width="7.625" bestFit="1" customWidth="1"/>
    <col min="13322" max="13322" width="7.75" bestFit="1" customWidth="1"/>
    <col min="13323" max="13323" width="8" bestFit="1" customWidth="1"/>
    <col min="13324" max="13324" width="9.875" bestFit="1" customWidth="1"/>
    <col min="13325" max="13325" width="9" customWidth="1"/>
    <col min="13330" max="13330" width="7.625" bestFit="1" customWidth="1"/>
    <col min="13331" max="13331" width="7.75" bestFit="1" customWidth="1"/>
    <col min="13332" max="13332" width="8" bestFit="1" customWidth="1"/>
    <col min="13333" max="13333" width="9.875" bestFit="1" customWidth="1"/>
    <col min="13334" max="13334" width="9" customWidth="1"/>
    <col min="13339" max="13339" width="7.625" bestFit="1" customWidth="1"/>
    <col min="13571" max="13571" width="9.875" bestFit="1" customWidth="1"/>
    <col min="13572" max="13572" width="9" customWidth="1"/>
    <col min="13577" max="13577" width="7.625" bestFit="1" customWidth="1"/>
    <col min="13578" max="13578" width="7.75" bestFit="1" customWidth="1"/>
    <col min="13579" max="13579" width="8" bestFit="1" customWidth="1"/>
    <col min="13580" max="13580" width="9.875" bestFit="1" customWidth="1"/>
    <col min="13581" max="13581" width="9" customWidth="1"/>
    <col min="13586" max="13586" width="7.625" bestFit="1" customWidth="1"/>
    <col min="13587" max="13587" width="7.75" bestFit="1" customWidth="1"/>
    <col min="13588" max="13588" width="8" bestFit="1" customWidth="1"/>
    <col min="13589" max="13589" width="9.875" bestFit="1" customWidth="1"/>
    <col min="13590" max="13590" width="9" customWidth="1"/>
    <col min="13595" max="13595" width="7.625" bestFit="1" customWidth="1"/>
    <col min="13827" max="13827" width="9.875" bestFit="1" customWidth="1"/>
    <col min="13828" max="13828" width="9" customWidth="1"/>
    <col min="13833" max="13833" width="7.625" bestFit="1" customWidth="1"/>
    <col min="13834" max="13834" width="7.75" bestFit="1" customWidth="1"/>
    <col min="13835" max="13835" width="8" bestFit="1" customWidth="1"/>
    <col min="13836" max="13836" width="9.875" bestFit="1" customWidth="1"/>
    <col min="13837" max="13837" width="9" customWidth="1"/>
    <col min="13842" max="13842" width="7.625" bestFit="1" customWidth="1"/>
    <col min="13843" max="13843" width="7.75" bestFit="1" customWidth="1"/>
    <col min="13844" max="13844" width="8" bestFit="1" customWidth="1"/>
    <col min="13845" max="13845" width="9.875" bestFit="1" customWidth="1"/>
    <col min="13846" max="13846" width="9" customWidth="1"/>
    <col min="13851" max="13851" width="7.625" bestFit="1" customWidth="1"/>
    <col min="14083" max="14083" width="9.875" bestFit="1" customWidth="1"/>
    <col min="14084" max="14084" width="9" customWidth="1"/>
    <col min="14089" max="14089" width="7.625" bestFit="1" customWidth="1"/>
    <col min="14090" max="14090" width="7.75" bestFit="1" customWidth="1"/>
    <col min="14091" max="14091" width="8" bestFit="1" customWidth="1"/>
    <col min="14092" max="14092" width="9.875" bestFit="1" customWidth="1"/>
    <col min="14093" max="14093" width="9" customWidth="1"/>
    <col min="14098" max="14098" width="7.625" bestFit="1" customWidth="1"/>
    <col min="14099" max="14099" width="7.75" bestFit="1" customWidth="1"/>
    <col min="14100" max="14100" width="8" bestFit="1" customWidth="1"/>
    <col min="14101" max="14101" width="9.875" bestFit="1" customWidth="1"/>
    <col min="14102" max="14102" width="9" customWidth="1"/>
    <col min="14107" max="14107" width="7.625" bestFit="1" customWidth="1"/>
    <col min="14339" max="14339" width="9.875" bestFit="1" customWidth="1"/>
    <col min="14340" max="14340" width="9" customWidth="1"/>
    <col min="14345" max="14345" width="7.625" bestFit="1" customWidth="1"/>
    <col min="14346" max="14346" width="7.75" bestFit="1" customWidth="1"/>
    <col min="14347" max="14347" width="8" bestFit="1" customWidth="1"/>
    <col min="14348" max="14348" width="9.875" bestFit="1" customWidth="1"/>
    <col min="14349" max="14349" width="9" customWidth="1"/>
    <col min="14354" max="14354" width="7.625" bestFit="1" customWidth="1"/>
    <col min="14355" max="14355" width="7.75" bestFit="1" customWidth="1"/>
    <col min="14356" max="14356" width="8" bestFit="1" customWidth="1"/>
    <col min="14357" max="14357" width="9.875" bestFit="1" customWidth="1"/>
    <col min="14358" max="14358" width="9" customWidth="1"/>
    <col min="14363" max="14363" width="7.625" bestFit="1" customWidth="1"/>
    <col min="14595" max="14595" width="9.875" bestFit="1" customWidth="1"/>
    <col min="14596" max="14596" width="9" customWidth="1"/>
    <col min="14601" max="14601" width="7.625" bestFit="1" customWidth="1"/>
    <col min="14602" max="14602" width="7.75" bestFit="1" customWidth="1"/>
    <col min="14603" max="14603" width="8" bestFit="1" customWidth="1"/>
    <col min="14604" max="14604" width="9.875" bestFit="1" customWidth="1"/>
    <col min="14605" max="14605" width="9" customWidth="1"/>
    <col min="14610" max="14610" width="7.625" bestFit="1" customWidth="1"/>
    <col min="14611" max="14611" width="7.75" bestFit="1" customWidth="1"/>
    <col min="14612" max="14612" width="8" bestFit="1" customWidth="1"/>
    <col min="14613" max="14613" width="9.875" bestFit="1" customWidth="1"/>
    <col min="14614" max="14614" width="9" customWidth="1"/>
    <col min="14619" max="14619" width="7.625" bestFit="1" customWidth="1"/>
    <col min="14851" max="14851" width="9.875" bestFit="1" customWidth="1"/>
    <col min="14852" max="14852" width="9" customWidth="1"/>
    <col min="14857" max="14857" width="7.625" bestFit="1" customWidth="1"/>
    <col min="14858" max="14858" width="7.75" bestFit="1" customWidth="1"/>
    <col min="14859" max="14859" width="8" bestFit="1" customWidth="1"/>
    <col min="14860" max="14860" width="9.875" bestFit="1" customWidth="1"/>
    <col min="14861" max="14861" width="9" customWidth="1"/>
    <col min="14866" max="14866" width="7.625" bestFit="1" customWidth="1"/>
    <col min="14867" max="14867" width="7.75" bestFit="1" customWidth="1"/>
    <col min="14868" max="14868" width="8" bestFit="1" customWidth="1"/>
    <col min="14869" max="14869" width="9.875" bestFit="1" customWidth="1"/>
    <col min="14870" max="14870" width="9" customWidth="1"/>
    <col min="14875" max="14875" width="7.625" bestFit="1" customWidth="1"/>
    <col min="15107" max="15107" width="9.875" bestFit="1" customWidth="1"/>
    <col min="15108" max="15108" width="9" customWidth="1"/>
    <col min="15113" max="15113" width="7.625" bestFit="1" customWidth="1"/>
    <col min="15114" max="15114" width="7.75" bestFit="1" customWidth="1"/>
    <col min="15115" max="15115" width="8" bestFit="1" customWidth="1"/>
    <col min="15116" max="15116" width="9.875" bestFit="1" customWidth="1"/>
    <col min="15117" max="15117" width="9" customWidth="1"/>
    <col min="15122" max="15122" width="7.625" bestFit="1" customWidth="1"/>
    <col min="15123" max="15123" width="7.75" bestFit="1" customWidth="1"/>
    <col min="15124" max="15124" width="8" bestFit="1" customWidth="1"/>
    <col min="15125" max="15125" width="9.875" bestFit="1" customWidth="1"/>
    <col min="15126" max="15126" width="9" customWidth="1"/>
    <col min="15131" max="15131" width="7.625" bestFit="1" customWidth="1"/>
    <col min="15363" max="15363" width="9.875" bestFit="1" customWidth="1"/>
    <col min="15364" max="15364" width="9" customWidth="1"/>
    <col min="15369" max="15369" width="7.625" bestFit="1" customWidth="1"/>
    <col min="15370" max="15370" width="7.75" bestFit="1" customWidth="1"/>
    <col min="15371" max="15371" width="8" bestFit="1" customWidth="1"/>
    <col min="15372" max="15372" width="9.875" bestFit="1" customWidth="1"/>
    <col min="15373" max="15373" width="9" customWidth="1"/>
    <col min="15378" max="15378" width="7.625" bestFit="1" customWidth="1"/>
    <col min="15379" max="15379" width="7.75" bestFit="1" customWidth="1"/>
    <col min="15380" max="15380" width="8" bestFit="1" customWidth="1"/>
    <col min="15381" max="15381" width="9.875" bestFit="1" customWidth="1"/>
    <col min="15382" max="15382" width="9" customWidth="1"/>
    <col min="15387" max="15387" width="7.625" bestFit="1" customWidth="1"/>
    <col min="15619" max="15619" width="9.875" bestFit="1" customWidth="1"/>
    <col min="15620" max="15620" width="9" customWidth="1"/>
    <col min="15625" max="15625" width="7.625" bestFit="1" customWidth="1"/>
    <col min="15626" max="15626" width="7.75" bestFit="1" customWidth="1"/>
    <col min="15627" max="15627" width="8" bestFit="1" customWidth="1"/>
    <col min="15628" max="15628" width="9.875" bestFit="1" customWidth="1"/>
    <col min="15629" max="15629" width="9" customWidth="1"/>
    <col min="15634" max="15634" width="7.625" bestFit="1" customWidth="1"/>
    <col min="15635" max="15635" width="7.75" bestFit="1" customWidth="1"/>
    <col min="15636" max="15636" width="8" bestFit="1" customWidth="1"/>
    <col min="15637" max="15637" width="9.875" bestFit="1" customWidth="1"/>
    <col min="15638" max="15638" width="9" customWidth="1"/>
    <col min="15643" max="15643" width="7.625" bestFit="1" customWidth="1"/>
    <col min="15875" max="15875" width="9.875" bestFit="1" customWidth="1"/>
    <col min="15876" max="15876" width="9" customWidth="1"/>
    <col min="15881" max="15881" width="7.625" bestFit="1" customWidth="1"/>
    <col min="15882" max="15882" width="7.75" bestFit="1" customWidth="1"/>
    <col min="15883" max="15883" width="8" bestFit="1" customWidth="1"/>
    <col min="15884" max="15884" width="9.875" bestFit="1" customWidth="1"/>
    <col min="15885" max="15885" width="9" customWidth="1"/>
    <col min="15890" max="15890" width="7.625" bestFit="1" customWidth="1"/>
    <col min="15891" max="15891" width="7.75" bestFit="1" customWidth="1"/>
    <col min="15892" max="15892" width="8" bestFit="1" customWidth="1"/>
    <col min="15893" max="15893" width="9.875" bestFit="1" customWidth="1"/>
    <col min="15894" max="15894" width="9" customWidth="1"/>
    <col min="15899" max="15899" width="7.625" bestFit="1" customWidth="1"/>
    <col min="16131" max="16131" width="9.875" bestFit="1" customWidth="1"/>
    <col min="16132" max="16132" width="9" customWidth="1"/>
    <col min="16137" max="16137" width="7.625" bestFit="1" customWidth="1"/>
    <col min="16138" max="16138" width="7.75" bestFit="1" customWidth="1"/>
    <col min="16139" max="16139" width="8" bestFit="1" customWidth="1"/>
    <col min="16140" max="16140" width="9.875" bestFit="1" customWidth="1"/>
    <col min="16141" max="16141" width="9" customWidth="1"/>
    <col min="16146" max="16146" width="7.625" bestFit="1" customWidth="1"/>
    <col min="16147" max="16147" width="7.75" bestFit="1" customWidth="1"/>
    <col min="16148" max="16148" width="8" bestFit="1" customWidth="1"/>
    <col min="16149" max="16149" width="9.875" bestFit="1" customWidth="1"/>
    <col min="16150" max="16150" width="9" customWidth="1"/>
    <col min="16155" max="16155" width="7.625" bestFit="1" customWidth="1"/>
  </cols>
  <sheetData>
    <row r="1" spans="1:99" ht="35.25">
      <c r="A1" s="1" t="s">
        <v>21</v>
      </c>
      <c r="B1" s="78" t="s">
        <v>22</v>
      </c>
      <c r="C1" s="78"/>
      <c r="D1" s="78"/>
      <c r="E1" s="78"/>
      <c r="F1" s="78"/>
      <c r="G1" s="78"/>
      <c r="H1" s="78"/>
      <c r="I1" s="78"/>
      <c r="J1" s="78"/>
      <c r="K1" s="78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99" ht="14.25">
      <c r="A2" s="3" t="s">
        <v>23</v>
      </c>
      <c r="B2" s="79" t="s">
        <v>24</v>
      </c>
      <c r="C2" s="80"/>
      <c r="D2" s="80"/>
      <c r="E2" s="80"/>
      <c r="F2" s="80"/>
      <c r="G2" s="80"/>
      <c r="H2" s="80"/>
      <c r="I2" s="80"/>
      <c r="J2" s="80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99" ht="14.25">
      <c r="A3" s="3" t="s">
        <v>0</v>
      </c>
      <c r="B3" s="79" t="s">
        <v>25</v>
      </c>
      <c r="C3" s="80"/>
      <c r="D3" s="80"/>
      <c r="E3" s="80"/>
      <c r="F3" s="80"/>
      <c r="G3" s="80"/>
      <c r="H3" s="80"/>
      <c r="I3" s="80"/>
      <c r="J3" s="80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99" ht="14.25" customHeight="1">
      <c r="A4" s="19" t="s">
        <v>167</v>
      </c>
      <c r="B4" s="5" t="s">
        <v>26</v>
      </c>
      <c r="C4" s="5" t="s">
        <v>27</v>
      </c>
      <c r="D4" s="5" t="s">
        <v>28</v>
      </c>
      <c r="E4" s="5" t="s">
        <v>11</v>
      </c>
      <c r="F4" s="5" t="s">
        <v>12</v>
      </c>
      <c r="G4" s="21" t="s">
        <v>3</v>
      </c>
      <c r="H4" s="38" t="s">
        <v>4</v>
      </c>
      <c r="I4" s="81" t="s">
        <v>29</v>
      </c>
      <c r="J4" s="19" t="s">
        <v>167</v>
      </c>
      <c r="K4" s="20" t="s">
        <v>26</v>
      </c>
      <c r="L4" s="20" t="s">
        <v>27</v>
      </c>
      <c r="M4" s="20" t="s">
        <v>28</v>
      </c>
      <c r="N4" s="20" t="s">
        <v>11</v>
      </c>
      <c r="O4" s="20" t="s">
        <v>12</v>
      </c>
      <c r="P4" s="21" t="s">
        <v>3</v>
      </c>
      <c r="Q4" s="38" t="s">
        <v>4</v>
      </c>
      <c r="R4" s="86" t="s">
        <v>29</v>
      </c>
      <c r="S4" s="19" t="s">
        <v>167</v>
      </c>
      <c r="T4" s="5" t="s">
        <v>26</v>
      </c>
      <c r="U4" s="5" t="s">
        <v>27</v>
      </c>
      <c r="V4" s="5" t="s">
        <v>28</v>
      </c>
      <c r="W4" s="5" t="s">
        <v>11</v>
      </c>
      <c r="X4" s="5" t="s">
        <v>12</v>
      </c>
      <c r="Y4" s="21" t="s">
        <v>3</v>
      </c>
      <c r="Z4" s="38" t="s">
        <v>4</v>
      </c>
      <c r="AA4" s="81" t="s">
        <v>29</v>
      </c>
      <c r="AB4" s="19" t="s">
        <v>167</v>
      </c>
      <c r="AC4" s="20" t="s">
        <v>26</v>
      </c>
      <c r="AD4" s="20" t="s">
        <v>27</v>
      </c>
      <c r="AE4" s="20" t="s">
        <v>28</v>
      </c>
      <c r="AF4" s="20" t="s">
        <v>11</v>
      </c>
      <c r="AG4" s="20" t="s">
        <v>12</v>
      </c>
      <c r="AH4" s="21" t="s">
        <v>3</v>
      </c>
      <c r="AI4" s="38" t="s">
        <v>4</v>
      </c>
      <c r="AJ4" s="86" t="s">
        <v>29</v>
      </c>
      <c r="AK4" s="19" t="s">
        <v>167</v>
      </c>
      <c r="AL4" s="20" t="s">
        <v>26</v>
      </c>
      <c r="AM4" s="20" t="s">
        <v>27</v>
      </c>
      <c r="AN4" s="20" t="s">
        <v>28</v>
      </c>
      <c r="AO4" s="20" t="s">
        <v>11</v>
      </c>
      <c r="AP4" s="20" t="s">
        <v>12</v>
      </c>
      <c r="AQ4" s="21" t="s">
        <v>3</v>
      </c>
      <c r="AR4" s="38" t="s">
        <v>4</v>
      </c>
      <c r="AS4" s="38" t="s">
        <v>29</v>
      </c>
      <c r="AT4" s="19" t="s">
        <v>167</v>
      </c>
      <c r="AU4" s="20" t="s">
        <v>26</v>
      </c>
      <c r="AV4" s="20" t="s">
        <v>27</v>
      </c>
      <c r="AW4" s="20" t="s">
        <v>28</v>
      </c>
      <c r="AX4" s="20" t="s">
        <v>11</v>
      </c>
      <c r="AY4" s="20" t="s">
        <v>12</v>
      </c>
      <c r="AZ4" s="21" t="s">
        <v>3</v>
      </c>
      <c r="BA4" s="38" t="s">
        <v>4</v>
      </c>
      <c r="BB4" s="49" t="s">
        <v>29</v>
      </c>
      <c r="BC4" s="19" t="s">
        <v>167</v>
      </c>
      <c r="BD4" s="20" t="s">
        <v>26</v>
      </c>
      <c r="BE4" s="20" t="s">
        <v>27</v>
      </c>
      <c r="BF4" s="20" t="s">
        <v>28</v>
      </c>
      <c r="BG4" s="20" t="s">
        <v>11</v>
      </c>
      <c r="BH4" s="20" t="s">
        <v>12</v>
      </c>
      <c r="BI4" s="21" t="s">
        <v>3</v>
      </c>
      <c r="BJ4" s="38" t="s">
        <v>4</v>
      </c>
      <c r="BK4" s="38" t="s">
        <v>29</v>
      </c>
      <c r="BL4" s="19" t="s">
        <v>167</v>
      </c>
      <c r="BM4" s="5" t="s">
        <v>26</v>
      </c>
      <c r="BN4" s="5" t="s">
        <v>27</v>
      </c>
      <c r="BO4" s="5" t="s">
        <v>28</v>
      </c>
      <c r="BP4" s="5" t="s">
        <v>11</v>
      </c>
      <c r="BQ4" s="5" t="s">
        <v>12</v>
      </c>
      <c r="BR4" s="21" t="s">
        <v>3</v>
      </c>
      <c r="BS4" s="38" t="s">
        <v>4</v>
      </c>
      <c r="BT4" s="36" t="s">
        <v>29</v>
      </c>
      <c r="BU4" s="19" t="s">
        <v>167</v>
      </c>
      <c r="BV4" s="20" t="s">
        <v>26</v>
      </c>
      <c r="BW4" s="20" t="s">
        <v>27</v>
      </c>
      <c r="BX4" s="20" t="s">
        <v>28</v>
      </c>
      <c r="BY4" s="20" t="s">
        <v>11</v>
      </c>
      <c r="BZ4" s="20" t="s">
        <v>12</v>
      </c>
      <c r="CA4" s="21" t="s">
        <v>3</v>
      </c>
      <c r="CB4" s="38" t="s">
        <v>4</v>
      </c>
      <c r="CC4" s="38" t="s">
        <v>29</v>
      </c>
      <c r="CD4" s="19" t="s">
        <v>167</v>
      </c>
      <c r="CE4" s="5" t="s">
        <v>26</v>
      </c>
      <c r="CF4" s="5" t="s">
        <v>27</v>
      </c>
      <c r="CG4" s="5" t="s">
        <v>28</v>
      </c>
      <c r="CH4" s="5" t="s">
        <v>11</v>
      </c>
      <c r="CI4" s="5" t="s">
        <v>12</v>
      </c>
      <c r="CJ4" s="21" t="s">
        <v>3</v>
      </c>
      <c r="CK4" s="38" t="s">
        <v>4</v>
      </c>
      <c r="CL4" s="36" t="s">
        <v>29</v>
      </c>
      <c r="CM4" s="19" t="s">
        <v>167</v>
      </c>
      <c r="CN4" s="20" t="s">
        <v>26</v>
      </c>
      <c r="CO4" s="20" t="s">
        <v>27</v>
      </c>
      <c r="CP4" s="20" t="s">
        <v>28</v>
      </c>
      <c r="CQ4" s="20" t="s">
        <v>11</v>
      </c>
      <c r="CR4" s="20" t="s">
        <v>12</v>
      </c>
      <c r="CS4" s="21" t="s">
        <v>3</v>
      </c>
      <c r="CT4" s="38" t="s">
        <v>4</v>
      </c>
      <c r="CU4" s="38" t="s">
        <v>29</v>
      </c>
    </row>
    <row r="5" spans="1:99" ht="15">
      <c r="A5" s="7" t="s">
        <v>30</v>
      </c>
      <c r="B5" s="8">
        <v>19207</v>
      </c>
      <c r="C5" s="8">
        <v>1710.7</v>
      </c>
      <c r="D5" s="4">
        <v>1.4</v>
      </c>
      <c r="E5" s="8" t="s">
        <v>10</v>
      </c>
      <c r="F5" s="50">
        <v>1</v>
      </c>
      <c r="G5" s="24" t="s">
        <v>15</v>
      </c>
      <c r="H5" s="25" t="s">
        <v>6</v>
      </c>
      <c r="I5" s="82"/>
      <c r="J5" s="22" t="s">
        <v>31</v>
      </c>
      <c r="K5" s="28">
        <v>19943</v>
      </c>
      <c r="L5" s="28">
        <v>1784.3</v>
      </c>
      <c r="M5" s="23">
        <v>1.4</v>
      </c>
      <c r="N5" s="28" t="s">
        <v>10</v>
      </c>
      <c r="O5" s="29">
        <v>1</v>
      </c>
      <c r="P5" s="24" t="s">
        <v>31</v>
      </c>
      <c r="Q5" s="25" t="s">
        <v>7</v>
      </c>
      <c r="R5" s="86"/>
      <c r="S5" s="7" t="s">
        <v>30</v>
      </c>
      <c r="T5" s="8">
        <v>19225</v>
      </c>
      <c r="U5" s="8">
        <v>1712.5</v>
      </c>
      <c r="V5" s="4">
        <v>5</v>
      </c>
      <c r="W5" s="8" t="s">
        <v>10</v>
      </c>
      <c r="X5" s="50">
        <v>1</v>
      </c>
      <c r="Y5" s="24" t="s">
        <v>15</v>
      </c>
      <c r="Z5" s="25" t="s">
        <v>6</v>
      </c>
      <c r="AA5" s="82"/>
      <c r="AB5" s="22" t="s">
        <v>32</v>
      </c>
      <c r="AC5" s="28">
        <v>19575</v>
      </c>
      <c r="AD5" s="28">
        <v>1747.5</v>
      </c>
      <c r="AE5" s="23">
        <v>5</v>
      </c>
      <c r="AF5" s="28" t="s">
        <v>10</v>
      </c>
      <c r="AG5" s="29">
        <v>1</v>
      </c>
      <c r="AH5" s="24" t="s">
        <v>15</v>
      </c>
      <c r="AI5" s="25" t="s">
        <v>7</v>
      </c>
      <c r="AJ5" s="86"/>
      <c r="AK5" s="27" t="s">
        <v>31</v>
      </c>
      <c r="AL5" s="28">
        <v>19925</v>
      </c>
      <c r="AM5" s="28">
        <v>1782.5</v>
      </c>
      <c r="AN5" s="23">
        <v>5</v>
      </c>
      <c r="AO5" s="28" t="s">
        <v>10</v>
      </c>
      <c r="AP5" s="29">
        <v>1</v>
      </c>
      <c r="AQ5" s="24" t="s">
        <v>31</v>
      </c>
      <c r="AR5" s="25" t="s">
        <v>7</v>
      </c>
      <c r="AS5" s="38"/>
      <c r="AT5" s="27" t="s">
        <v>30</v>
      </c>
      <c r="AU5" s="28">
        <v>19225</v>
      </c>
      <c r="AV5" s="28">
        <v>1712.5</v>
      </c>
      <c r="AW5" s="23">
        <v>5</v>
      </c>
      <c r="AX5" s="28" t="s">
        <v>10</v>
      </c>
      <c r="AY5" s="29">
        <v>25</v>
      </c>
      <c r="AZ5" s="24" t="s">
        <v>30</v>
      </c>
      <c r="BA5" s="25" t="s">
        <v>6</v>
      </c>
      <c r="BB5" s="51"/>
      <c r="BC5" s="27" t="s">
        <v>31</v>
      </c>
      <c r="BD5" s="28">
        <v>19925</v>
      </c>
      <c r="BE5" s="28">
        <v>1782.5</v>
      </c>
      <c r="BF5" s="23">
        <v>5</v>
      </c>
      <c r="BG5" s="28" t="s">
        <v>10</v>
      </c>
      <c r="BH5" s="29">
        <v>25</v>
      </c>
      <c r="BI5" s="24" t="s">
        <v>31</v>
      </c>
      <c r="BJ5" s="25" t="s">
        <v>7</v>
      </c>
      <c r="BK5" s="38"/>
      <c r="BL5" s="7" t="s">
        <v>30</v>
      </c>
      <c r="BM5" s="8">
        <v>19300</v>
      </c>
      <c r="BN5" s="8">
        <v>1720</v>
      </c>
      <c r="BO5" s="4">
        <v>20</v>
      </c>
      <c r="BP5" s="8" t="s">
        <v>10</v>
      </c>
      <c r="BQ5" s="50">
        <v>1</v>
      </c>
      <c r="BR5" s="24" t="s">
        <v>15</v>
      </c>
      <c r="BS5" s="25" t="s">
        <v>6</v>
      </c>
      <c r="BT5" s="37"/>
      <c r="BU5" s="27" t="s">
        <v>31</v>
      </c>
      <c r="BV5" s="28">
        <v>19850</v>
      </c>
      <c r="BW5" s="28">
        <v>1775</v>
      </c>
      <c r="BX5" s="23">
        <v>20</v>
      </c>
      <c r="BY5" s="28" t="s">
        <v>10</v>
      </c>
      <c r="BZ5" s="29">
        <v>1</v>
      </c>
      <c r="CA5" s="24" t="s">
        <v>31</v>
      </c>
      <c r="CB5" s="25" t="s">
        <v>7</v>
      </c>
      <c r="CC5" s="38"/>
      <c r="CD5" s="7" t="s">
        <v>30</v>
      </c>
      <c r="CE5" s="8">
        <v>19300</v>
      </c>
      <c r="CF5" s="8">
        <v>1720</v>
      </c>
      <c r="CG5" s="4">
        <v>20</v>
      </c>
      <c r="CH5" s="8" t="s">
        <v>10</v>
      </c>
      <c r="CI5" s="50">
        <v>100</v>
      </c>
      <c r="CJ5" s="24" t="s">
        <v>30</v>
      </c>
      <c r="CK5" s="25" t="s">
        <v>6</v>
      </c>
      <c r="CL5" s="37"/>
      <c r="CM5" s="27" t="s">
        <v>31</v>
      </c>
      <c r="CN5" s="28">
        <v>19850</v>
      </c>
      <c r="CO5" s="28">
        <v>1775</v>
      </c>
      <c r="CP5" s="23">
        <v>20</v>
      </c>
      <c r="CQ5" s="28" t="s">
        <v>10</v>
      </c>
      <c r="CR5" s="29">
        <v>100</v>
      </c>
      <c r="CS5" s="24" t="s">
        <v>30</v>
      </c>
      <c r="CT5" s="25" t="s">
        <v>7</v>
      </c>
      <c r="CU5" s="38"/>
    </row>
    <row r="6" spans="1:99" ht="14.25">
      <c r="A6" s="83" t="s">
        <v>16</v>
      </c>
      <c r="B6" s="84"/>
      <c r="C6" s="6" t="s">
        <v>17</v>
      </c>
      <c r="D6" s="6" t="s">
        <v>33</v>
      </c>
      <c r="E6" s="83" t="s">
        <v>34</v>
      </c>
      <c r="F6" s="85"/>
      <c r="G6" s="84"/>
      <c r="H6" s="26" t="s">
        <v>5</v>
      </c>
      <c r="I6" s="2"/>
      <c r="J6" s="83" t="s">
        <v>16</v>
      </c>
      <c r="K6" s="84"/>
      <c r="L6" s="18" t="s">
        <v>17</v>
      </c>
      <c r="M6" s="18" t="s">
        <v>33</v>
      </c>
      <c r="N6" s="83" t="s">
        <v>34</v>
      </c>
      <c r="O6" s="85"/>
      <c r="P6" s="84"/>
      <c r="Q6" s="26" t="s">
        <v>5</v>
      </c>
      <c r="R6" s="19"/>
      <c r="S6" s="83" t="s">
        <v>16</v>
      </c>
      <c r="T6" s="84"/>
      <c r="U6" s="6" t="s">
        <v>17</v>
      </c>
      <c r="V6" s="6" t="s">
        <v>33</v>
      </c>
      <c r="W6" s="83" t="s">
        <v>34</v>
      </c>
      <c r="X6" s="85"/>
      <c r="Y6" s="84"/>
      <c r="Z6" s="26" t="s">
        <v>5</v>
      </c>
      <c r="AA6" s="2"/>
      <c r="AB6" s="83" t="s">
        <v>16</v>
      </c>
      <c r="AC6" s="84"/>
      <c r="AD6" s="18" t="s">
        <v>17</v>
      </c>
      <c r="AE6" s="18" t="s">
        <v>33</v>
      </c>
      <c r="AF6" s="83" t="s">
        <v>34</v>
      </c>
      <c r="AG6" s="85"/>
      <c r="AH6" s="84"/>
      <c r="AI6" s="26" t="s">
        <v>5</v>
      </c>
      <c r="AJ6" s="19"/>
      <c r="AK6" s="39" t="s">
        <v>16</v>
      </c>
      <c r="AL6" s="40"/>
      <c r="AM6" s="18" t="s">
        <v>17</v>
      </c>
      <c r="AN6" s="18" t="s">
        <v>33</v>
      </c>
      <c r="AO6" s="83" t="s">
        <v>34</v>
      </c>
      <c r="AP6" s="85"/>
      <c r="AQ6" s="84"/>
      <c r="AR6" s="26" t="s">
        <v>5</v>
      </c>
      <c r="AS6" s="19"/>
      <c r="AT6" s="39" t="s">
        <v>16</v>
      </c>
      <c r="AU6" s="40"/>
      <c r="AV6" s="18" t="s">
        <v>17</v>
      </c>
      <c r="AW6" s="18" t="s">
        <v>33</v>
      </c>
      <c r="AX6" s="83" t="s">
        <v>34</v>
      </c>
      <c r="AY6" s="85"/>
      <c r="AZ6" s="84"/>
      <c r="BA6" s="26" t="s">
        <v>5</v>
      </c>
      <c r="BB6" s="19"/>
      <c r="BC6" s="39" t="s">
        <v>16</v>
      </c>
      <c r="BD6" s="40"/>
      <c r="BE6" s="18" t="s">
        <v>17</v>
      </c>
      <c r="BF6" s="18" t="s">
        <v>33</v>
      </c>
      <c r="BG6" s="83" t="s">
        <v>34</v>
      </c>
      <c r="BH6" s="85"/>
      <c r="BI6" s="84"/>
      <c r="BJ6" s="26" t="s">
        <v>5</v>
      </c>
      <c r="BK6" s="19"/>
      <c r="BL6" s="52" t="s">
        <v>16</v>
      </c>
      <c r="BM6" s="53"/>
      <c r="BN6" s="6" t="s">
        <v>17</v>
      </c>
      <c r="BO6" s="6" t="s">
        <v>33</v>
      </c>
      <c r="BP6" s="83" t="s">
        <v>34</v>
      </c>
      <c r="BQ6" s="85"/>
      <c r="BR6" s="84"/>
      <c r="BS6" s="26" t="s">
        <v>5</v>
      </c>
      <c r="BT6" s="2"/>
      <c r="BU6" s="39" t="s">
        <v>16</v>
      </c>
      <c r="BV6" s="40"/>
      <c r="BW6" s="18" t="s">
        <v>17</v>
      </c>
      <c r="BX6" s="18" t="s">
        <v>33</v>
      </c>
      <c r="BY6" s="83" t="s">
        <v>34</v>
      </c>
      <c r="BZ6" s="85"/>
      <c r="CA6" s="84"/>
      <c r="CB6" s="26" t="s">
        <v>5</v>
      </c>
      <c r="CC6" s="19"/>
      <c r="CD6" s="52" t="s">
        <v>16</v>
      </c>
      <c r="CE6" s="53"/>
      <c r="CF6" s="6" t="s">
        <v>17</v>
      </c>
      <c r="CG6" s="6" t="s">
        <v>33</v>
      </c>
      <c r="CH6" s="83" t="s">
        <v>34</v>
      </c>
      <c r="CI6" s="85"/>
      <c r="CJ6" s="84"/>
      <c r="CK6" s="26" t="s">
        <v>5</v>
      </c>
      <c r="CL6" s="2"/>
      <c r="CM6" s="39" t="s">
        <v>16</v>
      </c>
      <c r="CN6" s="40"/>
      <c r="CO6" s="18" t="s">
        <v>17</v>
      </c>
      <c r="CP6" s="18" t="s">
        <v>33</v>
      </c>
      <c r="CQ6" s="83" t="s">
        <v>34</v>
      </c>
      <c r="CR6" s="85"/>
      <c r="CS6" s="84"/>
      <c r="CT6" s="26" t="s">
        <v>5</v>
      </c>
      <c r="CU6" s="19"/>
    </row>
    <row r="7" spans="1:99" ht="15">
      <c r="A7" s="54">
        <f>((C5-2.5*0.18)-0.2)*2</f>
        <v>3420.1</v>
      </c>
      <c r="B7" s="54">
        <f>((C5-2.5*0.18)+0.2)*2</f>
        <v>3420.9</v>
      </c>
      <c r="C7" s="10" t="s">
        <v>9</v>
      </c>
      <c r="D7" s="10" t="s">
        <v>9</v>
      </c>
      <c r="E7" s="87" t="s">
        <v>35</v>
      </c>
      <c r="F7" s="88"/>
      <c r="G7" s="89"/>
      <c r="H7" s="75">
        <v>-47.682000000000002</v>
      </c>
      <c r="I7" s="55" t="s">
        <v>36</v>
      </c>
      <c r="J7" s="54">
        <f>((L5+2.5*0.18)-0.2)*2</f>
        <v>3569.1</v>
      </c>
      <c r="K7" s="54">
        <f>((L5+2.5*0.18)+0.2)*2</f>
        <v>3569.9</v>
      </c>
      <c r="L7" s="10" t="s">
        <v>9</v>
      </c>
      <c r="M7" s="10" t="s">
        <v>9</v>
      </c>
      <c r="N7" s="87" t="s">
        <v>35</v>
      </c>
      <c r="O7" s="88"/>
      <c r="P7" s="89"/>
      <c r="Q7" s="77">
        <v>-35.755000000000003</v>
      </c>
      <c r="R7" s="55" t="s">
        <v>36</v>
      </c>
      <c r="S7" s="54">
        <f>((U5-INT((V5*5)/2)*0.18)-0.2)*2</f>
        <v>3420.2799999999997</v>
      </c>
      <c r="T7" s="54">
        <f>((U5-INT((V5*5)/2)*0.18)+0.2)*2</f>
        <v>3421.08</v>
      </c>
      <c r="U7" s="10" t="s">
        <v>9</v>
      </c>
      <c r="V7" s="10" t="s">
        <v>9</v>
      </c>
      <c r="W7" s="87" t="s">
        <v>35</v>
      </c>
      <c r="X7" s="88"/>
      <c r="Y7" s="89"/>
      <c r="Z7" s="75">
        <v>-46.091999999999999</v>
      </c>
      <c r="AA7" s="55" t="s">
        <v>36</v>
      </c>
      <c r="AB7" s="54">
        <f>((AD5-INT((AE5*5)/2)*0.18)-0.2)*2</f>
        <v>3490.2799999999997</v>
      </c>
      <c r="AC7" s="54">
        <f>((AD5-INT((AE5*5)/2)*0.18)+0.2)*2</f>
        <v>3491.08</v>
      </c>
      <c r="AD7" s="10" t="s">
        <v>9</v>
      </c>
      <c r="AE7" s="10" t="s">
        <v>9</v>
      </c>
      <c r="AF7" s="87" t="s">
        <v>35</v>
      </c>
      <c r="AG7" s="88"/>
      <c r="AH7" s="89"/>
      <c r="AI7" s="75">
        <v>-55.09</v>
      </c>
      <c r="AJ7" s="55" t="s">
        <v>36</v>
      </c>
      <c r="AK7" s="54">
        <f>((AM5+INT((AN5*5)/2)*0.18)-0.2)*2</f>
        <v>3568.92</v>
      </c>
      <c r="AL7" s="54">
        <f>((AM5+INT((AN5*5)/2)*0.18)+0.2)*2</f>
        <v>3569.7200000000003</v>
      </c>
      <c r="AM7" s="10" t="s">
        <v>9</v>
      </c>
      <c r="AN7" s="10" t="s">
        <v>9</v>
      </c>
      <c r="AO7" s="87" t="s">
        <v>35</v>
      </c>
      <c r="AP7" s="88"/>
      <c r="AQ7" s="89"/>
      <c r="AR7" s="75"/>
      <c r="AS7" s="55" t="s">
        <v>36</v>
      </c>
      <c r="AT7" s="54">
        <f>(AV5-AW5/2)*2</f>
        <v>3420</v>
      </c>
      <c r="AU7" s="54">
        <f>(AV5+AW5/2)*2</f>
        <v>3430</v>
      </c>
      <c r="AV7" s="10" t="s">
        <v>9</v>
      </c>
      <c r="AW7" s="10" t="s">
        <v>9</v>
      </c>
      <c r="AX7" s="87" t="s">
        <v>35</v>
      </c>
      <c r="AY7" s="88"/>
      <c r="AZ7" s="89"/>
      <c r="BA7" s="75"/>
      <c r="BB7" s="55" t="s">
        <v>36</v>
      </c>
      <c r="BC7" s="54">
        <f>(BE5-BF5/2)*2</f>
        <v>3560</v>
      </c>
      <c r="BD7" s="54">
        <f>(BE5+BF5/2)*2</f>
        <v>3570</v>
      </c>
      <c r="BE7" s="10" t="s">
        <v>9</v>
      </c>
      <c r="BF7" s="10" t="s">
        <v>9</v>
      </c>
      <c r="BG7" s="87" t="s">
        <v>35</v>
      </c>
      <c r="BH7" s="88"/>
      <c r="BI7" s="89"/>
      <c r="BJ7" s="75"/>
      <c r="BK7" s="55" t="s">
        <v>36</v>
      </c>
      <c r="BL7" s="54">
        <f>((BN5-(INT((BO5*5)/2)-0.5)*0.18)-0.2)*2</f>
        <v>3421.7799999999997</v>
      </c>
      <c r="BM7" s="54">
        <f>((BN5-(INT((BO5*5)/2)-0.5)*0.18)+0.2)*2</f>
        <v>3422.58</v>
      </c>
      <c r="BN7" s="10" t="s">
        <v>9</v>
      </c>
      <c r="BO7" s="10" t="s">
        <v>9</v>
      </c>
      <c r="BP7" s="87" t="s">
        <v>35</v>
      </c>
      <c r="BQ7" s="88"/>
      <c r="BR7" s="89"/>
      <c r="BS7" s="75"/>
      <c r="BT7" s="55" t="s">
        <v>36</v>
      </c>
      <c r="BU7" s="54">
        <f>((BW5+(INT((BX5*5)/2)-0.5)*0.18)-0.2)*2</f>
        <v>3567.42</v>
      </c>
      <c r="BV7" s="54">
        <f>((BW5+(INT((BX5*5)/2)-0.5)*0.18)+0.2)*2</f>
        <v>3568.2200000000003</v>
      </c>
      <c r="BW7" s="10" t="s">
        <v>9</v>
      </c>
      <c r="BX7" s="10" t="s">
        <v>9</v>
      </c>
      <c r="BY7" s="87" t="s">
        <v>35</v>
      </c>
      <c r="BZ7" s="88"/>
      <c r="CA7" s="89"/>
      <c r="CB7" s="75"/>
      <c r="CC7" s="55" t="s">
        <v>36</v>
      </c>
      <c r="CD7" s="54">
        <f>(CF5-CG5/2)*2</f>
        <v>3420</v>
      </c>
      <c r="CE7" s="54">
        <f>(CF5+CG5/2)*2</f>
        <v>3460</v>
      </c>
      <c r="CF7" s="10" t="s">
        <v>9</v>
      </c>
      <c r="CG7" s="10" t="s">
        <v>9</v>
      </c>
      <c r="CH7" s="87" t="s">
        <v>35</v>
      </c>
      <c r="CI7" s="88"/>
      <c r="CJ7" s="89"/>
      <c r="CK7" s="75"/>
      <c r="CL7" s="55" t="s">
        <v>36</v>
      </c>
      <c r="CM7" s="54">
        <f>(CO5-CP5/2)*2</f>
        <v>3530</v>
      </c>
      <c r="CN7" s="54">
        <f>(CO5+CP5/2)*2</f>
        <v>3570</v>
      </c>
      <c r="CO7" s="10" t="s">
        <v>9</v>
      </c>
      <c r="CP7" s="10" t="s">
        <v>9</v>
      </c>
      <c r="CQ7" s="87" t="s">
        <v>35</v>
      </c>
      <c r="CR7" s="88"/>
      <c r="CS7" s="89"/>
      <c r="CT7" s="75"/>
      <c r="CU7" s="55" t="s">
        <v>36</v>
      </c>
    </row>
    <row r="8" spans="1:99" ht="15">
      <c r="A8" s="54">
        <f>((C5-2.5*0.18)-0.2)*3</f>
        <v>5130.1499999999996</v>
      </c>
      <c r="B8" s="54">
        <f>((C5-2.5*0.18)+0.2)*2</f>
        <v>3420.9</v>
      </c>
      <c r="C8" s="10" t="s">
        <v>9</v>
      </c>
      <c r="D8" s="10" t="s">
        <v>9</v>
      </c>
      <c r="E8" s="87" t="s">
        <v>35</v>
      </c>
      <c r="F8" s="88"/>
      <c r="G8" s="89"/>
      <c r="H8" s="75">
        <v>-69.667000000000002</v>
      </c>
      <c r="I8" s="55" t="s">
        <v>37</v>
      </c>
      <c r="J8" s="54">
        <f>((L5+2.5*0.18)-0.2)*3</f>
        <v>5353.65</v>
      </c>
      <c r="K8" s="54">
        <f>((L5+2.5*0.18)+0.2)*3</f>
        <v>5354.85</v>
      </c>
      <c r="L8" s="10" t="s">
        <v>9</v>
      </c>
      <c r="M8" s="10" t="s">
        <v>9</v>
      </c>
      <c r="N8" s="87" t="s">
        <v>35</v>
      </c>
      <c r="O8" s="88"/>
      <c r="P8" s="89"/>
      <c r="Q8" s="77">
        <v>-70.251999999999995</v>
      </c>
      <c r="R8" s="55" t="s">
        <v>37</v>
      </c>
      <c r="S8" s="54">
        <f>((U5-INT((V5*5)/2)*0.18)-0.2)*3</f>
        <v>5130.42</v>
      </c>
      <c r="T8" s="54">
        <f>((U5-INT((V5*5)/2)*0.18)+0.2)*3</f>
        <v>5131.62</v>
      </c>
      <c r="U8" s="10" t="s">
        <v>9</v>
      </c>
      <c r="V8" s="10" t="s">
        <v>9</v>
      </c>
      <c r="W8" s="87" t="s">
        <v>35</v>
      </c>
      <c r="X8" s="88"/>
      <c r="Y8" s="89"/>
      <c r="Z8" s="75">
        <v>-69.623999999999995</v>
      </c>
      <c r="AA8" s="55" t="s">
        <v>37</v>
      </c>
      <c r="AB8" s="54">
        <f>((AD5-INT((AE5*5)/2)*0.18)-0.2)*3</f>
        <v>5235.42</v>
      </c>
      <c r="AC8" s="54">
        <f>((AD5-INT((AE5*5)/2)*0.18)+0.2)*3</f>
        <v>5236.62</v>
      </c>
      <c r="AD8" s="10" t="s">
        <v>9</v>
      </c>
      <c r="AE8" s="10" t="s">
        <v>9</v>
      </c>
      <c r="AF8" s="87" t="s">
        <v>35</v>
      </c>
      <c r="AG8" s="88"/>
      <c r="AH8" s="89"/>
      <c r="AI8" s="75">
        <v>-70.361000000000004</v>
      </c>
      <c r="AJ8" s="55" t="s">
        <v>37</v>
      </c>
      <c r="AK8" s="54">
        <f>((AM5+INT((AN5*5)/2)*0.18)-0.2)*3</f>
        <v>5353.38</v>
      </c>
      <c r="AL8" s="54">
        <f>((AM5+INT((AN5*5)/2)*0.18)+0.2)*3</f>
        <v>5354.58</v>
      </c>
      <c r="AM8" s="10" t="s">
        <v>9</v>
      </c>
      <c r="AN8" s="10" t="s">
        <v>9</v>
      </c>
      <c r="AO8" s="87" t="s">
        <v>35</v>
      </c>
      <c r="AP8" s="88"/>
      <c r="AQ8" s="89"/>
      <c r="AR8" s="75"/>
      <c r="AS8" s="55" t="s">
        <v>37</v>
      </c>
      <c r="AT8" s="54">
        <f>(AV5-AW5/2)*3</f>
        <v>5130</v>
      </c>
      <c r="AU8" s="54">
        <f>(AV5+AW5/2)*3</f>
        <v>5145</v>
      </c>
      <c r="AV8" s="10" t="s">
        <v>9</v>
      </c>
      <c r="AW8" s="10" t="s">
        <v>9</v>
      </c>
      <c r="AX8" s="87" t="s">
        <v>35</v>
      </c>
      <c r="AY8" s="88"/>
      <c r="AZ8" s="89"/>
      <c r="BA8" s="75"/>
      <c r="BB8" s="55" t="s">
        <v>37</v>
      </c>
      <c r="BC8" s="54">
        <f>(BE5-BF5/2)*3</f>
        <v>5340</v>
      </c>
      <c r="BD8" s="54">
        <f>(BE5+BF5/2)*3</f>
        <v>5355</v>
      </c>
      <c r="BE8" s="10" t="s">
        <v>9</v>
      </c>
      <c r="BF8" s="10" t="s">
        <v>9</v>
      </c>
      <c r="BG8" s="87" t="s">
        <v>35</v>
      </c>
      <c r="BH8" s="88"/>
      <c r="BI8" s="89"/>
      <c r="BJ8" s="75"/>
      <c r="BK8" s="55" t="s">
        <v>37</v>
      </c>
      <c r="BL8" s="54">
        <f>((BN5-(INT((BO5*5)/2)-0.5)*0.18)-0.2)*3</f>
        <v>5132.67</v>
      </c>
      <c r="BM8" s="54">
        <f>((BN5-(INT((BO5*5)/2)-0.5)*0.18)+0.2)*3</f>
        <v>5133.87</v>
      </c>
      <c r="BN8" s="10" t="s">
        <v>9</v>
      </c>
      <c r="BO8" s="10" t="s">
        <v>9</v>
      </c>
      <c r="BP8" s="87" t="s">
        <v>35</v>
      </c>
      <c r="BQ8" s="88"/>
      <c r="BR8" s="89"/>
      <c r="BS8" s="75"/>
      <c r="BT8" s="55" t="s">
        <v>37</v>
      </c>
      <c r="BU8" s="54">
        <f>((BW5+(INT((BX5*5)/2)-0.5)*0.18)-0.2)*3</f>
        <v>5351.13</v>
      </c>
      <c r="BV8" s="54">
        <f>((BW5+(INT((BX5*5)/2)-0.5)*0.18)+0.2)*3</f>
        <v>5352.33</v>
      </c>
      <c r="BW8" s="10" t="s">
        <v>9</v>
      </c>
      <c r="BX8" s="10" t="s">
        <v>9</v>
      </c>
      <c r="BY8" s="87" t="s">
        <v>35</v>
      </c>
      <c r="BZ8" s="88"/>
      <c r="CA8" s="89"/>
      <c r="CB8" s="75"/>
      <c r="CC8" s="55" t="s">
        <v>37</v>
      </c>
      <c r="CD8" s="54">
        <f>(CF5-CG5/2)*3</f>
        <v>5130</v>
      </c>
      <c r="CE8" s="54">
        <f>(CF5+CG5/2)*3</f>
        <v>5190</v>
      </c>
      <c r="CF8" s="10" t="s">
        <v>9</v>
      </c>
      <c r="CG8" s="10" t="s">
        <v>9</v>
      </c>
      <c r="CH8" s="87" t="s">
        <v>35</v>
      </c>
      <c r="CI8" s="88"/>
      <c r="CJ8" s="89"/>
      <c r="CK8" s="75"/>
      <c r="CL8" s="55" t="s">
        <v>37</v>
      </c>
      <c r="CM8" s="54">
        <f>(CO5-CP5/2)*3</f>
        <v>5295</v>
      </c>
      <c r="CN8" s="54">
        <f>(CO5+CP5/2)*3</f>
        <v>5355</v>
      </c>
      <c r="CO8" s="10" t="s">
        <v>9</v>
      </c>
      <c r="CP8" s="10" t="s">
        <v>9</v>
      </c>
      <c r="CQ8" s="87" t="s">
        <v>35</v>
      </c>
      <c r="CR8" s="88"/>
      <c r="CS8" s="89"/>
      <c r="CT8" s="75"/>
      <c r="CU8" s="55" t="s">
        <v>37</v>
      </c>
    </row>
    <row r="9" spans="1:99" ht="15">
      <c r="A9" s="54">
        <f>((C5-2.5*0.18)-0.2)*4</f>
        <v>6840.2</v>
      </c>
      <c r="B9" s="54">
        <f>((C5-2.5*0.18)+0.2)*4</f>
        <v>6841.8</v>
      </c>
      <c r="C9" s="10" t="s">
        <v>9</v>
      </c>
      <c r="D9" s="10" t="s">
        <v>9</v>
      </c>
      <c r="E9" s="90" t="s">
        <v>35</v>
      </c>
      <c r="F9" s="90"/>
      <c r="G9" s="90"/>
      <c r="H9" s="75">
        <v>-69.933999999999997</v>
      </c>
      <c r="I9" s="55" t="s">
        <v>38</v>
      </c>
      <c r="J9" s="54">
        <f>((L5+2.5*0.18)-0.2)*4</f>
        <v>7138.2</v>
      </c>
      <c r="K9" s="54">
        <f>((L5+2.5*0.18)+0.2)*4</f>
        <v>7139.8</v>
      </c>
      <c r="L9" s="10" t="s">
        <v>9</v>
      </c>
      <c r="M9" s="10" t="s">
        <v>9</v>
      </c>
      <c r="N9" s="90" t="s">
        <v>35</v>
      </c>
      <c r="O9" s="90"/>
      <c r="P9" s="90"/>
      <c r="Q9" s="75">
        <v>-67.274000000000001</v>
      </c>
      <c r="R9" s="55" t="s">
        <v>38</v>
      </c>
      <c r="S9" s="54">
        <f>((U5-INT((V5*5)/2)*0.18)-0.2)*4</f>
        <v>6840.5599999999995</v>
      </c>
      <c r="T9" s="54">
        <f>((U5-INT((V5*5)/2)*0.18)+0.2)*4</f>
        <v>6842.16</v>
      </c>
      <c r="U9" s="10" t="s">
        <v>9</v>
      </c>
      <c r="V9" s="10" t="s">
        <v>9</v>
      </c>
      <c r="W9" s="90" t="s">
        <v>35</v>
      </c>
      <c r="X9" s="90"/>
      <c r="Y9" s="90"/>
      <c r="Z9" s="75">
        <v>-69.866</v>
      </c>
      <c r="AA9" s="55" t="s">
        <v>38</v>
      </c>
      <c r="AB9" s="54">
        <f>((AD5-INT((AE5*5)/2)*0.18)-0.2)*4</f>
        <v>6980.5599999999995</v>
      </c>
      <c r="AC9" s="54">
        <f>((AD5-INT((AE5*5)/2)*0.18)+0.2)*4</f>
        <v>6982.16</v>
      </c>
      <c r="AD9" s="10" t="s">
        <v>9</v>
      </c>
      <c r="AE9" s="10" t="s">
        <v>9</v>
      </c>
      <c r="AF9" s="90" t="s">
        <v>35</v>
      </c>
      <c r="AG9" s="90"/>
      <c r="AH9" s="90"/>
      <c r="AI9" s="75">
        <v>-69.376999999999995</v>
      </c>
      <c r="AJ9" s="55" t="s">
        <v>38</v>
      </c>
      <c r="AK9" s="54">
        <f>((AM5+INT((AN5*5)/2)*0.18)-0.2)*4</f>
        <v>7137.84</v>
      </c>
      <c r="AL9" s="54">
        <f>((AM5+INT((AN5*5)/2)*0.18)+0.2)*4</f>
        <v>7139.4400000000005</v>
      </c>
      <c r="AM9" s="10" t="s">
        <v>9</v>
      </c>
      <c r="AN9" s="10" t="s">
        <v>9</v>
      </c>
      <c r="AO9" s="87" t="s">
        <v>39</v>
      </c>
      <c r="AP9" s="88"/>
      <c r="AQ9" s="89"/>
      <c r="AR9" s="75"/>
      <c r="AS9" s="55" t="s">
        <v>38</v>
      </c>
      <c r="AT9" s="54">
        <f>(AV5-AW5/2)*4</f>
        <v>6840</v>
      </c>
      <c r="AU9" s="54">
        <f>(AV5+AW5/2)*4</f>
        <v>6860</v>
      </c>
      <c r="AV9" s="10" t="s">
        <v>9</v>
      </c>
      <c r="AW9" s="10" t="s">
        <v>9</v>
      </c>
      <c r="AX9" s="87" t="s">
        <v>39</v>
      </c>
      <c r="AY9" s="88"/>
      <c r="AZ9" s="89"/>
      <c r="BA9" s="75"/>
      <c r="BB9" s="55" t="s">
        <v>38</v>
      </c>
      <c r="BC9" s="54">
        <f>(BE5-BF5/2)*4</f>
        <v>7120</v>
      </c>
      <c r="BD9" s="54">
        <f>(BE5+BF5/2)*4</f>
        <v>7140</v>
      </c>
      <c r="BE9" s="10" t="s">
        <v>9</v>
      </c>
      <c r="BF9" s="10" t="s">
        <v>9</v>
      </c>
      <c r="BG9" s="87" t="s">
        <v>39</v>
      </c>
      <c r="BH9" s="88"/>
      <c r="BI9" s="89"/>
      <c r="BJ9" s="75"/>
      <c r="BK9" s="55" t="s">
        <v>38</v>
      </c>
      <c r="BL9" s="54">
        <f>((BN5-(INT((BO5*5)/2)-0.5)*0.18)-0.2)*4</f>
        <v>6843.5599999999995</v>
      </c>
      <c r="BM9" s="54">
        <f>((BN5-(INT((BO5*5)/2)-0.5)*0.18)+0.2)*4</f>
        <v>6845.16</v>
      </c>
      <c r="BN9" s="10" t="s">
        <v>9</v>
      </c>
      <c r="BO9" s="10" t="s">
        <v>9</v>
      </c>
      <c r="BP9" s="87" t="s">
        <v>39</v>
      </c>
      <c r="BQ9" s="88"/>
      <c r="BR9" s="89"/>
      <c r="BS9" s="75"/>
      <c r="BT9" s="55" t="s">
        <v>38</v>
      </c>
      <c r="BU9" s="54">
        <f>((BW5+(INT((BX5*5)/2)-0.5)*0.18)-0.2)*4</f>
        <v>7134.84</v>
      </c>
      <c r="BV9" s="54">
        <f>((BW5+(INT((BX5*5)/2)-0.5)*0.18)+0.2)*4</f>
        <v>7136.4400000000005</v>
      </c>
      <c r="BW9" s="10" t="s">
        <v>9</v>
      </c>
      <c r="BX9" s="10" t="s">
        <v>9</v>
      </c>
      <c r="BY9" s="87" t="s">
        <v>39</v>
      </c>
      <c r="BZ9" s="88"/>
      <c r="CA9" s="89"/>
      <c r="CB9" s="75"/>
      <c r="CC9" s="55" t="s">
        <v>38</v>
      </c>
      <c r="CD9" s="54">
        <f>(CF5-CG5/2)*4</f>
        <v>6840</v>
      </c>
      <c r="CE9" s="54">
        <f>(CF5+CG5/2)*4</f>
        <v>6920</v>
      </c>
      <c r="CF9" s="10" t="s">
        <v>9</v>
      </c>
      <c r="CG9" s="10" t="s">
        <v>9</v>
      </c>
      <c r="CH9" s="87" t="s">
        <v>39</v>
      </c>
      <c r="CI9" s="88"/>
      <c r="CJ9" s="89"/>
      <c r="CK9" s="75"/>
      <c r="CL9" s="55" t="s">
        <v>38</v>
      </c>
      <c r="CM9" s="54">
        <f>(CO5-CP5/2)*4</f>
        <v>7060</v>
      </c>
      <c r="CN9" s="54">
        <f>(CO5+CP5/2)*4</f>
        <v>7140</v>
      </c>
      <c r="CO9" s="10" t="s">
        <v>9</v>
      </c>
      <c r="CP9" s="10" t="s">
        <v>9</v>
      </c>
      <c r="CQ9" s="87" t="s">
        <v>35</v>
      </c>
      <c r="CR9" s="88"/>
      <c r="CS9" s="89"/>
      <c r="CT9" s="75"/>
      <c r="CU9" s="55" t="s">
        <v>38</v>
      </c>
    </row>
    <row r="10" spans="1:99" ht="15">
      <c r="A10" s="54">
        <f>((C5-2.5*0.18)-0.2)*5</f>
        <v>8550.25</v>
      </c>
      <c r="B10" s="54">
        <f>((C5-2.5*0.18)+0.2)*5</f>
        <v>8552.25</v>
      </c>
      <c r="C10" s="10" t="s">
        <v>9</v>
      </c>
      <c r="D10" s="10" t="s">
        <v>9</v>
      </c>
      <c r="E10" s="87" t="s">
        <v>35</v>
      </c>
      <c r="F10" s="88"/>
      <c r="G10" s="89"/>
      <c r="H10" s="75">
        <v>-67.849999999999994</v>
      </c>
      <c r="I10" s="55" t="s">
        <v>40</v>
      </c>
      <c r="J10" s="54">
        <f>((L5+2.5*0.18)-0.2)*5</f>
        <v>8922.75</v>
      </c>
      <c r="K10" s="54">
        <f>((L5+2.5*0.18)+0.2)*5</f>
        <v>8924.75</v>
      </c>
      <c r="L10" s="10" t="s">
        <v>9</v>
      </c>
      <c r="M10" s="10" t="s">
        <v>9</v>
      </c>
      <c r="N10" s="87" t="s">
        <v>35</v>
      </c>
      <c r="O10" s="88"/>
      <c r="P10" s="89"/>
      <c r="Q10" s="77">
        <v>-68.826999999999998</v>
      </c>
      <c r="R10" s="55" t="s">
        <v>40</v>
      </c>
      <c r="S10" s="54">
        <f>((U5-INT((V5*5)/2)*0.18)-0.2)*5</f>
        <v>8550.6999999999989</v>
      </c>
      <c r="T10" s="54">
        <f>((U5-INT((V5*5)/2)*0.18)+0.2)*5</f>
        <v>8552.7000000000007</v>
      </c>
      <c r="U10" s="10" t="s">
        <v>9</v>
      </c>
      <c r="V10" s="10" t="s">
        <v>9</v>
      </c>
      <c r="W10" s="87" t="s">
        <v>35</v>
      </c>
      <c r="X10" s="88"/>
      <c r="Y10" s="89"/>
      <c r="Z10" s="75">
        <v>-67.757999999999996</v>
      </c>
      <c r="AA10" s="55" t="s">
        <v>40</v>
      </c>
      <c r="AB10" s="54">
        <f>((AD5-INT((AE5*5)/2)*0.18)-0.2)*5</f>
        <v>8725.6999999999989</v>
      </c>
      <c r="AC10" s="54">
        <f>((AD5-INT((AE5*5)/2)*0.18)+0.2)*5</f>
        <v>8727.7000000000007</v>
      </c>
      <c r="AD10" s="10" t="s">
        <v>9</v>
      </c>
      <c r="AE10" s="10" t="s">
        <v>9</v>
      </c>
      <c r="AF10" s="87" t="s">
        <v>35</v>
      </c>
      <c r="AG10" s="88"/>
      <c r="AH10" s="89"/>
      <c r="AI10" s="75">
        <v>-69.037999999999997</v>
      </c>
      <c r="AJ10" s="55" t="s">
        <v>40</v>
      </c>
      <c r="AK10" s="54">
        <f>((AM5+INT((AN5*5)/2)*0.18)-0.2)*5</f>
        <v>8922.2999999999993</v>
      </c>
      <c r="AL10" s="54">
        <f>((AM5+INT((AN5*5)/2)*0.18)+0.2)*5</f>
        <v>8924.3000000000011</v>
      </c>
      <c r="AM10" s="10" t="s">
        <v>9</v>
      </c>
      <c r="AN10" s="10" t="s">
        <v>9</v>
      </c>
      <c r="AO10" s="87" t="s">
        <v>39</v>
      </c>
      <c r="AP10" s="88"/>
      <c r="AQ10" s="89"/>
      <c r="AR10" s="75"/>
      <c r="AS10" s="55" t="s">
        <v>40</v>
      </c>
      <c r="AT10" s="54">
        <f>(AV5-AW5/2)*5</f>
        <v>8550</v>
      </c>
      <c r="AU10" s="54">
        <f>(AV5+AW5/2)*5</f>
        <v>8575</v>
      </c>
      <c r="AV10" s="10" t="s">
        <v>9</v>
      </c>
      <c r="AW10" s="10" t="s">
        <v>9</v>
      </c>
      <c r="AX10" s="87" t="s">
        <v>39</v>
      </c>
      <c r="AY10" s="88"/>
      <c r="AZ10" s="89"/>
      <c r="BA10" s="75"/>
      <c r="BB10" s="55" t="s">
        <v>40</v>
      </c>
      <c r="BC10" s="54">
        <f>(BE5-BF5/2)*5</f>
        <v>8900</v>
      </c>
      <c r="BD10" s="54">
        <f>(BE5+BF5/2)*5</f>
        <v>8925</v>
      </c>
      <c r="BE10" s="10" t="s">
        <v>9</v>
      </c>
      <c r="BF10" s="10" t="s">
        <v>9</v>
      </c>
      <c r="BG10" s="87" t="s">
        <v>39</v>
      </c>
      <c r="BH10" s="88"/>
      <c r="BI10" s="89"/>
      <c r="BJ10" s="75"/>
      <c r="BK10" s="55" t="s">
        <v>40</v>
      </c>
      <c r="BL10" s="54">
        <f>((BN5-(INT((BO5*5)/2)-0.5)*0.18)-0.2)*5</f>
        <v>8554.4499999999989</v>
      </c>
      <c r="BM10" s="54">
        <f>((BN5-(INT((BO5*5)/2)-0.5)*0.18)+0.2)*5</f>
        <v>8556.4500000000007</v>
      </c>
      <c r="BN10" s="10" t="s">
        <v>9</v>
      </c>
      <c r="BO10" s="10" t="s">
        <v>9</v>
      </c>
      <c r="BP10" s="87" t="s">
        <v>39</v>
      </c>
      <c r="BQ10" s="88"/>
      <c r="BR10" s="89"/>
      <c r="BS10" s="75"/>
      <c r="BT10" s="55" t="s">
        <v>40</v>
      </c>
      <c r="BU10" s="54">
        <f>((BW5+(INT((BX5*5)/2)-0.5)*0.18)-0.2)*5</f>
        <v>8918.5499999999993</v>
      </c>
      <c r="BV10" s="54">
        <f>((BW5+(INT((BX5*5)/2)-0.5)*0.18)+0.2)*5</f>
        <v>8920.5500000000011</v>
      </c>
      <c r="BW10" s="10" t="s">
        <v>9</v>
      </c>
      <c r="BX10" s="10" t="s">
        <v>9</v>
      </c>
      <c r="BY10" s="87" t="s">
        <v>39</v>
      </c>
      <c r="BZ10" s="88"/>
      <c r="CA10" s="89"/>
      <c r="CB10" s="75"/>
      <c r="CC10" s="55" t="s">
        <v>40</v>
      </c>
      <c r="CD10" s="54">
        <f>(CF5-CG5/2)*5</f>
        <v>8550</v>
      </c>
      <c r="CE10" s="54">
        <f>(CF5+CG5/2)*5</f>
        <v>8650</v>
      </c>
      <c r="CF10" s="10" t="s">
        <v>9</v>
      </c>
      <c r="CG10" s="10" t="s">
        <v>9</v>
      </c>
      <c r="CH10" s="87" t="s">
        <v>39</v>
      </c>
      <c r="CI10" s="88"/>
      <c r="CJ10" s="89"/>
      <c r="CK10" s="75"/>
      <c r="CL10" s="55" t="s">
        <v>40</v>
      </c>
      <c r="CM10" s="54">
        <f>(CO5-CP5/2)*5</f>
        <v>8825</v>
      </c>
      <c r="CN10" s="54">
        <f>(CO5+CP5/2)*5</f>
        <v>8925</v>
      </c>
      <c r="CO10" s="10" t="s">
        <v>9</v>
      </c>
      <c r="CP10" s="10" t="s">
        <v>9</v>
      </c>
      <c r="CQ10" s="87" t="s">
        <v>35</v>
      </c>
      <c r="CR10" s="88"/>
      <c r="CS10" s="89"/>
      <c r="CT10" s="75"/>
      <c r="CU10" s="55" t="s">
        <v>40</v>
      </c>
    </row>
    <row r="11" spans="1:99" ht="15">
      <c r="A11" s="54">
        <f>((C5-2.5*0.18)-0.2)*6</f>
        <v>10260.299999999999</v>
      </c>
      <c r="B11" s="54">
        <f>((C5-2.5*0.18)+0.2)*6</f>
        <v>10262.700000000001</v>
      </c>
      <c r="C11" s="10" t="s">
        <v>9</v>
      </c>
      <c r="D11" s="10" t="s">
        <v>9</v>
      </c>
      <c r="E11" s="90" t="s">
        <v>35</v>
      </c>
      <c r="F11" s="90"/>
      <c r="G11" s="90"/>
      <c r="H11" s="75">
        <v>-68.977000000000004</v>
      </c>
      <c r="I11" s="55" t="s">
        <v>41</v>
      </c>
      <c r="J11" s="54">
        <f>((L5+2.5*0.18)-0.2)*6</f>
        <v>10707.3</v>
      </c>
      <c r="K11" s="54">
        <f>((L5+2.5*0.18)+0.2)*6</f>
        <v>10709.7</v>
      </c>
      <c r="L11" s="10" t="s">
        <v>9</v>
      </c>
      <c r="M11" s="10" t="s">
        <v>9</v>
      </c>
      <c r="N11" s="90" t="s">
        <v>35</v>
      </c>
      <c r="O11" s="90"/>
      <c r="P11" s="90"/>
      <c r="Q11" s="77">
        <v>-68.718999999999994</v>
      </c>
      <c r="R11" s="55" t="s">
        <v>41</v>
      </c>
      <c r="S11" s="54">
        <f>((U5-INT((V5*5)/2)*0.18)-0.2)*6</f>
        <v>10260.84</v>
      </c>
      <c r="T11" s="54">
        <f>((U5-INT((V5*5)/2)*0.18)+0.2)*6</f>
        <v>10263.24</v>
      </c>
      <c r="U11" s="10" t="s">
        <v>9</v>
      </c>
      <c r="V11" s="10" t="s">
        <v>9</v>
      </c>
      <c r="W11" s="90" t="s">
        <v>35</v>
      </c>
      <c r="X11" s="90"/>
      <c r="Y11" s="90"/>
      <c r="Z11" s="75">
        <v>-68.941000000000003</v>
      </c>
      <c r="AA11" s="55" t="s">
        <v>41</v>
      </c>
      <c r="AB11" s="54">
        <f>((AD5-INT((AE5*5)/2)*0.18)-0.2)*6</f>
        <v>10470.84</v>
      </c>
      <c r="AC11" s="54">
        <f>((AD5-INT((AE5*5)/2)*0.18)+0.2)*6</f>
        <v>10473.24</v>
      </c>
      <c r="AD11" s="10" t="s">
        <v>9</v>
      </c>
      <c r="AE11" s="10" t="s">
        <v>9</v>
      </c>
      <c r="AF11" s="90" t="s">
        <v>35</v>
      </c>
      <c r="AG11" s="90"/>
      <c r="AH11" s="90"/>
      <c r="AI11" s="75">
        <v>-68.930000000000007</v>
      </c>
      <c r="AJ11" s="55" t="s">
        <v>41</v>
      </c>
      <c r="AK11" s="54">
        <f>((AM5+INT((AN5*5)/2)*0.18)-0.2)*6</f>
        <v>10706.76</v>
      </c>
      <c r="AL11" s="54">
        <f>((AM5+INT((AN5*5)/2)*0.18)+0.2)*6</f>
        <v>10709.16</v>
      </c>
      <c r="AM11" s="10" t="s">
        <v>9</v>
      </c>
      <c r="AN11" s="10" t="s">
        <v>9</v>
      </c>
      <c r="AO11" s="87" t="s">
        <v>39</v>
      </c>
      <c r="AP11" s="88"/>
      <c r="AQ11" s="89"/>
      <c r="AR11" s="75"/>
      <c r="AS11" s="55" t="s">
        <v>41</v>
      </c>
      <c r="AT11" s="54">
        <f>(AV5-AW5/2)*6</f>
        <v>10260</v>
      </c>
      <c r="AU11" s="54">
        <f>(AV5+AW5/2)*6</f>
        <v>10290</v>
      </c>
      <c r="AV11" s="10" t="s">
        <v>9</v>
      </c>
      <c r="AW11" s="10" t="s">
        <v>9</v>
      </c>
      <c r="AX11" s="87" t="s">
        <v>39</v>
      </c>
      <c r="AY11" s="88"/>
      <c r="AZ11" s="89"/>
      <c r="BA11" s="75"/>
      <c r="BB11" s="55" t="s">
        <v>41</v>
      </c>
      <c r="BC11" s="54">
        <f>(BE5-BF5/2)*6</f>
        <v>10680</v>
      </c>
      <c r="BD11" s="54">
        <f>(BE5+BF5/2)*6</f>
        <v>10710</v>
      </c>
      <c r="BE11" s="10" t="s">
        <v>9</v>
      </c>
      <c r="BF11" s="10" t="s">
        <v>9</v>
      </c>
      <c r="BG11" s="87" t="s">
        <v>39</v>
      </c>
      <c r="BH11" s="88"/>
      <c r="BI11" s="89"/>
      <c r="BJ11" s="75"/>
      <c r="BK11" s="55" t="s">
        <v>41</v>
      </c>
      <c r="BL11" s="54">
        <f>((BN5-(INT((BO5*5)/2)-0.5)*0.18)-0.2)*6</f>
        <v>10265.34</v>
      </c>
      <c r="BM11" s="54">
        <f>((BN5-(INT((BO5*5)/2)-0.5)*0.18)+0.2)*6</f>
        <v>10267.74</v>
      </c>
      <c r="BN11" s="10" t="s">
        <v>9</v>
      </c>
      <c r="BO11" s="10" t="s">
        <v>9</v>
      </c>
      <c r="BP11" s="87" t="s">
        <v>39</v>
      </c>
      <c r="BQ11" s="88"/>
      <c r="BR11" s="89"/>
      <c r="BS11" s="75"/>
      <c r="BT11" s="55" t="s">
        <v>41</v>
      </c>
      <c r="BU11" s="54">
        <f>((BW5+(INT((BX5*5)/2)-0.5)*0.18)-0.2)*6</f>
        <v>10702.26</v>
      </c>
      <c r="BV11" s="54">
        <f>((BW5+(INT((BX5*5)/2)-0.5)*0.18)+0.2)*6</f>
        <v>10704.66</v>
      </c>
      <c r="BW11" s="10" t="s">
        <v>9</v>
      </c>
      <c r="BX11" s="10" t="s">
        <v>9</v>
      </c>
      <c r="BY11" s="87" t="s">
        <v>39</v>
      </c>
      <c r="BZ11" s="88"/>
      <c r="CA11" s="89"/>
      <c r="CB11" s="75"/>
      <c r="CC11" s="55" t="s">
        <v>41</v>
      </c>
      <c r="CD11" s="54">
        <f>(CF5-CG5/2)*6</f>
        <v>10260</v>
      </c>
      <c r="CE11" s="54">
        <f>(CF5+CG5/2)*6</f>
        <v>10380</v>
      </c>
      <c r="CF11" s="10" t="s">
        <v>9</v>
      </c>
      <c r="CG11" s="10" t="s">
        <v>9</v>
      </c>
      <c r="CH11" s="87" t="s">
        <v>39</v>
      </c>
      <c r="CI11" s="88"/>
      <c r="CJ11" s="89"/>
      <c r="CK11" s="75"/>
      <c r="CL11" s="55" t="s">
        <v>41</v>
      </c>
      <c r="CM11" s="54">
        <f>(CO5-CP5/2)*6</f>
        <v>10590</v>
      </c>
      <c r="CN11" s="54">
        <f>(CO5+CP5/2)*6</f>
        <v>10710</v>
      </c>
      <c r="CO11" s="10" t="s">
        <v>9</v>
      </c>
      <c r="CP11" s="10" t="s">
        <v>9</v>
      </c>
      <c r="CQ11" s="87" t="s">
        <v>35</v>
      </c>
      <c r="CR11" s="88"/>
      <c r="CS11" s="89"/>
      <c r="CT11" s="75"/>
      <c r="CU11" s="55" t="s">
        <v>41</v>
      </c>
    </row>
    <row r="12" spans="1:99" ht="15">
      <c r="A12" s="54">
        <f>((C5-2.5*0.18)-0.2)*7</f>
        <v>11970.35</v>
      </c>
      <c r="B12" s="54">
        <f>((C5-2.5*0.18)+0.2)*7</f>
        <v>11973.15</v>
      </c>
      <c r="C12" s="10" t="s">
        <v>9</v>
      </c>
      <c r="D12" s="10" t="s">
        <v>9</v>
      </c>
      <c r="E12" s="90" t="s">
        <v>35</v>
      </c>
      <c r="F12" s="90"/>
      <c r="G12" s="90"/>
      <c r="H12" s="75">
        <v>-67.796000000000006</v>
      </c>
      <c r="I12" s="55" t="s">
        <v>42</v>
      </c>
      <c r="J12" s="54">
        <f>((L5+2.5*0.18)-0.2)*7</f>
        <v>12491.85</v>
      </c>
      <c r="K12" s="54">
        <f>((L5+2.5*0.18)+0.2)*7</f>
        <v>12494.65</v>
      </c>
      <c r="L12" s="10" t="s">
        <v>9</v>
      </c>
      <c r="M12" s="10" t="s">
        <v>9</v>
      </c>
      <c r="N12" s="90" t="s">
        <v>35</v>
      </c>
      <c r="O12" s="90"/>
      <c r="P12" s="90"/>
      <c r="Q12" s="77">
        <v>-67.11</v>
      </c>
      <c r="R12" s="55" t="s">
        <v>42</v>
      </c>
      <c r="S12" s="54">
        <f>((U5-INT((V5*5)/2)*0.18)-0.2)*7</f>
        <v>11970.98</v>
      </c>
      <c r="T12" s="54">
        <f>((U5-INT((V5*5)/2)*0.18)+0.2)*7</f>
        <v>11973.779999999999</v>
      </c>
      <c r="U12" s="10" t="s">
        <v>9</v>
      </c>
      <c r="V12" s="10" t="s">
        <v>9</v>
      </c>
      <c r="W12" s="90" t="s">
        <v>35</v>
      </c>
      <c r="X12" s="90"/>
      <c r="Y12" s="90"/>
      <c r="Z12" s="75">
        <v>-67.808000000000007</v>
      </c>
      <c r="AA12" s="55" t="s">
        <v>42</v>
      </c>
      <c r="AB12" s="54">
        <f>((AD5-INT((AE5*5)/2)*0.18)-0.2)*7</f>
        <v>12215.98</v>
      </c>
      <c r="AC12" s="54">
        <f>((AD5-INT((AE5*5)/2)*0.18)+0.2)*7</f>
        <v>12218.779999999999</v>
      </c>
      <c r="AD12" s="10" t="s">
        <v>9</v>
      </c>
      <c r="AE12" s="10" t="s">
        <v>9</v>
      </c>
      <c r="AF12" s="90" t="s">
        <v>35</v>
      </c>
      <c r="AG12" s="90"/>
      <c r="AH12" s="90"/>
      <c r="AI12" s="75">
        <v>-68.494</v>
      </c>
      <c r="AJ12" s="55" t="s">
        <v>42</v>
      </c>
      <c r="AK12" s="54">
        <f>((AM5+INT((AN5*5)/2)*0.18)-0.2)*7</f>
        <v>12491.220000000001</v>
      </c>
      <c r="AL12" s="54">
        <f>((AM5+INT((AN5*5)/2)*0.18)+0.2)*7</f>
        <v>12494.02</v>
      </c>
      <c r="AM12" s="10" t="s">
        <v>9</v>
      </c>
      <c r="AN12" s="10" t="s">
        <v>9</v>
      </c>
      <c r="AO12" s="87" t="s">
        <v>39</v>
      </c>
      <c r="AP12" s="88"/>
      <c r="AQ12" s="89"/>
      <c r="AR12" s="75"/>
      <c r="AS12" s="55" t="s">
        <v>42</v>
      </c>
      <c r="AT12" s="54">
        <f>(AV5-AW5/2)*7</f>
        <v>11970</v>
      </c>
      <c r="AU12" s="54">
        <f>(AV5+AW5/2)*7</f>
        <v>12005</v>
      </c>
      <c r="AV12" s="10" t="s">
        <v>9</v>
      </c>
      <c r="AW12" s="10" t="s">
        <v>9</v>
      </c>
      <c r="AX12" s="87" t="s">
        <v>39</v>
      </c>
      <c r="AY12" s="88"/>
      <c r="AZ12" s="89"/>
      <c r="BA12" s="75"/>
      <c r="BB12" s="55" t="s">
        <v>42</v>
      </c>
      <c r="BC12" s="54">
        <f>(BE5-BF5/2)*7</f>
        <v>12460</v>
      </c>
      <c r="BD12" s="54">
        <f>(BE5+BF5/2)*7</f>
        <v>12495</v>
      </c>
      <c r="BE12" s="10" t="s">
        <v>9</v>
      </c>
      <c r="BF12" s="10" t="s">
        <v>9</v>
      </c>
      <c r="BG12" s="87" t="s">
        <v>39</v>
      </c>
      <c r="BH12" s="88"/>
      <c r="BI12" s="89"/>
      <c r="BJ12" s="75"/>
      <c r="BK12" s="55" t="s">
        <v>42</v>
      </c>
      <c r="BL12" s="54">
        <f>((BN5-(INT((BO5*5)/2)-0.5)*0.18)-0.2)*7</f>
        <v>11976.23</v>
      </c>
      <c r="BM12" s="54">
        <f>((BN5-(INT((BO5*5)/2)-0.5)*0.18)+0.2)*7</f>
        <v>11979.029999999999</v>
      </c>
      <c r="BN12" s="10" t="s">
        <v>9</v>
      </c>
      <c r="BO12" s="10" t="s">
        <v>9</v>
      </c>
      <c r="BP12" s="87" t="s">
        <v>39</v>
      </c>
      <c r="BQ12" s="88"/>
      <c r="BR12" s="89"/>
      <c r="BS12" s="75"/>
      <c r="BT12" s="55" t="s">
        <v>42</v>
      </c>
      <c r="BU12" s="54">
        <f>((BW5+(INT((BX5*5)/2)-0.5)*0.18)-0.2)*7</f>
        <v>12485.970000000001</v>
      </c>
      <c r="BV12" s="54">
        <f>((BW5+(INT((BX5*5)/2)-0.5)*0.18)+0.2)*7</f>
        <v>12488.77</v>
      </c>
      <c r="BW12" s="10" t="s">
        <v>9</v>
      </c>
      <c r="BX12" s="10" t="s">
        <v>9</v>
      </c>
      <c r="BY12" s="87" t="s">
        <v>39</v>
      </c>
      <c r="BZ12" s="88"/>
      <c r="CA12" s="89"/>
      <c r="CB12" s="75"/>
      <c r="CC12" s="55" t="s">
        <v>42</v>
      </c>
      <c r="CD12" s="54">
        <f>(CF5-CG5/2)*7</f>
        <v>11970</v>
      </c>
      <c r="CE12" s="54">
        <f>(CF5+CG5/2)*7</f>
        <v>12110</v>
      </c>
      <c r="CF12" s="10" t="s">
        <v>9</v>
      </c>
      <c r="CG12" s="10" t="s">
        <v>9</v>
      </c>
      <c r="CH12" s="87" t="s">
        <v>39</v>
      </c>
      <c r="CI12" s="88"/>
      <c r="CJ12" s="89"/>
      <c r="CK12" s="75"/>
      <c r="CL12" s="55" t="s">
        <v>42</v>
      </c>
      <c r="CM12" s="54">
        <f>(CO5-CP5/2)*7</f>
        <v>12355</v>
      </c>
      <c r="CN12" s="54">
        <f>(CO5+CP5/2)*7</f>
        <v>12495</v>
      </c>
      <c r="CO12" s="10" t="s">
        <v>9</v>
      </c>
      <c r="CP12" s="10" t="s">
        <v>9</v>
      </c>
      <c r="CQ12" s="87" t="s">
        <v>35</v>
      </c>
      <c r="CR12" s="88"/>
      <c r="CS12" s="89"/>
      <c r="CT12" s="75"/>
      <c r="CU12" s="55" t="s">
        <v>41</v>
      </c>
    </row>
  </sheetData>
  <mergeCells count="88">
    <mergeCell ref="W6:Y6"/>
    <mergeCell ref="E11:G11"/>
    <mergeCell ref="N11:P11"/>
    <mergeCell ref="W11:Y11"/>
    <mergeCell ref="E12:G12"/>
    <mergeCell ref="N12:P12"/>
    <mergeCell ref="W12:Y12"/>
    <mergeCell ref="E9:G9"/>
    <mergeCell ref="N9:P9"/>
    <mergeCell ref="W9:Y9"/>
    <mergeCell ref="E10:G10"/>
    <mergeCell ref="N10:P10"/>
    <mergeCell ref="W10:Y10"/>
    <mergeCell ref="A6:B6"/>
    <mergeCell ref="E6:G6"/>
    <mergeCell ref="J6:K6"/>
    <mergeCell ref="N6:P6"/>
    <mergeCell ref="S6:T6"/>
    <mergeCell ref="AB6:AC6"/>
    <mergeCell ref="AF6:AH6"/>
    <mergeCell ref="AF7:AH7"/>
    <mergeCell ref="AF8:AH8"/>
    <mergeCell ref="B1:K1"/>
    <mergeCell ref="B2:J2"/>
    <mergeCell ref="B3:J3"/>
    <mergeCell ref="I4:I5"/>
    <mergeCell ref="R4:R5"/>
    <mergeCell ref="E7:G7"/>
    <mergeCell ref="N7:P7"/>
    <mergeCell ref="W7:Y7"/>
    <mergeCell ref="E8:G8"/>
    <mergeCell ref="N8:P8"/>
    <mergeCell ref="W8:Y8"/>
    <mergeCell ref="AA4:AA5"/>
    <mergeCell ref="AF12:AH12"/>
    <mergeCell ref="AF9:AH9"/>
    <mergeCell ref="AF10:AH10"/>
    <mergeCell ref="AF11:AH11"/>
    <mergeCell ref="AJ4:AJ5"/>
    <mergeCell ref="CH6:CJ6"/>
    <mergeCell ref="CQ6:CS6"/>
    <mergeCell ref="AO7:AQ7"/>
    <mergeCell ref="AX7:AZ7"/>
    <mergeCell ref="BG7:BI7"/>
    <mergeCell ref="BP7:BR7"/>
    <mergeCell ref="BY7:CA7"/>
    <mergeCell ref="CH7:CJ7"/>
    <mergeCell ref="CQ7:CS7"/>
    <mergeCell ref="AO6:AQ6"/>
    <mergeCell ref="AX6:AZ6"/>
    <mergeCell ref="BG6:BI6"/>
    <mergeCell ref="BP6:BR6"/>
    <mergeCell ref="BY6:CA6"/>
    <mergeCell ref="CH8:CJ8"/>
    <mergeCell ref="CQ8:CS8"/>
    <mergeCell ref="AO9:AQ9"/>
    <mergeCell ref="AX9:AZ9"/>
    <mergeCell ref="BG9:BI9"/>
    <mergeCell ref="BP9:BR9"/>
    <mergeCell ref="BY9:CA9"/>
    <mergeCell ref="CH9:CJ9"/>
    <mergeCell ref="CQ9:CS9"/>
    <mergeCell ref="AO8:AQ8"/>
    <mergeCell ref="AX8:AZ8"/>
    <mergeCell ref="BG8:BI8"/>
    <mergeCell ref="BP8:BR8"/>
    <mergeCell ref="BY8:CA8"/>
    <mergeCell ref="CH12:CJ12"/>
    <mergeCell ref="CQ12:CS12"/>
    <mergeCell ref="AO10:AQ10"/>
    <mergeCell ref="AX10:AZ10"/>
    <mergeCell ref="BG10:BI10"/>
    <mergeCell ref="BP10:BR10"/>
    <mergeCell ref="BY10:CA10"/>
    <mergeCell ref="CH10:CJ10"/>
    <mergeCell ref="CQ10:CS10"/>
    <mergeCell ref="AO11:AQ11"/>
    <mergeCell ref="AX11:AZ11"/>
    <mergeCell ref="BG11:BI11"/>
    <mergeCell ref="BP11:BR11"/>
    <mergeCell ref="BY11:CA11"/>
    <mergeCell ref="CH11:CJ11"/>
    <mergeCell ref="CQ11:CS11"/>
    <mergeCell ref="AO12:AQ12"/>
    <mergeCell ref="AX12:AZ12"/>
    <mergeCell ref="BG12:BI12"/>
    <mergeCell ref="BP12:BR12"/>
    <mergeCell ref="BY12:CA12"/>
  </mergeCells>
  <phoneticPr fontId="18" type="noConversion"/>
  <conditionalFormatting sqref="AR11">
    <cfRule type="containsBlanks" priority="133" stopIfTrue="1">
      <formula>LEN(TRIM(AR11))=0</formula>
    </cfRule>
    <cfRule type="cellIs" dxfId="2855" priority="134" stopIfTrue="1" operator="greaterThan">
      <formula>-30</formula>
    </cfRule>
    <cfRule type="cellIs" dxfId="2854" priority="135" stopIfTrue="1" operator="between">
      <formula>-33</formula>
      <formula>-30</formula>
    </cfRule>
  </conditionalFormatting>
  <conditionalFormatting sqref="BA10">
    <cfRule type="containsBlanks" priority="130" stopIfTrue="1">
      <formula>LEN(TRIM(BA10))=0</formula>
    </cfRule>
    <cfRule type="cellIs" dxfId="2853" priority="131" stopIfTrue="1" operator="greaterThan">
      <formula>-30</formula>
    </cfRule>
    <cfRule type="cellIs" dxfId="2852" priority="132" stopIfTrue="1" operator="between">
      <formula>-33</formula>
      <formula>-30</formula>
    </cfRule>
  </conditionalFormatting>
  <conditionalFormatting sqref="BA11">
    <cfRule type="containsBlanks" priority="127" stopIfTrue="1">
      <formula>LEN(TRIM(BA11))=0</formula>
    </cfRule>
    <cfRule type="cellIs" dxfId="2851" priority="128" stopIfTrue="1" operator="greaterThan">
      <formula>-30</formula>
    </cfRule>
    <cfRule type="cellIs" dxfId="2850" priority="129" stopIfTrue="1" operator="between">
      <formula>-33</formula>
      <formula>-30</formula>
    </cfRule>
  </conditionalFormatting>
  <conditionalFormatting sqref="BJ10">
    <cfRule type="containsBlanks" priority="124" stopIfTrue="1">
      <formula>LEN(TRIM(BJ10))=0</formula>
    </cfRule>
    <cfRule type="cellIs" dxfId="2849" priority="125" stopIfTrue="1" operator="greaterThan">
      <formula>-30</formula>
    </cfRule>
    <cfRule type="cellIs" dxfId="2848" priority="126" stopIfTrue="1" operator="between">
      <formula>-33</formula>
      <formula>-30</formula>
    </cfRule>
  </conditionalFormatting>
  <conditionalFormatting sqref="BJ11">
    <cfRule type="containsBlanks" priority="121" stopIfTrue="1">
      <formula>LEN(TRIM(BJ11))=0</formula>
    </cfRule>
    <cfRule type="cellIs" dxfId="2847" priority="122" stopIfTrue="1" operator="greaterThan">
      <formula>-30</formula>
    </cfRule>
    <cfRule type="cellIs" dxfId="2846" priority="123" stopIfTrue="1" operator="between">
      <formula>-33</formula>
      <formula>-30</formula>
    </cfRule>
  </conditionalFormatting>
  <conditionalFormatting sqref="BS10">
    <cfRule type="containsBlanks" priority="118" stopIfTrue="1">
      <formula>LEN(TRIM(BS10))=0</formula>
    </cfRule>
    <cfRule type="cellIs" dxfId="2845" priority="119" stopIfTrue="1" operator="greaterThan">
      <formula>-30</formula>
    </cfRule>
    <cfRule type="cellIs" dxfId="2844" priority="120" stopIfTrue="1" operator="between">
      <formula>-33</formula>
      <formula>-30</formula>
    </cfRule>
  </conditionalFormatting>
  <conditionalFormatting sqref="BS11">
    <cfRule type="containsBlanks" priority="115" stopIfTrue="1">
      <formula>LEN(TRIM(BS11))=0</formula>
    </cfRule>
    <cfRule type="cellIs" dxfId="2843" priority="116" stopIfTrue="1" operator="greaterThan">
      <formula>-30</formula>
    </cfRule>
    <cfRule type="cellIs" dxfId="2842" priority="117" stopIfTrue="1" operator="between">
      <formula>-33</formula>
      <formula>-30</formula>
    </cfRule>
  </conditionalFormatting>
  <conditionalFormatting sqref="CB10">
    <cfRule type="containsBlanks" priority="112" stopIfTrue="1">
      <formula>LEN(TRIM(CB10))=0</formula>
    </cfRule>
    <cfRule type="cellIs" dxfId="2841" priority="113" stopIfTrue="1" operator="greaterThan">
      <formula>-30</formula>
    </cfRule>
    <cfRule type="cellIs" dxfId="2840" priority="114" stopIfTrue="1" operator="between">
      <formula>-33</formula>
      <formula>-30</formula>
    </cfRule>
  </conditionalFormatting>
  <conditionalFormatting sqref="CB11">
    <cfRule type="containsBlanks" priority="109" stopIfTrue="1">
      <formula>LEN(TRIM(CB11))=0</formula>
    </cfRule>
    <cfRule type="cellIs" dxfId="2839" priority="110" stopIfTrue="1" operator="greaterThan">
      <formula>-30</formula>
    </cfRule>
    <cfRule type="cellIs" dxfId="2838" priority="111" stopIfTrue="1" operator="between">
      <formula>-33</formula>
      <formula>-30</formula>
    </cfRule>
  </conditionalFormatting>
  <conditionalFormatting sqref="Z10">
    <cfRule type="containsBlanks" priority="106" stopIfTrue="1">
      <formula>LEN(TRIM(Z10))=0</formula>
    </cfRule>
    <cfRule type="cellIs" dxfId="2837" priority="107" stopIfTrue="1" operator="greaterThan">
      <formula>-30</formula>
    </cfRule>
    <cfRule type="cellIs" dxfId="2836" priority="108" stopIfTrue="1" operator="between">
      <formula>-33</formula>
      <formula>-30</formula>
    </cfRule>
  </conditionalFormatting>
  <conditionalFormatting sqref="Z11">
    <cfRule type="containsBlanks" priority="103" stopIfTrue="1">
      <formula>LEN(TRIM(Z11))=0</formula>
    </cfRule>
    <cfRule type="cellIs" dxfId="2835" priority="104" stopIfTrue="1" operator="greaterThan">
      <formula>-30</formula>
    </cfRule>
    <cfRule type="cellIs" dxfId="2834" priority="105" stopIfTrue="1" operator="between">
      <formula>-33</formula>
      <formula>-30</formula>
    </cfRule>
  </conditionalFormatting>
  <conditionalFormatting sqref="AI10">
    <cfRule type="containsBlanks" priority="100" stopIfTrue="1">
      <formula>LEN(TRIM(AI10))=0</formula>
    </cfRule>
    <cfRule type="cellIs" dxfId="2833" priority="101" stopIfTrue="1" operator="greaterThan">
      <formula>-30</formula>
    </cfRule>
    <cfRule type="cellIs" dxfId="2832" priority="102" stopIfTrue="1" operator="between">
      <formula>-33</formula>
      <formula>-30</formula>
    </cfRule>
  </conditionalFormatting>
  <conditionalFormatting sqref="AI11">
    <cfRule type="containsBlanks" priority="97" stopIfTrue="1">
      <formula>LEN(TRIM(AI11))=0</formula>
    </cfRule>
    <cfRule type="cellIs" dxfId="2831" priority="98" stopIfTrue="1" operator="greaterThan">
      <formula>-30</formula>
    </cfRule>
    <cfRule type="cellIs" dxfId="2830" priority="99" stopIfTrue="1" operator="between">
      <formula>-33</formula>
      <formula>-30</formula>
    </cfRule>
  </conditionalFormatting>
  <conditionalFormatting sqref="AR10">
    <cfRule type="containsBlanks" priority="94" stopIfTrue="1">
      <formula>LEN(TRIM(AR10))=0</formula>
    </cfRule>
    <cfRule type="cellIs" dxfId="2829" priority="95" stopIfTrue="1" operator="greaterThan">
      <formula>-30</formula>
    </cfRule>
    <cfRule type="cellIs" dxfId="2828" priority="96" stopIfTrue="1" operator="between">
      <formula>-33</formula>
      <formula>-30</formula>
    </cfRule>
  </conditionalFormatting>
  <conditionalFormatting sqref="AR11">
    <cfRule type="containsBlanks" priority="91" stopIfTrue="1">
      <formula>LEN(TRIM(AR11))=0</formula>
    </cfRule>
    <cfRule type="cellIs" dxfId="2827" priority="92" stopIfTrue="1" operator="greaterThan">
      <formula>-30</formula>
    </cfRule>
    <cfRule type="cellIs" dxfId="2826" priority="93" stopIfTrue="1" operator="between">
      <formula>-33</formula>
      <formula>-30</formula>
    </cfRule>
  </conditionalFormatting>
  <conditionalFormatting sqref="BA10">
    <cfRule type="containsBlanks" priority="88" stopIfTrue="1">
      <formula>LEN(TRIM(BA10))=0</formula>
    </cfRule>
    <cfRule type="cellIs" dxfId="2825" priority="89" stopIfTrue="1" operator="greaterThan">
      <formula>-30</formula>
    </cfRule>
    <cfRule type="cellIs" dxfId="2824" priority="90" stopIfTrue="1" operator="between">
      <formula>-33</formula>
      <formula>-30</formula>
    </cfRule>
  </conditionalFormatting>
  <conditionalFormatting sqref="BA11">
    <cfRule type="containsBlanks" priority="85" stopIfTrue="1">
      <formula>LEN(TRIM(BA11))=0</formula>
    </cfRule>
    <cfRule type="cellIs" dxfId="2823" priority="86" stopIfTrue="1" operator="greaterThan">
      <formula>-30</formula>
    </cfRule>
    <cfRule type="cellIs" dxfId="2822" priority="87" stopIfTrue="1" operator="between">
      <formula>-33</formula>
      <formula>-30</formula>
    </cfRule>
  </conditionalFormatting>
  <conditionalFormatting sqref="BJ10">
    <cfRule type="containsBlanks" priority="82" stopIfTrue="1">
      <formula>LEN(TRIM(BJ10))=0</formula>
    </cfRule>
    <cfRule type="cellIs" dxfId="2821" priority="83" stopIfTrue="1" operator="greaterThan">
      <formula>-30</formula>
    </cfRule>
    <cfRule type="cellIs" dxfId="2820" priority="84" stopIfTrue="1" operator="between">
      <formula>-33</formula>
      <formula>-30</formula>
    </cfRule>
  </conditionalFormatting>
  <conditionalFormatting sqref="BJ11">
    <cfRule type="containsBlanks" priority="79" stopIfTrue="1">
      <formula>LEN(TRIM(BJ11))=0</formula>
    </cfRule>
    <cfRule type="cellIs" dxfId="2819" priority="80" stopIfTrue="1" operator="greaterThan">
      <formula>-30</formula>
    </cfRule>
    <cfRule type="cellIs" dxfId="2818" priority="81" stopIfTrue="1" operator="between">
      <formula>-33</formula>
      <formula>-30</formula>
    </cfRule>
  </conditionalFormatting>
  <conditionalFormatting sqref="BS10">
    <cfRule type="containsBlanks" priority="76" stopIfTrue="1">
      <formula>LEN(TRIM(BS10))=0</formula>
    </cfRule>
    <cfRule type="cellIs" dxfId="2817" priority="77" stopIfTrue="1" operator="greaterThan">
      <formula>-30</formula>
    </cfRule>
    <cfRule type="cellIs" dxfId="2816" priority="78" stopIfTrue="1" operator="between">
      <formula>-33</formula>
      <formula>-30</formula>
    </cfRule>
  </conditionalFormatting>
  <conditionalFormatting sqref="BS11">
    <cfRule type="containsBlanks" priority="73" stopIfTrue="1">
      <formula>LEN(TRIM(BS11))=0</formula>
    </cfRule>
    <cfRule type="cellIs" dxfId="2815" priority="74" stopIfTrue="1" operator="greaterThan">
      <formula>-30</formula>
    </cfRule>
    <cfRule type="cellIs" dxfId="2814" priority="75" stopIfTrue="1" operator="between">
      <formula>-33</formula>
      <formula>-30</formula>
    </cfRule>
  </conditionalFormatting>
  <conditionalFormatting sqref="CB10">
    <cfRule type="containsBlanks" priority="70" stopIfTrue="1">
      <formula>LEN(TRIM(CB10))=0</formula>
    </cfRule>
    <cfRule type="cellIs" dxfId="2813" priority="71" stopIfTrue="1" operator="greaterThan">
      <formula>-30</formula>
    </cfRule>
    <cfRule type="cellIs" dxfId="2812" priority="72" stopIfTrue="1" operator="between">
      <formula>-33</formula>
      <formula>-30</formula>
    </cfRule>
  </conditionalFormatting>
  <conditionalFormatting sqref="CB11">
    <cfRule type="containsBlanks" priority="67" stopIfTrue="1">
      <formula>LEN(TRIM(CB11))=0</formula>
    </cfRule>
    <cfRule type="cellIs" dxfId="2811" priority="68" stopIfTrue="1" operator="greaterThan">
      <formula>-30</formula>
    </cfRule>
    <cfRule type="cellIs" dxfId="2810" priority="69" stopIfTrue="1" operator="between">
      <formula>-33</formula>
      <formula>-30</formula>
    </cfRule>
  </conditionalFormatting>
  <conditionalFormatting sqref="CK10">
    <cfRule type="containsBlanks" priority="64" stopIfTrue="1">
      <formula>LEN(TRIM(CK10))=0</formula>
    </cfRule>
    <cfRule type="cellIs" dxfId="2809" priority="65" stopIfTrue="1" operator="greaterThan">
      <formula>-30</formula>
    </cfRule>
    <cfRule type="cellIs" dxfId="2808" priority="66" stopIfTrue="1" operator="between">
      <formula>-33</formula>
      <formula>-30</formula>
    </cfRule>
  </conditionalFormatting>
  <conditionalFormatting sqref="CK11">
    <cfRule type="containsBlanks" priority="61" stopIfTrue="1">
      <formula>LEN(TRIM(CK11))=0</formula>
    </cfRule>
    <cfRule type="cellIs" dxfId="2807" priority="62" stopIfTrue="1" operator="greaterThan">
      <formula>-30</formula>
    </cfRule>
    <cfRule type="cellIs" dxfId="2806" priority="63" stopIfTrue="1" operator="between">
      <formula>-33</formula>
      <formula>-30</formula>
    </cfRule>
  </conditionalFormatting>
  <conditionalFormatting sqref="CT10">
    <cfRule type="containsBlanks" priority="58" stopIfTrue="1">
      <formula>LEN(TRIM(CT10))=0</formula>
    </cfRule>
    <cfRule type="cellIs" dxfId="2805" priority="59" stopIfTrue="1" operator="greaterThan">
      <formula>-30</formula>
    </cfRule>
    <cfRule type="cellIs" dxfId="2804" priority="60" stopIfTrue="1" operator="between">
      <formula>-33</formula>
      <formula>-30</formula>
    </cfRule>
  </conditionalFormatting>
  <conditionalFormatting sqref="CT11">
    <cfRule type="containsBlanks" priority="55" stopIfTrue="1">
      <formula>LEN(TRIM(CT11))=0</formula>
    </cfRule>
    <cfRule type="cellIs" dxfId="2803" priority="56" stopIfTrue="1" operator="greaterThan">
      <formula>-30</formula>
    </cfRule>
    <cfRule type="cellIs" dxfId="2802" priority="57" stopIfTrue="1" operator="between">
      <formula>-33</formula>
      <formula>-30</formula>
    </cfRule>
  </conditionalFormatting>
  <conditionalFormatting sqref="H7">
    <cfRule type="containsBlanks" priority="322" stopIfTrue="1">
      <formula>LEN(TRIM(H7))=0</formula>
    </cfRule>
    <cfRule type="cellIs" dxfId="2801" priority="323" stopIfTrue="1" operator="greaterThan">
      <formula>-30</formula>
    </cfRule>
    <cfRule type="cellIs" dxfId="2800" priority="324" stopIfTrue="1" operator="between">
      <formula>-33</formula>
      <formula>-30</formula>
    </cfRule>
  </conditionalFormatting>
  <conditionalFormatting sqref="H8">
    <cfRule type="containsBlanks" priority="319" stopIfTrue="1">
      <formula>LEN(TRIM(H8))=0</formula>
    </cfRule>
    <cfRule type="cellIs" dxfId="2799" priority="320" stopIfTrue="1" operator="greaterThan">
      <formula>-30</formula>
    </cfRule>
    <cfRule type="cellIs" dxfId="2798" priority="321" stopIfTrue="1" operator="between">
      <formula>-33</formula>
      <formula>-30</formula>
    </cfRule>
  </conditionalFormatting>
  <conditionalFormatting sqref="H9">
    <cfRule type="containsBlanks" priority="316" stopIfTrue="1">
      <formula>LEN(TRIM(H9))=0</formula>
    </cfRule>
    <cfRule type="cellIs" dxfId="2797" priority="317" stopIfTrue="1" operator="greaterThan">
      <formula>-30</formula>
    </cfRule>
    <cfRule type="cellIs" dxfId="2796" priority="318" stopIfTrue="1" operator="between">
      <formula>-33</formula>
      <formula>-30</formula>
    </cfRule>
  </conditionalFormatting>
  <conditionalFormatting sqref="Q7">
    <cfRule type="containsBlanks" priority="313" stopIfTrue="1">
      <formula>LEN(TRIM(Q7))=0</formula>
    </cfRule>
    <cfRule type="cellIs" dxfId="2795" priority="314" stopIfTrue="1" operator="greaterThan">
      <formula>-30</formula>
    </cfRule>
    <cfRule type="cellIs" dxfId="2794" priority="315" stopIfTrue="1" operator="between">
      <formula>-33</formula>
      <formula>-30</formula>
    </cfRule>
  </conditionalFormatting>
  <conditionalFormatting sqref="Q8">
    <cfRule type="containsBlanks" priority="310" stopIfTrue="1">
      <formula>LEN(TRIM(Q8))=0</formula>
    </cfRule>
    <cfRule type="cellIs" dxfId="2793" priority="311" stopIfTrue="1" operator="greaterThan">
      <formula>-30</formula>
    </cfRule>
    <cfRule type="cellIs" dxfId="2792" priority="312" stopIfTrue="1" operator="between">
      <formula>-33</formula>
      <formula>-30</formula>
    </cfRule>
  </conditionalFormatting>
  <conditionalFormatting sqref="Q9">
    <cfRule type="containsBlanks" priority="307" stopIfTrue="1">
      <formula>LEN(TRIM(Q9))=0</formula>
    </cfRule>
    <cfRule type="cellIs" dxfId="2791" priority="308" stopIfTrue="1" operator="greaterThan">
      <formula>-30</formula>
    </cfRule>
    <cfRule type="cellIs" dxfId="2790" priority="309" stopIfTrue="1" operator="between">
      <formula>-33</formula>
      <formula>-30</formula>
    </cfRule>
  </conditionalFormatting>
  <conditionalFormatting sqref="Z7">
    <cfRule type="containsBlanks" priority="304" stopIfTrue="1">
      <formula>LEN(TRIM(Z7))=0</formula>
    </cfRule>
    <cfRule type="cellIs" dxfId="2789" priority="305" stopIfTrue="1" operator="greaterThan">
      <formula>-30</formula>
    </cfRule>
    <cfRule type="cellIs" dxfId="2788" priority="306" stopIfTrue="1" operator="between">
      <formula>-33</formula>
      <formula>-30</formula>
    </cfRule>
  </conditionalFormatting>
  <conditionalFormatting sqref="Z8">
    <cfRule type="containsBlanks" priority="301" stopIfTrue="1">
      <formula>LEN(TRIM(Z8))=0</formula>
    </cfRule>
    <cfRule type="cellIs" dxfId="2787" priority="302" stopIfTrue="1" operator="greaterThan">
      <formula>-30</formula>
    </cfRule>
    <cfRule type="cellIs" dxfId="2786" priority="303" stopIfTrue="1" operator="between">
      <formula>-33</formula>
      <formula>-30</formula>
    </cfRule>
  </conditionalFormatting>
  <conditionalFormatting sqref="Z9">
    <cfRule type="containsBlanks" priority="298" stopIfTrue="1">
      <formula>LEN(TRIM(Z9))=0</formula>
    </cfRule>
    <cfRule type="cellIs" dxfId="2785" priority="299" stopIfTrue="1" operator="greaterThan">
      <formula>-30</formula>
    </cfRule>
    <cfRule type="cellIs" dxfId="2784" priority="300" stopIfTrue="1" operator="between">
      <formula>-33</formula>
      <formula>-30</formula>
    </cfRule>
  </conditionalFormatting>
  <conditionalFormatting sqref="AI7">
    <cfRule type="containsBlanks" priority="295" stopIfTrue="1">
      <formula>LEN(TRIM(AI7))=0</formula>
    </cfRule>
    <cfRule type="cellIs" dxfId="2783" priority="296" stopIfTrue="1" operator="greaterThan">
      <formula>-30</formula>
    </cfRule>
    <cfRule type="cellIs" dxfId="2782" priority="297" stopIfTrue="1" operator="between">
      <formula>-33</formula>
      <formula>-30</formula>
    </cfRule>
  </conditionalFormatting>
  <conditionalFormatting sqref="AI8">
    <cfRule type="containsBlanks" priority="292" stopIfTrue="1">
      <formula>LEN(TRIM(AI8))=0</formula>
    </cfRule>
    <cfRule type="cellIs" dxfId="2781" priority="293" stopIfTrue="1" operator="greaterThan">
      <formula>-30</formula>
    </cfRule>
    <cfRule type="cellIs" dxfId="2780" priority="294" stopIfTrue="1" operator="between">
      <formula>-33</formula>
      <formula>-30</formula>
    </cfRule>
  </conditionalFormatting>
  <conditionalFormatting sqref="AI9">
    <cfRule type="containsBlanks" priority="289" stopIfTrue="1">
      <formula>LEN(TRIM(AI9))=0</formula>
    </cfRule>
    <cfRule type="cellIs" dxfId="2779" priority="290" stopIfTrue="1" operator="greaterThan">
      <formula>-30</formula>
    </cfRule>
    <cfRule type="cellIs" dxfId="2778" priority="291" stopIfTrue="1" operator="between">
      <formula>-33</formula>
      <formula>-30</formula>
    </cfRule>
  </conditionalFormatting>
  <conditionalFormatting sqref="AR7">
    <cfRule type="containsBlanks" priority="286" stopIfTrue="1">
      <formula>LEN(TRIM(AR7))=0</formula>
    </cfRule>
    <cfRule type="cellIs" dxfId="2777" priority="287" stopIfTrue="1" operator="greaterThan">
      <formula>-30</formula>
    </cfRule>
    <cfRule type="cellIs" dxfId="2776" priority="288" stopIfTrue="1" operator="between">
      <formula>-33</formula>
      <formula>-30</formula>
    </cfRule>
  </conditionalFormatting>
  <conditionalFormatting sqref="AR8">
    <cfRule type="containsBlanks" priority="283" stopIfTrue="1">
      <formula>LEN(TRIM(AR8))=0</formula>
    </cfRule>
    <cfRule type="cellIs" dxfId="2775" priority="284" stopIfTrue="1" operator="greaterThan">
      <formula>-30</formula>
    </cfRule>
    <cfRule type="cellIs" dxfId="2774" priority="285" stopIfTrue="1" operator="between">
      <formula>-33</formula>
      <formula>-30</formula>
    </cfRule>
  </conditionalFormatting>
  <conditionalFormatting sqref="AR9">
    <cfRule type="containsBlanks" priority="280" stopIfTrue="1">
      <formula>LEN(TRIM(AR9))=0</formula>
    </cfRule>
    <cfRule type="cellIs" dxfId="2773" priority="281" stopIfTrue="1" operator="greaterThan">
      <formula>-30</formula>
    </cfRule>
    <cfRule type="cellIs" dxfId="2772" priority="282" stopIfTrue="1" operator="between">
      <formula>-33</formula>
      <formula>-30</formula>
    </cfRule>
  </conditionalFormatting>
  <conditionalFormatting sqref="BA7">
    <cfRule type="containsBlanks" priority="277" stopIfTrue="1">
      <formula>LEN(TRIM(BA7))=0</formula>
    </cfRule>
    <cfRule type="cellIs" dxfId="2771" priority="278" stopIfTrue="1" operator="greaterThan">
      <formula>-30</formula>
    </cfRule>
    <cfRule type="cellIs" dxfId="2770" priority="279" stopIfTrue="1" operator="between">
      <formula>-33</formula>
      <formula>-30</formula>
    </cfRule>
  </conditionalFormatting>
  <conditionalFormatting sqref="BA8">
    <cfRule type="containsBlanks" priority="274" stopIfTrue="1">
      <formula>LEN(TRIM(BA8))=0</formula>
    </cfRule>
    <cfRule type="cellIs" dxfId="2769" priority="275" stopIfTrue="1" operator="greaterThan">
      <formula>-30</formula>
    </cfRule>
    <cfRule type="cellIs" dxfId="2768" priority="276" stopIfTrue="1" operator="between">
      <formula>-33</formula>
      <formula>-30</formula>
    </cfRule>
  </conditionalFormatting>
  <conditionalFormatting sqref="BA9">
    <cfRule type="containsBlanks" priority="271" stopIfTrue="1">
      <formula>LEN(TRIM(BA9))=0</formula>
    </cfRule>
    <cfRule type="cellIs" dxfId="2767" priority="272" stopIfTrue="1" operator="greaterThan">
      <formula>-30</formula>
    </cfRule>
    <cfRule type="cellIs" dxfId="2766" priority="273" stopIfTrue="1" operator="between">
      <formula>-33</formula>
      <formula>-30</formula>
    </cfRule>
  </conditionalFormatting>
  <conditionalFormatting sqref="BJ7">
    <cfRule type="containsBlanks" priority="268" stopIfTrue="1">
      <formula>LEN(TRIM(BJ7))=0</formula>
    </cfRule>
    <cfRule type="cellIs" dxfId="2765" priority="269" stopIfTrue="1" operator="greaterThan">
      <formula>-30</formula>
    </cfRule>
    <cfRule type="cellIs" dxfId="2764" priority="270" stopIfTrue="1" operator="between">
      <formula>-33</formula>
      <formula>-30</formula>
    </cfRule>
  </conditionalFormatting>
  <conditionalFormatting sqref="BJ8">
    <cfRule type="containsBlanks" priority="265" stopIfTrue="1">
      <formula>LEN(TRIM(BJ8))=0</formula>
    </cfRule>
    <cfRule type="cellIs" dxfId="2763" priority="266" stopIfTrue="1" operator="greaterThan">
      <formula>-30</formula>
    </cfRule>
    <cfRule type="cellIs" dxfId="2762" priority="267" stopIfTrue="1" operator="between">
      <formula>-33</formula>
      <formula>-30</formula>
    </cfRule>
  </conditionalFormatting>
  <conditionalFormatting sqref="BJ9">
    <cfRule type="containsBlanks" priority="262" stopIfTrue="1">
      <formula>LEN(TRIM(BJ9))=0</formula>
    </cfRule>
    <cfRule type="cellIs" dxfId="2761" priority="263" stopIfTrue="1" operator="greaterThan">
      <formula>-30</formula>
    </cfRule>
    <cfRule type="cellIs" dxfId="2760" priority="264" stopIfTrue="1" operator="between">
      <formula>-33</formula>
      <formula>-30</formula>
    </cfRule>
  </conditionalFormatting>
  <conditionalFormatting sqref="BS7">
    <cfRule type="containsBlanks" priority="259" stopIfTrue="1">
      <formula>LEN(TRIM(BS7))=0</formula>
    </cfRule>
    <cfRule type="cellIs" dxfId="2759" priority="260" stopIfTrue="1" operator="greaterThan">
      <formula>-30</formula>
    </cfRule>
    <cfRule type="cellIs" dxfId="2758" priority="261" stopIfTrue="1" operator="between">
      <formula>-33</formula>
      <formula>-30</formula>
    </cfRule>
  </conditionalFormatting>
  <conditionalFormatting sqref="BS8">
    <cfRule type="containsBlanks" priority="256" stopIfTrue="1">
      <formula>LEN(TRIM(BS8))=0</formula>
    </cfRule>
    <cfRule type="cellIs" dxfId="2757" priority="257" stopIfTrue="1" operator="greaterThan">
      <formula>-30</formula>
    </cfRule>
    <cfRule type="cellIs" dxfId="2756" priority="258" stopIfTrue="1" operator="between">
      <formula>-33</formula>
      <formula>-30</formula>
    </cfRule>
  </conditionalFormatting>
  <conditionalFormatting sqref="BS9">
    <cfRule type="containsBlanks" priority="253" stopIfTrue="1">
      <formula>LEN(TRIM(BS9))=0</formula>
    </cfRule>
    <cfRule type="cellIs" dxfId="2755" priority="254" stopIfTrue="1" operator="greaterThan">
      <formula>-30</formula>
    </cfRule>
    <cfRule type="cellIs" dxfId="2754" priority="255" stopIfTrue="1" operator="between">
      <formula>-33</formula>
      <formula>-30</formula>
    </cfRule>
  </conditionalFormatting>
  <conditionalFormatting sqref="CB7">
    <cfRule type="containsBlanks" priority="250" stopIfTrue="1">
      <formula>LEN(TRIM(CB7))=0</formula>
    </cfRule>
    <cfRule type="cellIs" dxfId="2753" priority="251" stopIfTrue="1" operator="greaterThan">
      <formula>-30</formula>
    </cfRule>
    <cfRule type="cellIs" dxfId="2752" priority="252" stopIfTrue="1" operator="between">
      <formula>-33</formula>
      <formula>-30</formula>
    </cfRule>
  </conditionalFormatting>
  <conditionalFormatting sqref="CB8">
    <cfRule type="containsBlanks" priority="247" stopIfTrue="1">
      <formula>LEN(TRIM(CB8))=0</formula>
    </cfRule>
    <cfRule type="cellIs" dxfId="2751" priority="248" stopIfTrue="1" operator="greaterThan">
      <formula>-30</formula>
    </cfRule>
    <cfRule type="cellIs" dxfId="2750" priority="249" stopIfTrue="1" operator="between">
      <formula>-33</formula>
      <formula>-30</formula>
    </cfRule>
  </conditionalFormatting>
  <conditionalFormatting sqref="CB9">
    <cfRule type="containsBlanks" priority="244" stopIfTrue="1">
      <formula>LEN(TRIM(CB9))=0</formula>
    </cfRule>
    <cfRule type="cellIs" dxfId="2749" priority="245" stopIfTrue="1" operator="greaterThan">
      <formula>-30</formula>
    </cfRule>
    <cfRule type="cellIs" dxfId="2748" priority="246" stopIfTrue="1" operator="between">
      <formula>-33</formula>
      <formula>-30</formula>
    </cfRule>
  </conditionalFormatting>
  <conditionalFormatting sqref="Z7">
    <cfRule type="containsBlanks" priority="241" stopIfTrue="1">
      <formula>LEN(TRIM(Z7))=0</formula>
    </cfRule>
    <cfRule type="cellIs" dxfId="2747" priority="242" stopIfTrue="1" operator="greaterThan">
      <formula>-30</formula>
    </cfRule>
    <cfRule type="cellIs" dxfId="2746" priority="243" stopIfTrue="1" operator="between">
      <formula>-33</formula>
      <formula>-30</formula>
    </cfRule>
  </conditionalFormatting>
  <conditionalFormatting sqref="Z8">
    <cfRule type="containsBlanks" priority="238" stopIfTrue="1">
      <formula>LEN(TRIM(Z8))=0</formula>
    </cfRule>
    <cfRule type="cellIs" dxfId="2745" priority="239" stopIfTrue="1" operator="greaterThan">
      <formula>-30</formula>
    </cfRule>
    <cfRule type="cellIs" dxfId="2744" priority="240" stopIfTrue="1" operator="between">
      <formula>-33</formula>
      <formula>-30</formula>
    </cfRule>
  </conditionalFormatting>
  <conditionalFormatting sqref="Z9">
    <cfRule type="containsBlanks" priority="235" stopIfTrue="1">
      <formula>LEN(TRIM(Z9))=0</formula>
    </cfRule>
    <cfRule type="cellIs" dxfId="2743" priority="236" stopIfTrue="1" operator="greaterThan">
      <formula>-30</formula>
    </cfRule>
    <cfRule type="cellIs" dxfId="2742" priority="237" stopIfTrue="1" operator="between">
      <formula>-33</formula>
      <formula>-30</formula>
    </cfRule>
  </conditionalFormatting>
  <conditionalFormatting sqref="AI7">
    <cfRule type="containsBlanks" priority="232" stopIfTrue="1">
      <formula>LEN(TRIM(AI7))=0</formula>
    </cfRule>
    <cfRule type="cellIs" dxfId="2741" priority="233" stopIfTrue="1" operator="greaterThan">
      <formula>-30</formula>
    </cfRule>
    <cfRule type="cellIs" dxfId="2740" priority="234" stopIfTrue="1" operator="between">
      <formula>-33</formula>
      <formula>-30</formula>
    </cfRule>
  </conditionalFormatting>
  <conditionalFormatting sqref="AI8">
    <cfRule type="containsBlanks" priority="229" stopIfTrue="1">
      <formula>LEN(TRIM(AI8))=0</formula>
    </cfRule>
    <cfRule type="cellIs" dxfId="2739" priority="230" stopIfTrue="1" operator="greaterThan">
      <formula>-30</formula>
    </cfRule>
    <cfRule type="cellIs" dxfId="2738" priority="231" stopIfTrue="1" operator="between">
      <formula>-33</formula>
      <formula>-30</formula>
    </cfRule>
  </conditionalFormatting>
  <conditionalFormatting sqref="AI9">
    <cfRule type="containsBlanks" priority="226" stopIfTrue="1">
      <formula>LEN(TRIM(AI9))=0</formula>
    </cfRule>
    <cfRule type="cellIs" dxfId="2737" priority="227" stopIfTrue="1" operator="greaterThan">
      <formula>-30</formula>
    </cfRule>
    <cfRule type="cellIs" dxfId="2736" priority="228" stopIfTrue="1" operator="between">
      <formula>-33</formula>
      <formula>-30</formula>
    </cfRule>
  </conditionalFormatting>
  <conditionalFormatting sqref="AR7">
    <cfRule type="containsBlanks" priority="223" stopIfTrue="1">
      <formula>LEN(TRIM(AR7))=0</formula>
    </cfRule>
    <cfRule type="cellIs" dxfId="2735" priority="224" stopIfTrue="1" operator="greaterThan">
      <formula>-30</formula>
    </cfRule>
    <cfRule type="cellIs" dxfId="2734" priority="225" stopIfTrue="1" operator="between">
      <formula>-33</formula>
      <formula>-30</formula>
    </cfRule>
  </conditionalFormatting>
  <conditionalFormatting sqref="AR8">
    <cfRule type="containsBlanks" priority="220" stopIfTrue="1">
      <formula>LEN(TRIM(AR8))=0</formula>
    </cfRule>
    <cfRule type="cellIs" dxfId="2733" priority="221" stopIfTrue="1" operator="greaterThan">
      <formula>-30</formula>
    </cfRule>
    <cfRule type="cellIs" dxfId="2732" priority="222" stopIfTrue="1" operator="between">
      <formula>-33</formula>
      <formula>-30</formula>
    </cfRule>
  </conditionalFormatting>
  <conditionalFormatting sqref="AR9">
    <cfRule type="containsBlanks" priority="217" stopIfTrue="1">
      <formula>LEN(TRIM(AR9))=0</formula>
    </cfRule>
    <cfRule type="cellIs" dxfId="2731" priority="218" stopIfTrue="1" operator="greaterThan">
      <formula>-30</formula>
    </cfRule>
    <cfRule type="cellIs" dxfId="2730" priority="219" stopIfTrue="1" operator="between">
      <formula>-33</formula>
      <formula>-30</formula>
    </cfRule>
  </conditionalFormatting>
  <conditionalFormatting sqref="BA7">
    <cfRule type="containsBlanks" priority="214" stopIfTrue="1">
      <formula>LEN(TRIM(BA7))=0</formula>
    </cfRule>
    <cfRule type="cellIs" dxfId="2729" priority="215" stopIfTrue="1" operator="greaterThan">
      <formula>-30</formula>
    </cfRule>
    <cfRule type="cellIs" dxfId="2728" priority="216" stopIfTrue="1" operator="between">
      <formula>-33</formula>
      <formula>-30</formula>
    </cfRule>
  </conditionalFormatting>
  <conditionalFormatting sqref="BA8">
    <cfRule type="containsBlanks" priority="211" stopIfTrue="1">
      <formula>LEN(TRIM(BA8))=0</formula>
    </cfRule>
    <cfRule type="cellIs" dxfId="2727" priority="212" stopIfTrue="1" operator="greaterThan">
      <formula>-30</formula>
    </cfRule>
    <cfRule type="cellIs" dxfId="2726" priority="213" stopIfTrue="1" operator="between">
      <formula>-33</formula>
      <formula>-30</formula>
    </cfRule>
  </conditionalFormatting>
  <conditionalFormatting sqref="BA9">
    <cfRule type="containsBlanks" priority="208" stopIfTrue="1">
      <formula>LEN(TRIM(BA9))=0</formula>
    </cfRule>
    <cfRule type="cellIs" dxfId="2725" priority="209" stopIfTrue="1" operator="greaterThan">
      <formula>-30</formula>
    </cfRule>
    <cfRule type="cellIs" dxfId="2724" priority="210" stopIfTrue="1" operator="between">
      <formula>-33</formula>
      <formula>-30</formula>
    </cfRule>
  </conditionalFormatting>
  <conditionalFormatting sqref="BJ7">
    <cfRule type="containsBlanks" priority="205" stopIfTrue="1">
      <formula>LEN(TRIM(BJ7))=0</formula>
    </cfRule>
    <cfRule type="cellIs" dxfId="2723" priority="206" stopIfTrue="1" operator="greaterThan">
      <formula>-30</formula>
    </cfRule>
    <cfRule type="cellIs" dxfId="2722" priority="207" stopIfTrue="1" operator="between">
      <formula>-33</formula>
      <formula>-30</formula>
    </cfRule>
  </conditionalFormatting>
  <conditionalFormatting sqref="BJ8">
    <cfRule type="containsBlanks" priority="202" stopIfTrue="1">
      <formula>LEN(TRIM(BJ8))=0</formula>
    </cfRule>
    <cfRule type="cellIs" dxfId="2721" priority="203" stopIfTrue="1" operator="greaterThan">
      <formula>-30</formula>
    </cfRule>
    <cfRule type="cellIs" dxfId="2720" priority="204" stopIfTrue="1" operator="between">
      <formula>-33</formula>
      <formula>-30</formula>
    </cfRule>
  </conditionalFormatting>
  <conditionalFormatting sqref="BJ9">
    <cfRule type="containsBlanks" priority="199" stopIfTrue="1">
      <formula>LEN(TRIM(BJ9))=0</formula>
    </cfRule>
    <cfRule type="cellIs" dxfId="2719" priority="200" stopIfTrue="1" operator="greaterThan">
      <formula>-30</formula>
    </cfRule>
    <cfRule type="cellIs" dxfId="2718" priority="201" stopIfTrue="1" operator="between">
      <formula>-33</formula>
      <formula>-30</formula>
    </cfRule>
  </conditionalFormatting>
  <conditionalFormatting sqref="BS7">
    <cfRule type="containsBlanks" priority="196" stopIfTrue="1">
      <formula>LEN(TRIM(BS7))=0</formula>
    </cfRule>
    <cfRule type="cellIs" dxfId="2717" priority="197" stopIfTrue="1" operator="greaterThan">
      <formula>-30</formula>
    </cfRule>
    <cfRule type="cellIs" dxfId="2716" priority="198" stopIfTrue="1" operator="between">
      <formula>-33</formula>
      <formula>-30</formula>
    </cfRule>
  </conditionalFormatting>
  <conditionalFormatting sqref="BS8">
    <cfRule type="containsBlanks" priority="193" stopIfTrue="1">
      <formula>LEN(TRIM(BS8))=0</formula>
    </cfRule>
    <cfRule type="cellIs" dxfId="2715" priority="194" stopIfTrue="1" operator="greaterThan">
      <formula>-30</formula>
    </cfRule>
    <cfRule type="cellIs" dxfId="2714" priority="195" stopIfTrue="1" operator="between">
      <formula>-33</formula>
      <formula>-30</formula>
    </cfRule>
  </conditionalFormatting>
  <conditionalFormatting sqref="BS9">
    <cfRule type="containsBlanks" priority="190" stopIfTrue="1">
      <formula>LEN(TRIM(BS9))=0</formula>
    </cfRule>
    <cfRule type="cellIs" dxfId="2713" priority="191" stopIfTrue="1" operator="greaterThan">
      <formula>-30</formula>
    </cfRule>
    <cfRule type="cellIs" dxfId="2712" priority="192" stopIfTrue="1" operator="between">
      <formula>-33</formula>
      <formula>-30</formula>
    </cfRule>
  </conditionalFormatting>
  <conditionalFormatting sqref="CB7">
    <cfRule type="containsBlanks" priority="187" stopIfTrue="1">
      <formula>LEN(TRIM(CB7))=0</formula>
    </cfRule>
    <cfRule type="cellIs" dxfId="2711" priority="188" stopIfTrue="1" operator="greaterThan">
      <formula>-30</formula>
    </cfRule>
    <cfRule type="cellIs" dxfId="2710" priority="189" stopIfTrue="1" operator="between">
      <formula>-33</formula>
      <formula>-30</formula>
    </cfRule>
  </conditionalFormatting>
  <conditionalFormatting sqref="CB8">
    <cfRule type="containsBlanks" priority="184" stopIfTrue="1">
      <formula>LEN(TRIM(CB8))=0</formula>
    </cfRule>
    <cfRule type="cellIs" dxfId="2709" priority="185" stopIfTrue="1" operator="greaterThan">
      <formula>-30</formula>
    </cfRule>
    <cfRule type="cellIs" dxfId="2708" priority="186" stopIfTrue="1" operator="between">
      <formula>-33</formula>
      <formula>-30</formula>
    </cfRule>
  </conditionalFormatting>
  <conditionalFormatting sqref="CB9">
    <cfRule type="containsBlanks" priority="181" stopIfTrue="1">
      <formula>LEN(TRIM(CB9))=0</formula>
    </cfRule>
    <cfRule type="cellIs" dxfId="2707" priority="182" stopIfTrue="1" operator="greaterThan">
      <formula>-30</formula>
    </cfRule>
    <cfRule type="cellIs" dxfId="2706" priority="183" stopIfTrue="1" operator="between">
      <formula>-33</formula>
      <formula>-30</formula>
    </cfRule>
  </conditionalFormatting>
  <conditionalFormatting sqref="CK7">
    <cfRule type="containsBlanks" priority="178" stopIfTrue="1">
      <formula>LEN(TRIM(CK7))=0</formula>
    </cfRule>
    <cfRule type="cellIs" dxfId="2705" priority="179" stopIfTrue="1" operator="greaterThan">
      <formula>-30</formula>
    </cfRule>
    <cfRule type="cellIs" dxfId="2704" priority="180" stopIfTrue="1" operator="between">
      <formula>-33</formula>
      <formula>-30</formula>
    </cfRule>
  </conditionalFormatting>
  <conditionalFormatting sqref="CK8">
    <cfRule type="containsBlanks" priority="175" stopIfTrue="1">
      <formula>LEN(TRIM(CK8))=0</formula>
    </cfRule>
    <cfRule type="cellIs" dxfId="2703" priority="176" stopIfTrue="1" operator="greaterThan">
      <formula>-30</formula>
    </cfRule>
    <cfRule type="cellIs" dxfId="2702" priority="177" stopIfTrue="1" operator="between">
      <formula>-33</formula>
      <formula>-30</formula>
    </cfRule>
  </conditionalFormatting>
  <conditionalFormatting sqref="CK9">
    <cfRule type="containsBlanks" priority="172" stopIfTrue="1">
      <formula>LEN(TRIM(CK9))=0</formula>
    </cfRule>
    <cfRule type="cellIs" dxfId="2701" priority="173" stopIfTrue="1" operator="greaterThan">
      <formula>-30</formula>
    </cfRule>
    <cfRule type="cellIs" dxfId="2700" priority="174" stopIfTrue="1" operator="between">
      <formula>-33</formula>
      <formula>-30</formula>
    </cfRule>
  </conditionalFormatting>
  <conditionalFormatting sqref="CT7">
    <cfRule type="containsBlanks" priority="169" stopIfTrue="1">
      <formula>LEN(TRIM(CT7))=0</formula>
    </cfRule>
    <cfRule type="cellIs" dxfId="2699" priority="170" stopIfTrue="1" operator="greaterThan">
      <formula>-30</formula>
    </cfRule>
    <cfRule type="cellIs" dxfId="2698" priority="171" stopIfTrue="1" operator="between">
      <formula>-33</formula>
      <formula>-30</formula>
    </cfRule>
  </conditionalFormatting>
  <conditionalFormatting sqref="CT8">
    <cfRule type="containsBlanks" priority="166" stopIfTrue="1">
      <formula>LEN(TRIM(CT8))=0</formula>
    </cfRule>
    <cfRule type="cellIs" dxfId="2697" priority="167" stopIfTrue="1" operator="greaterThan">
      <formula>-30</formula>
    </cfRule>
    <cfRule type="cellIs" dxfId="2696" priority="168" stopIfTrue="1" operator="between">
      <formula>-33</formula>
      <formula>-30</formula>
    </cfRule>
  </conditionalFormatting>
  <conditionalFormatting sqref="CT9">
    <cfRule type="containsBlanks" priority="163" stopIfTrue="1">
      <formula>LEN(TRIM(CT9))=0</formula>
    </cfRule>
    <cfRule type="cellIs" dxfId="2695" priority="164" stopIfTrue="1" operator="greaterThan">
      <formula>-30</formula>
    </cfRule>
    <cfRule type="cellIs" dxfId="2694" priority="165" stopIfTrue="1" operator="between">
      <formula>-33</formula>
      <formula>-30</formula>
    </cfRule>
  </conditionalFormatting>
  <conditionalFormatting sqref="H10">
    <cfRule type="containsBlanks" priority="160" stopIfTrue="1">
      <formula>LEN(TRIM(H10))=0</formula>
    </cfRule>
    <cfRule type="cellIs" dxfId="2693" priority="161" stopIfTrue="1" operator="greaterThan">
      <formula>-30</formula>
    </cfRule>
    <cfRule type="cellIs" dxfId="2692" priority="162" stopIfTrue="1" operator="between">
      <formula>-33</formula>
      <formula>-30</formula>
    </cfRule>
  </conditionalFormatting>
  <conditionalFormatting sqref="H11">
    <cfRule type="containsBlanks" priority="157" stopIfTrue="1">
      <formula>LEN(TRIM(H11))=0</formula>
    </cfRule>
    <cfRule type="cellIs" dxfId="2691" priority="158" stopIfTrue="1" operator="greaterThan">
      <formula>-30</formula>
    </cfRule>
    <cfRule type="cellIs" dxfId="2690" priority="159" stopIfTrue="1" operator="between">
      <formula>-33</formula>
      <formula>-30</formula>
    </cfRule>
  </conditionalFormatting>
  <conditionalFormatting sqref="Q10">
    <cfRule type="containsBlanks" priority="154" stopIfTrue="1">
      <formula>LEN(TRIM(Q10))=0</formula>
    </cfRule>
    <cfRule type="cellIs" dxfId="2689" priority="155" stopIfTrue="1" operator="greaterThan">
      <formula>-30</formula>
    </cfRule>
    <cfRule type="cellIs" dxfId="2688" priority="156" stopIfTrue="1" operator="between">
      <formula>-33</formula>
      <formula>-30</formula>
    </cfRule>
  </conditionalFormatting>
  <conditionalFormatting sqref="Q11">
    <cfRule type="containsBlanks" priority="151" stopIfTrue="1">
      <formula>LEN(TRIM(Q11))=0</formula>
    </cfRule>
    <cfRule type="cellIs" dxfId="2687" priority="152" stopIfTrue="1" operator="greaterThan">
      <formula>-30</formula>
    </cfRule>
    <cfRule type="cellIs" dxfId="2686" priority="153" stopIfTrue="1" operator="between">
      <formula>-33</formula>
      <formula>-30</formula>
    </cfRule>
  </conditionalFormatting>
  <conditionalFormatting sqref="Z10">
    <cfRule type="containsBlanks" priority="148" stopIfTrue="1">
      <formula>LEN(TRIM(Z10))=0</formula>
    </cfRule>
    <cfRule type="cellIs" dxfId="2685" priority="149" stopIfTrue="1" operator="greaterThan">
      <formula>-30</formula>
    </cfRule>
    <cfRule type="cellIs" dxfId="2684" priority="150" stopIfTrue="1" operator="between">
      <formula>-33</formula>
      <formula>-30</formula>
    </cfRule>
  </conditionalFormatting>
  <conditionalFormatting sqref="Z11">
    <cfRule type="containsBlanks" priority="145" stopIfTrue="1">
      <formula>LEN(TRIM(Z11))=0</formula>
    </cfRule>
    <cfRule type="cellIs" dxfId="2683" priority="146" stopIfTrue="1" operator="greaterThan">
      <formula>-30</formula>
    </cfRule>
    <cfRule type="cellIs" dxfId="2682" priority="147" stopIfTrue="1" operator="between">
      <formula>-33</formula>
      <formula>-30</formula>
    </cfRule>
  </conditionalFormatting>
  <conditionalFormatting sqref="AI10">
    <cfRule type="containsBlanks" priority="142" stopIfTrue="1">
      <formula>LEN(TRIM(AI10))=0</formula>
    </cfRule>
    <cfRule type="cellIs" dxfId="2681" priority="143" stopIfTrue="1" operator="greaterThan">
      <formula>-30</formula>
    </cfRule>
    <cfRule type="cellIs" dxfId="2680" priority="144" stopIfTrue="1" operator="between">
      <formula>-33</formula>
      <formula>-30</formula>
    </cfRule>
  </conditionalFormatting>
  <conditionalFormatting sqref="AI11">
    <cfRule type="containsBlanks" priority="139" stopIfTrue="1">
      <formula>LEN(TRIM(AI11))=0</formula>
    </cfRule>
    <cfRule type="cellIs" dxfId="2679" priority="140" stopIfTrue="1" operator="greaterThan">
      <formula>-30</formula>
    </cfRule>
    <cfRule type="cellIs" dxfId="2678" priority="141" stopIfTrue="1" operator="between">
      <formula>-33</formula>
      <formula>-30</formula>
    </cfRule>
  </conditionalFormatting>
  <conditionalFormatting sqref="AR10">
    <cfRule type="containsBlanks" priority="136" stopIfTrue="1">
      <formula>LEN(TRIM(AR10))=0</formula>
    </cfRule>
    <cfRule type="cellIs" dxfId="2677" priority="137" stopIfTrue="1" operator="greaterThan">
      <formula>-30</formula>
    </cfRule>
    <cfRule type="cellIs" dxfId="2676" priority="138" stopIfTrue="1" operator="between">
      <formula>-33</formula>
      <formula>-30</formula>
    </cfRule>
  </conditionalFormatting>
  <conditionalFormatting sqref="H12">
    <cfRule type="containsBlanks" priority="52" stopIfTrue="1">
      <formula>LEN(TRIM(H12))=0</formula>
    </cfRule>
    <cfRule type="cellIs" dxfId="2675" priority="53" stopIfTrue="1" operator="greaterThan">
      <formula>-30</formula>
    </cfRule>
    <cfRule type="cellIs" dxfId="2674" priority="54" stopIfTrue="1" operator="between">
      <formula>-33</formula>
      <formula>-30</formula>
    </cfRule>
  </conditionalFormatting>
  <conditionalFormatting sqref="Q12">
    <cfRule type="containsBlanks" priority="49" stopIfTrue="1">
      <formula>LEN(TRIM(Q12))=0</formula>
    </cfRule>
    <cfRule type="cellIs" dxfId="2673" priority="50" stopIfTrue="1" operator="greaterThan">
      <formula>-30</formula>
    </cfRule>
    <cfRule type="cellIs" dxfId="2672" priority="51" stopIfTrue="1" operator="between">
      <formula>-33</formula>
      <formula>-30</formula>
    </cfRule>
  </conditionalFormatting>
  <conditionalFormatting sqref="Z12">
    <cfRule type="containsBlanks" priority="46" stopIfTrue="1">
      <formula>LEN(TRIM(Z12))=0</formula>
    </cfRule>
    <cfRule type="cellIs" dxfId="2671" priority="47" stopIfTrue="1" operator="greaterThan">
      <formula>-30</formula>
    </cfRule>
    <cfRule type="cellIs" dxfId="2670" priority="48" stopIfTrue="1" operator="between">
      <formula>-33</formula>
      <formula>-30</formula>
    </cfRule>
  </conditionalFormatting>
  <conditionalFormatting sqref="AI12">
    <cfRule type="containsBlanks" priority="43" stopIfTrue="1">
      <formula>LEN(TRIM(AI12))=0</formula>
    </cfRule>
    <cfRule type="cellIs" dxfId="2669" priority="44" stopIfTrue="1" operator="greaterThan">
      <formula>-30</formula>
    </cfRule>
    <cfRule type="cellIs" dxfId="2668" priority="45" stopIfTrue="1" operator="between">
      <formula>-33</formula>
      <formula>-30</formula>
    </cfRule>
  </conditionalFormatting>
  <conditionalFormatting sqref="AR12">
    <cfRule type="containsBlanks" priority="40" stopIfTrue="1">
      <formula>LEN(TRIM(AR12))=0</formula>
    </cfRule>
    <cfRule type="cellIs" dxfId="2667" priority="41" stopIfTrue="1" operator="greaterThan">
      <formula>-30</formula>
    </cfRule>
    <cfRule type="cellIs" dxfId="2666" priority="42" stopIfTrue="1" operator="between">
      <formula>-33</formula>
      <formula>-30</formula>
    </cfRule>
  </conditionalFormatting>
  <conditionalFormatting sqref="BA12">
    <cfRule type="containsBlanks" priority="37" stopIfTrue="1">
      <formula>LEN(TRIM(BA12))=0</formula>
    </cfRule>
    <cfRule type="cellIs" dxfId="2665" priority="38" stopIfTrue="1" operator="greaterThan">
      <formula>-30</formula>
    </cfRule>
    <cfRule type="cellIs" dxfId="2664" priority="39" stopIfTrue="1" operator="between">
      <formula>-33</formula>
      <formula>-30</formula>
    </cfRule>
  </conditionalFormatting>
  <conditionalFormatting sqref="BJ12">
    <cfRule type="containsBlanks" priority="34" stopIfTrue="1">
      <formula>LEN(TRIM(BJ12))=0</formula>
    </cfRule>
    <cfRule type="cellIs" dxfId="2663" priority="35" stopIfTrue="1" operator="greaterThan">
      <formula>-30</formula>
    </cfRule>
    <cfRule type="cellIs" dxfId="2662" priority="36" stopIfTrue="1" operator="between">
      <formula>-33</formula>
      <formula>-30</formula>
    </cfRule>
  </conditionalFormatting>
  <conditionalFormatting sqref="BS12">
    <cfRule type="containsBlanks" priority="31" stopIfTrue="1">
      <formula>LEN(TRIM(BS12))=0</formula>
    </cfRule>
    <cfRule type="cellIs" dxfId="2661" priority="32" stopIfTrue="1" operator="greaterThan">
      <formula>-30</formula>
    </cfRule>
    <cfRule type="cellIs" dxfId="2660" priority="33" stopIfTrue="1" operator="between">
      <formula>-33</formula>
      <formula>-30</formula>
    </cfRule>
  </conditionalFormatting>
  <conditionalFormatting sqref="CB12">
    <cfRule type="containsBlanks" priority="28" stopIfTrue="1">
      <formula>LEN(TRIM(CB12))=0</formula>
    </cfRule>
    <cfRule type="cellIs" dxfId="2659" priority="29" stopIfTrue="1" operator="greaterThan">
      <formula>-30</formula>
    </cfRule>
    <cfRule type="cellIs" dxfId="2658" priority="30" stopIfTrue="1" operator="between">
      <formula>-33</formula>
      <formula>-30</formula>
    </cfRule>
  </conditionalFormatting>
  <conditionalFormatting sqref="Z12">
    <cfRule type="containsBlanks" priority="25" stopIfTrue="1">
      <formula>LEN(TRIM(Z12))=0</formula>
    </cfRule>
    <cfRule type="cellIs" dxfId="2657" priority="26" stopIfTrue="1" operator="greaterThan">
      <formula>-30</formula>
    </cfRule>
    <cfRule type="cellIs" dxfId="2656" priority="27" stopIfTrue="1" operator="between">
      <formula>-33</formula>
      <formula>-30</formula>
    </cfRule>
  </conditionalFormatting>
  <conditionalFormatting sqref="AI12">
    <cfRule type="containsBlanks" priority="22" stopIfTrue="1">
      <formula>LEN(TRIM(AI12))=0</formula>
    </cfRule>
    <cfRule type="cellIs" dxfId="2655" priority="23" stopIfTrue="1" operator="greaterThan">
      <formula>-30</formula>
    </cfRule>
    <cfRule type="cellIs" dxfId="2654" priority="24" stopIfTrue="1" operator="between">
      <formula>-33</formula>
      <formula>-30</formula>
    </cfRule>
  </conditionalFormatting>
  <conditionalFormatting sqref="AR12">
    <cfRule type="containsBlanks" priority="19" stopIfTrue="1">
      <formula>LEN(TRIM(AR12))=0</formula>
    </cfRule>
    <cfRule type="cellIs" dxfId="2653" priority="20" stopIfTrue="1" operator="greaterThan">
      <formula>-30</formula>
    </cfRule>
    <cfRule type="cellIs" dxfId="2652" priority="21" stopIfTrue="1" operator="between">
      <formula>-33</formula>
      <formula>-30</formula>
    </cfRule>
  </conditionalFormatting>
  <conditionalFormatting sqref="BA12">
    <cfRule type="containsBlanks" priority="16" stopIfTrue="1">
      <formula>LEN(TRIM(BA12))=0</formula>
    </cfRule>
    <cfRule type="cellIs" dxfId="2651" priority="17" stopIfTrue="1" operator="greaterThan">
      <formula>-30</formula>
    </cfRule>
    <cfRule type="cellIs" dxfId="2650" priority="18" stopIfTrue="1" operator="between">
      <formula>-33</formula>
      <formula>-30</formula>
    </cfRule>
  </conditionalFormatting>
  <conditionalFormatting sqref="BJ12">
    <cfRule type="containsBlanks" priority="13" stopIfTrue="1">
      <formula>LEN(TRIM(BJ12))=0</formula>
    </cfRule>
    <cfRule type="cellIs" dxfId="2649" priority="14" stopIfTrue="1" operator="greaterThan">
      <formula>-30</formula>
    </cfRule>
    <cfRule type="cellIs" dxfId="2648" priority="15" stopIfTrue="1" operator="between">
      <formula>-33</formula>
      <formula>-30</formula>
    </cfRule>
  </conditionalFormatting>
  <conditionalFormatting sqref="BS12">
    <cfRule type="containsBlanks" priority="10" stopIfTrue="1">
      <formula>LEN(TRIM(BS12))=0</formula>
    </cfRule>
    <cfRule type="cellIs" dxfId="2647" priority="11" stopIfTrue="1" operator="greaterThan">
      <formula>-30</formula>
    </cfRule>
    <cfRule type="cellIs" dxfId="2646" priority="12" stopIfTrue="1" operator="between">
      <formula>-33</formula>
      <formula>-30</formula>
    </cfRule>
  </conditionalFormatting>
  <conditionalFormatting sqref="CB12">
    <cfRule type="containsBlanks" priority="7" stopIfTrue="1">
      <formula>LEN(TRIM(CB12))=0</formula>
    </cfRule>
    <cfRule type="cellIs" dxfId="2645" priority="8" stopIfTrue="1" operator="greaterThan">
      <formula>-30</formula>
    </cfRule>
    <cfRule type="cellIs" dxfId="2644" priority="9" stopIfTrue="1" operator="between">
      <formula>-33</formula>
      <formula>-30</formula>
    </cfRule>
  </conditionalFormatting>
  <conditionalFormatting sqref="CK12">
    <cfRule type="containsBlanks" priority="4" stopIfTrue="1">
      <formula>LEN(TRIM(CK12))=0</formula>
    </cfRule>
    <cfRule type="cellIs" dxfId="2643" priority="5" stopIfTrue="1" operator="greaterThan">
      <formula>-30</formula>
    </cfRule>
    <cfRule type="cellIs" dxfId="2642" priority="6" stopIfTrue="1" operator="between">
      <formula>-33</formula>
      <formula>-30</formula>
    </cfRule>
  </conditionalFormatting>
  <conditionalFormatting sqref="CT12">
    <cfRule type="containsBlanks" priority="1" stopIfTrue="1">
      <formula>LEN(TRIM(CT12))=0</formula>
    </cfRule>
    <cfRule type="cellIs" dxfId="2641" priority="2" stopIfTrue="1" operator="greaterThan">
      <formula>-30</formula>
    </cfRule>
    <cfRule type="cellIs" dxfId="2640" priority="3" stopIfTrue="1" operator="between">
      <formula>-33</formula>
      <formula>-30</formula>
    </cfRule>
  </conditionalFormatting>
  <dataValidations count="1">
    <dataValidation type="list" allowBlank="1" showInputMessage="1" showErrorMessage="1" sqref="G5 P5 Y5 AH5">
      <formula1>"Low,Mid,High"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U12"/>
  <sheetViews>
    <sheetView zoomScale="80" zoomScaleNormal="80" workbookViewId="0">
      <selection activeCell="H7" sqref="H7:H12"/>
    </sheetView>
  </sheetViews>
  <sheetFormatPr defaultRowHeight="13.5"/>
  <cols>
    <col min="3" max="3" width="9.875" bestFit="1" customWidth="1"/>
    <col min="4" max="4" width="9" customWidth="1"/>
    <col min="9" max="9" width="7.625" bestFit="1" customWidth="1"/>
    <col min="10" max="10" width="7.75" bestFit="1" customWidth="1"/>
    <col min="11" max="11" width="8" bestFit="1" customWidth="1"/>
    <col min="12" max="12" width="9.875" bestFit="1" customWidth="1"/>
    <col min="13" max="13" width="9" customWidth="1"/>
    <col min="18" max="18" width="7.625" bestFit="1" customWidth="1"/>
    <col min="19" max="19" width="7.75" bestFit="1" customWidth="1"/>
    <col min="20" max="20" width="8" bestFit="1" customWidth="1"/>
    <col min="21" max="21" width="9.875" bestFit="1" customWidth="1"/>
    <col min="22" max="22" width="9" customWidth="1"/>
    <col min="27" max="27" width="7.625" bestFit="1" customWidth="1"/>
    <col min="259" max="259" width="9.875" bestFit="1" customWidth="1"/>
    <col min="260" max="260" width="9" customWidth="1"/>
    <col min="265" max="265" width="7.625" bestFit="1" customWidth="1"/>
    <col min="266" max="266" width="7.75" bestFit="1" customWidth="1"/>
    <col min="267" max="267" width="8" bestFit="1" customWidth="1"/>
    <col min="268" max="268" width="9.875" bestFit="1" customWidth="1"/>
    <col min="269" max="269" width="9" customWidth="1"/>
    <col min="274" max="274" width="7.625" bestFit="1" customWidth="1"/>
    <col min="275" max="275" width="7.75" bestFit="1" customWidth="1"/>
    <col min="276" max="276" width="8" bestFit="1" customWidth="1"/>
    <col min="277" max="277" width="9.875" bestFit="1" customWidth="1"/>
    <col min="278" max="278" width="9" customWidth="1"/>
    <col min="283" max="283" width="7.625" bestFit="1" customWidth="1"/>
    <col min="515" max="515" width="9.875" bestFit="1" customWidth="1"/>
    <col min="516" max="516" width="9" customWidth="1"/>
    <col min="521" max="521" width="7.625" bestFit="1" customWidth="1"/>
    <col min="522" max="522" width="7.75" bestFit="1" customWidth="1"/>
    <col min="523" max="523" width="8" bestFit="1" customWidth="1"/>
    <col min="524" max="524" width="9.875" bestFit="1" customWidth="1"/>
    <col min="525" max="525" width="9" customWidth="1"/>
    <col min="530" max="530" width="7.625" bestFit="1" customWidth="1"/>
    <col min="531" max="531" width="7.75" bestFit="1" customWidth="1"/>
    <col min="532" max="532" width="8" bestFit="1" customWidth="1"/>
    <col min="533" max="533" width="9.875" bestFit="1" customWidth="1"/>
    <col min="534" max="534" width="9" customWidth="1"/>
    <col min="539" max="539" width="7.625" bestFit="1" customWidth="1"/>
    <col min="771" max="771" width="9.875" bestFit="1" customWidth="1"/>
    <col min="772" max="772" width="9" customWidth="1"/>
    <col min="777" max="777" width="7.625" bestFit="1" customWidth="1"/>
    <col min="778" max="778" width="7.75" bestFit="1" customWidth="1"/>
    <col min="779" max="779" width="8" bestFit="1" customWidth="1"/>
    <col min="780" max="780" width="9.875" bestFit="1" customWidth="1"/>
    <col min="781" max="781" width="9" customWidth="1"/>
    <col min="786" max="786" width="7.625" bestFit="1" customWidth="1"/>
    <col min="787" max="787" width="7.75" bestFit="1" customWidth="1"/>
    <col min="788" max="788" width="8" bestFit="1" customWidth="1"/>
    <col min="789" max="789" width="9.875" bestFit="1" customWidth="1"/>
    <col min="790" max="790" width="9" customWidth="1"/>
    <col min="795" max="795" width="7.625" bestFit="1" customWidth="1"/>
    <col min="1027" max="1027" width="9.875" bestFit="1" customWidth="1"/>
    <col min="1028" max="1028" width="9" customWidth="1"/>
    <col min="1033" max="1033" width="7.625" bestFit="1" customWidth="1"/>
    <col min="1034" max="1034" width="7.75" bestFit="1" customWidth="1"/>
    <col min="1035" max="1035" width="8" bestFit="1" customWidth="1"/>
    <col min="1036" max="1036" width="9.875" bestFit="1" customWidth="1"/>
    <col min="1037" max="1037" width="9" customWidth="1"/>
    <col min="1042" max="1042" width="7.625" bestFit="1" customWidth="1"/>
    <col min="1043" max="1043" width="7.75" bestFit="1" customWidth="1"/>
    <col min="1044" max="1044" width="8" bestFit="1" customWidth="1"/>
    <col min="1045" max="1045" width="9.875" bestFit="1" customWidth="1"/>
    <col min="1046" max="1046" width="9" customWidth="1"/>
    <col min="1051" max="1051" width="7.625" bestFit="1" customWidth="1"/>
    <col min="1283" max="1283" width="9.875" bestFit="1" customWidth="1"/>
    <col min="1284" max="1284" width="9" customWidth="1"/>
    <col min="1289" max="1289" width="7.625" bestFit="1" customWidth="1"/>
    <col min="1290" max="1290" width="7.75" bestFit="1" customWidth="1"/>
    <col min="1291" max="1291" width="8" bestFit="1" customWidth="1"/>
    <col min="1292" max="1292" width="9.875" bestFit="1" customWidth="1"/>
    <col min="1293" max="1293" width="9" customWidth="1"/>
    <col min="1298" max="1298" width="7.625" bestFit="1" customWidth="1"/>
    <col min="1299" max="1299" width="7.75" bestFit="1" customWidth="1"/>
    <col min="1300" max="1300" width="8" bestFit="1" customWidth="1"/>
    <col min="1301" max="1301" width="9.875" bestFit="1" customWidth="1"/>
    <col min="1302" max="1302" width="9" customWidth="1"/>
    <col min="1307" max="1307" width="7.625" bestFit="1" customWidth="1"/>
    <col min="1539" max="1539" width="9.875" bestFit="1" customWidth="1"/>
    <col min="1540" max="1540" width="9" customWidth="1"/>
    <col min="1545" max="1545" width="7.625" bestFit="1" customWidth="1"/>
    <col min="1546" max="1546" width="7.75" bestFit="1" customWidth="1"/>
    <col min="1547" max="1547" width="8" bestFit="1" customWidth="1"/>
    <col min="1548" max="1548" width="9.875" bestFit="1" customWidth="1"/>
    <col min="1549" max="1549" width="9" customWidth="1"/>
    <col min="1554" max="1554" width="7.625" bestFit="1" customWidth="1"/>
    <col min="1555" max="1555" width="7.75" bestFit="1" customWidth="1"/>
    <col min="1556" max="1556" width="8" bestFit="1" customWidth="1"/>
    <col min="1557" max="1557" width="9.875" bestFit="1" customWidth="1"/>
    <col min="1558" max="1558" width="9" customWidth="1"/>
    <col min="1563" max="1563" width="7.625" bestFit="1" customWidth="1"/>
    <col min="1795" max="1795" width="9.875" bestFit="1" customWidth="1"/>
    <col min="1796" max="1796" width="9" customWidth="1"/>
    <col min="1801" max="1801" width="7.625" bestFit="1" customWidth="1"/>
    <col min="1802" max="1802" width="7.75" bestFit="1" customWidth="1"/>
    <col min="1803" max="1803" width="8" bestFit="1" customWidth="1"/>
    <col min="1804" max="1804" width="9.875" bestFit="1" customWidth="1"/>
    <col min="1805" max="1805" width="9" customWidth="1"/>
    <col min="1810" max="1810" width="7.625" bestFit="1" customWidth="1"/>
    <col min="1811" max="1811" width="7.75" bestFit="1" customWidth="1"/>
    <col min="1812" max="1812" width="8" bestFit="1" customWidth="1"/>
    <col min="1813" max="1813" width="9.875" bestFit="1" customWidth="1"/>
    <col min="1814" max="1814" width="9" customWidth="1"/>
    <col min="1819" max="1819" width="7.625" bestFit="1" customWidth="1"/>
    <col min="2051" max="2051" width="9.875" bestFit="1" customWidth="1"/>
    <col min="2052" max="2052" width="9" customWidth="1"/>
    <col min="2057" max="2057" width="7.625" bestFit="1" customWidth="1"/>
    <col min="2058" max="2058" width="7.75" bestFit="1" customWidth="1"/>
    <col min="2059" max="2059" width="8" bestFit="1" customWidth="1"/>
    <col min="2060" max="2060" width="9.875" bestFit="1" customWidth="1"/>
    <col min="2061" max="2061" width="9" customWidth="1"/>
    <col min="2066" max="2066" width="7.625" bestFit="1" customWidth="1"/>
    <col min="2067" max="2067" width="7.75" bestFit="1" customWidth="1"/>
    <col min="2068" max="2068" width="8" bestFit="1" customWidth="1"/>
    <col min="2069" max="2069" width="9.875" bestFit="1" customWidth="1"/>
    <col min="2070" max="2070" width="9" customWidth="1"/>
    <col min="2075" max="2075" width="7.625" bestFit="1" customWidth="1"/>
    <col min="2307" max="2307" width="9.875" bestFit="1" customWidth="1"/>
    <col min="2308" max="2308" width="9" customWidth="1"/>
    <col min="2313" max="2313" width="7.625" bestFit="1" customWidth="1"/>
    <col min="2314" max="2314" width="7.75" bestFit="1" customWidth="1"/>
    <col min="2315" max="2315" width="8" bestFit="1" customWidth="1"/>
    <col min="2316" max="2316" width="9.875" bestFit="1" customWidth="1"/>
    <col min="2317" max="2317" width="9" customWidth="1"/>
    <col min="2322" max="2322" width="7.625" bestFit="1" customWidth="1"/>
    <col min="2323" max="2323" width="7.75" bestFit="1" customWidth="1"/>
    <col min="2324" max="2324" width="8" bestFit="1" customWidth="1"/>
    <col min="2325" max="2325" width="9.875" bestFit="1" customWidth="1"/>
    <col min="2326" max="2326" width="9" customWidth="1"/>
    <col min="2331" max="2331" width="7.625" bestFit="1" customWidth="1"/>
    <col min="2563" max="2563" width="9.875" bestFit="1" customWidth="1"/>
    <col min="2564" max="2564" width="9" customWidth="1"/>
    <col min="2569" max="2569" width="7.625" bestFit="1" customWidth="1"/>
    <col min="2570" max="2570" width="7.75" bestFit="1" customWidth="1"/>
    <col min="2571" max="2571" width="8" bestFit="1" customWidth="1"/>
    <col min="2572" max="2572" width="9.875" bestFit="1" customWidth="1"/>
    <col min="2573" max="2573" width="9" customWidth="1"/>
    <col min="2578" max="2578" width="7.625" bestFit="1" customWidth="1"/>
    <col min="2579" max="2579" width="7.75" bestFit="1" customWidth="1"/>
    <col min="2580" max="2580" width="8" bestFit="1" customWidth="1"/>
    <col min="2581" max="2581" width="9.875" bestFit="1" customWidth="1"/>
    <col min="2582" max="2582" width="9" customWidth="1"/>
    <col min="2587" max="2587" width="7.625" bestFit="1" customWidth="1"/>
    <col min="2819" max="2819" width="9.875" bestFit="1" customWidth="1"/>
    <col min="2820" max="2820" width="9" customWidth="1"/>
    <col min="2825" max="2825" width="7.625" bestFit="1" customWidth="1"/>
    <col min="2826" max="2826" width="7.75" bestFit="1" customWidth="1"/>
    <col min="2827" max="2827" width="8" bestFit="1" customWidth="1"/>
    <col min="2828" max="2828" width="9.875" bestFit="1" customWidth="1"/>
    <col min="2829" max="2829" width="9" customWidth="1"/>
    <col min="2834" max="2834" width="7.625" bestFit="1" customWidth="1"/>
    <col min="2835" max="2835" width="7.75" bestFit="1" customWidth="1"/>
    <col min="2836" max="2836" width="8" bestFit="1" customWidth="1"/>
    <col min="2837" max="2837" width="9.875" bestFit="1" customWidth="1"/>
    <col min="2838" max="2838" width="9" customWidth="1"/>
    <col min="2843" max="2843" width="7.625" bestFit="1" customWidth="1"/>
    <col min="3075" max="3075" width="9.875" bestFit="1" customWidth="1"/>
    <col min="3076" max="3076" width="9" customWidth="1"/>
    <col min="3081" max="3081" width="7.625" bestFit="1" customWidth="1"/>
    <col min="3082" max="3082" width="7.75" bestFit="1" customWidth="1"/>
    <col min="3083" max="3083" width="8" bestFit="1" customWidth="1"/>
    <col min="3084" max="3084" width="9.875" bestFit="1" customWidth="1"/>
    <col min="3085" max="3085" width="9" customWidth="1"/>
    <col min="3090" max="3090" width="7.625" bestFit="1" customWidth="1"/>
    <col min="3091" max="3091" width="7.75" bestFit="1" customWidth="1"/>
    <col min="3092" max="3092" width="8" bestFit="1" customWidth="1"/>
    <col min="3093" max="3093" width="9.875" bestFit="1" customWidth="1"/>
    <col min="3094" max="3094" width="9" customWidth="1"/>
    <col min="3099" max="3099" width="7.625" bestFit="1" customWidth="1"/>
    <col min="3331" max="3331" width="9.875" bestFit="1" customWidth="1"/>
    <col min="3332" max="3332" width="9" customWidth="1"/>
    <col min="3337" max="3337" width="7.625" bestFit="1" customWidth="1"/>
    <col min="3338" max="3338" width="7.75" bestFit="1" customWidth="1"/>
    <col min="3339" max="3339" width="8" bestFit="1" customWidth="1"/>
    <col min="3340" max="3340" width="9.875" bestFit="1" customWidth="1"/>
    <col min="3341" max="3341" width="9" customWidth="1"/>
    <col min="3346" max="3346" width="7.625" bestFit="1" customWidth="1"/>
    <col min="3347" max="3347" width="7.75" bestFit="1" customWidth="1"/>
    <col min="3348" max="3348" width="8" bestFit="1" customWidth="1"/>
    <col min="3349" max="3349" width="9.875" bestFit="1" customWidth="1"/>
    <col min="3350" max="3350" width="9" customWidth="1"/>
    <col min="3355" max="3355" width="7.625" bestFit="1" customWidth="1"/>
    <col min="3587" max="3587" width="9.875" bestFit="1" customWidth="1"/>
    <col min="3588" max="3588" width="9" customWidth="1"/>
    <col min="3593" max="3593" width="7.625" bestFit="1" customWidth="1"/>
    <col min="3594" max="3594" width="7.75" bestFit="1" customWidth="1"/>
    <col min="3595" max="3595" width="8" bestFit="1" customWidth="1"/>
    <col min="3596" max="3596" width="9.875" bestFit="1" customWidth="1"/>
    <col min="3597" max="3597" width="9" customWidth="1"/>
    <col min="3602" max="3602" width="7.625" bestFit="1" customWidth="1"/>
    <col min="3603" max="3603" width="7.75" bestFit="1" customWidth="1"/>
    <col min="3604" max="3604" width="8" bestFit="1" customWidth="1"/>
    <col min="3605" max="3605" width="9.875" bestFit="1" customWidth="1"/>
    <col min="3606" max="3606" width="9" customWidth="1"/>
    <col min="3611" max="3611" width="7.625" bestFit="1" customWidth="1"/>
    <col min="3843" max="3843" width="9.875" bestFit="1" customWidth="1"/>
    <col min="3844" max="3844" width="9" customWidth="1"/>
    <col min="3849" max="3849" width="7.625" bestFit="1" customWidth="1"/>
    <col min="3850" max="3850" width="7.75" bestFit="1" customWidth="1"/>
    <col min="3851" max="3851" width="8" bestFit="1" customWidth="1"/>
    <col min="3852" max="3852" width="9.875" bestFit="1" customWidth="1"/>
    <col min="3853" max="3853" width="9" customWidth="1"/>
    <col min="3858" max="3858" width="7.625" bestFit="1" customWidth="1"/>
    <col min="3859" max="3859" width="7.75" bestFit="1" customWidth="1"/>
    <col min="3860" max="3860" width="8" bestFit="1" customWidth="1"/>
    <col min="3861" max="3861" width="9.875" bestFit="1" customWidth="1"/>
    <col min="3862" max="3862" width="9" customWidth="1"/>
    <col min="3867" max="3867" width="7.625" bestFit="1" customWidth="1"/>
    <col min="4099" max="4099" width="9.875" bestFit="1" customWidth="1"/>
    <col min="4100" max="4100" width="9" customWidth="1"/>
    <col min="4105" max="4105" width="7.625" bestFit="1" customWidth="1"/>
    <col min="4106" max="4106" width="7.75" bestFit="1" customWidth="1"/>
    <col min="4107" max="4107" width="8" bestFit="1" customWidth="1"/>
    <col min="4108" max="4108" width="9.875" bestFit="1" customWidth="1"/>
    <col min="4109" max="4109" width="9" customWidth="1"/>
    <col min="4114" max="4114" width="7.625" bestFit="1" customWidth="1"/>
    <col min="4115" max="4115" width="7.75" bestFit="1" customWidth="1"/>
    <col min="4116" max="4116" width="8" bestFit="1" customWidth="1"/>
    <col min="4117" max="4117" width="9.875" bestFit="1" customWidth="1"/>
    <col min="4118" max="4118" width="9" customWidth="1"/>
    <col min="4123" max="4123" width="7.625" bestFit="1" customWidth="1"/>
    <col min="4355" max="4355" width="9.875" bestFit="1" customWidth="1"/>
    <col min="4356" max="4356" width="9" customWidth="1"/>
    <col min="4361" max="4361" width="7.625" bestFit="1" customWidth="1"/>
    <col min="4362" max="4362" width="7.75" bestFit="1" customWidth="1"/>
    <col min="4363" max="4363" width="8" bestFit="1" customWidth="1"/>
    <col min="4364" max="4364" width="9.875" bestFit="1" customWidth="1"/>
    <col min="4365" max="4365" width="9" customWidth="1"/>
    <col min="4370" max="4370" width="7.625" bestFit="1" customWidth="1"/>
    <col min="4371" max="4371" width="7.75" bestFit="1" customWidth="1"/>
    <col min="4372" max="4372" width="8" bestFit="1" customWidth="1"/>
    <col min="4373" max="4373" width="9.875" bestFit="1" customWidth="1"/>
    <col min="4374" max="4374" width="9" customWidth="1"/>
    <col min="4379" max="4379" width="7.625" bestFit="1" customWidth="1"/>
    <col min="4611" max="4611" width="9.875" bestFit="1" customWidth="1"/>
    <col min="4612" max="4612" width="9" customWidth="1"/>
    <col min="4617" max="4617" width="7.625" bestFit="1" customWidth="1"/>
    <col min="4618" max="4618" width="7.75" bestFit="1" customWidth="1"/>
    <col min="4619" max="4619" width="8" bestFit="1" customWidth="1"/>
    <col min="4620" max="4620" width="9.875" bestFit="1" customWidth="1"/>
    <col min="4621" max="4621" width="9" customWidth="1"/>
    <col min="4626" max="4626" width="7.625" bestFit="1" customWidth="1"/>
    <col min="4627" max="4627" width="7.75" bestFit="1" customWidth="1"/>
    <col min="4628" max="4628" width="8" bestFit="1" customWidth="1"/>
    <col min="4629" max="4629" width="9.875" bestFit="1" customWidth="1"/>
    <col min="4630" max="4630" width="9" customWidth="1"/>
    <col min="4635" max="4635" width="7.625" bestFit="1" customWidth="1"/>
    <col min="4867" max="4867" width="9.875" bestFit="1" customWidth="1"/>
    <col min="4868" max="4868" width="9" customWidth="1"/>
    <col min="4873" max="4873" width="7.625" bestFit="1" customWidth="1"/>
    <col min="4874" max="4874" width="7.75" bestFit="1" customWidth="1"/>
    <col min="4875" max="4875" width="8" bestFit="1" customWidth="1"/>
    <col min="4876" max="4876" width="9.875" bestFit="1" customWidth="1"/>
    <col min="4877" max="4877" width="9" customWidth="1"/>
    <col min="4882" max="4882" width="7.625" bestFit="1" customWidth="1"/>
    <col min="4883" max="4883" width="7.75" bestFit="1" customWidth="1"/>
    <col min="4884" max="4884" width="8" bestFit="1" customWidth="1"/>
    <col min="4885" max="4885" width="9.875" bestFit="1" customWidth="1"/>
    <col min="4886" max="4886" width="9" customWidth="1"/>
    <col min="4891" max="4891" width="7.625" bestFit="1" customWidth="1"/>
    <col min="5123" max="5123" width="9.875" bestFit="1" customWidth="1"/>
    <col min="5124" max="5124" width="9" customWidth="1"/>
    <col min="5129" max="5129" width="7.625" bestFit="1" customWidth="1"/>
    <col min="5130" max="5130" width="7.75" bestFit="1" customWidth="1"/>
    <col min="5131" max="5131" width="8" bestFit="1" customWidth="1"/>
    <col min="5132" max="5132" width="9.875" bestFit="1" customWidth="1"/>
    <col min="5133" max="5133" width="9" customWidth="1"/>
    <col min="5138" max="5138" width="7.625" bestFit="1" customWidth="1"/>
    <col min="5139" max="5139" width="7.75" bestFit="1" customWidth="1"/>
    <col min="5140" max="5140" width="8" bestFit="1" customWidth="1"/>
    <col min="5141" max="5141" width="9.875" bestFit="1" customWidth="1"/>
    <col min="5142" max="5142" width="9" customWidth="1"/>
    <col min="5147" max="5147" width="7.625" bestFit="1" customWidth="1"/>
    <col min="5379" max="5379" width="9.875" bestFit="1" customWidth="1"/>
    <col min="5380" max="5380" width="9" customWidth="1"/>
    <col min="5385" max="5385" width="7.625" bestFit="1" customWidth="1"/>
    <col min="5386" max="5386" width="7.75" bestFit="1" customWidth="1"/>
    <col min="5387" max="5387" width="8" bestFit="1" customWidth="1"/>
    <col min="5388" max="5388" width="9.875" bestFit="1" customWidth="1"/>
    <col min="5389" max="5389" width="9" customWidth="1"/>
    <col min="5394" max="5394" width="7.625" bestFit="1" customWidth="1"/>
    <col min="5395" max="5395" width="7.75" bestFit="1" customWidth="1"/>
    <col min="5396" max="5396" width="8" bestFit="1" customWidth="1"/>
    <col min="5397" max="5397" width="9.875" bestFit="1" customWidth="1"/>
    <col min="5398" max="5398" width="9" customWidth="1"/>
    <col min="5403" max="5403" width="7.625" bestFit="1" customWidth="1"/>
    <col min="5635" max="5635" width="9.875" bestFit="1" customWidth="1"/>
    <col min="5636" max="5636" width="9" customWidth="1"/>
    <col min="5641" max="5641" width="7.625" bestFit="1" customWidth="1"/>
    <col min="5642" max="5642" width="7.75" bestFit="1" customWidth="1"/>
    <col min="5643" max="5643" width="8" bestFit="1" customWidth="1"/>
    <col min="5644" max="5644" width="9.875" bestFit="1" customWidth="1"/>
    <col min="5645" max="5645" width="9" customWidth="1"/>
    <col min="5650" max="5650" width="7.625" bestFit="1" customWidth="1"/>
    <col min="5651" max="5651" width="7.75" bestFit="1" customWidth="1"/>
    <col min="5652" max="5652" width="8" bestFit="1" customWidth="1"/>
    <col min="5653" max="5653" width="9.875" bestFit="1" customWidth="1"/>
    <col min="5654" max="5654" width="9" customWidth="1"/>
    <col min="5659" max="5659" width="7.625" bestFit="1" customWidth="1"/>
    <col min="5891" max="5891" width="9.875" bestFit="1" customWidth="1"/>
    <col min="5892" max="5892" width="9" customWidth="1"/>
    <col min="5897" max="5897" width="7.625" bestFit="1" customWidth="1"/>
    <col min="5898" max="5898" width="7.75" bestFit="1" customWidth="1"/>
    <col min="5899" max="5899" width="8" bestFit="1" customWidth="1"/>
    <col min="5900" max="5900" width="9.875" bestFit="1" customWidth="1"/>
    <col min="5901" max="5901" width="9" customWidth="1"/>
    <col min="5906" max="5906" width="7.625" bestFit="1" customWidth="1"/>
    <col min="5907" max="5907" width="7.75" bestFit="1" customWidth="1"/>
    <col min="5908" max="5908" width="8" bestFit="1" customWidth="1"/>
    <col min="5909" max="5909" width="9.875" bestFit="1" customWidth="1"/>
    <col min="5910" max="5910" width="9" customWidth="1"/>
    <col min="5915" max="5915" width="7.625" bestFit="1" customWidth="1"/>
    <col min="6147" max="6147" width="9.875" bestFit="1" customWidth="1"/>
    <col min="6148" max="6148" width="9" customWidth="1"/>
    <col min="6153" max="6153" width="7.625" bestFit="1" customWidth="1"/>
    <col min="6154" max="6154" width="7.75" bestFit="1" customWidth="1"/>
    <col min="6155" max="6155" width="8" bestFit="1" customWidth="1"/>
    <col min="6156" max="6156" width="9.875" bestFit="1" customWidth="1"/>
    <col min="6157" max="6157" width="9" customWidth="1"/>
    <col min="6162" max="6162" width="7.625" bestFit="1" customWidth="1"/>
    <col min="6163" max="6163" width="7.75" bestFit="1" customWidth="1"/>
    <col min="6164" max="6164" width="8" bestFit="1" customWidth="1"/>
    <col min="6165" max="6165" width="9.875" bestFit="1" customWidth="1"/>
    <col min="6166" max="6166" width="9" customWidth="1"/>
    <col min="6171" max="6171" width="7.625" bestFit="1" customWidth="1"/>
    <col min="6403" max="6403" width="9.875" bestFit="1" customWidth="1"/>
    <col min="6404" max="6404" width="9" customWidth="1"/>
    <col min="6409" max="6409" width="7.625" bestFit="1" customWidth="1"/>
    <col min="6410" max="6410" width="7.75" bestFit="1" customWidth="1"/>
    <col min="6411" max="6411" width="8" bestFit="1" customWidth="1"/>
    <col min="6412" max="6412" width="9.875" bestFit="1" customWidth="1"/>
    <col min="6413" max="6413" width="9" customWidth="1"/>
    <col min="6418" max="6418" width="7.625" bestFit="1" customWidth="1"/>
    <col min="6419" max="6419" width="7.75" bestFit="1" customWidth="1"/>
    <col min="6420" max="6420" width="8" bestFit="1" customWidth="1"/>
    <col min="6421" max="6421" width="9.875" bestFit="1" customWidth="1"/>
    <col min="6422" max="6422" width="9" customWidth="1"/>
    <col min="6427" max="6427" width="7.625" bestFit="1" customWidth="1"/>
    <col min="6659" max="6659" width="9.875" bestFit="1" customWidth="1"/>
    <col min="6660" max="6660" width="9" customWidth="1"/>
    <col min="6665" max="6665" width="7.625" bestFit="1" customWidth="1"/>
    <col min="6666" max="6666" width="7.75" bestFit="1" customWidth="1"/>
    <col min="6667" max="6667" width="8" bestFit="1" customWidth="1"/>
    <col min="6668" max="6668" width="9.875" bestFit="1" customWidth="1"/>
    <col min="6669" max="6669" width="9" customWidth="1"/>
    <col min="6674" max="6674" width="7.625" bestFit="1" customWidth="1"/>
    <col min="6675" max="6675" width="7.75" bestFit="1" customWidth="1"/>
    <col min="6676" max="6676" width="8" bestFit="1" customWidth="1"/>
    <col min="6677" max="6677" width="9.875" bestFit="1" customWidth="1"/>
    <col min="6678" max="6678" width="9" customWidth="1"/>
    <col min="6683" max="6683" width="7.625" bestFit="1" customWidth="1"/>
    <col min="6915" max="6915" width="9.875" bestFit="1" customWidth="1"/>
    <col min="6916" max="6916" width="9" customWidth="1"/>
    <col min="6921" max="6921" width="7.625" bestFit="1" customWidth="1"/>
    <col min="6922" max="6922" width="7.75" bestFit="1" customWidth="1"/>
    <col min="6923" max="6923" width="8" bestFit="1" customWidth="1"/>
    <col min="6924" max="6924" width="9.875" bestFit="1" customWidth="1"/>
    <col min="6925" max="6925" width="9" customWidth="1"/>
    <col min="6930" max="6930" width="7.625" bestFit="1" customWidth="1"/>
    <col min="6931" max="6931" width="7.75" bestFit="1" customWidth="1"/>
    <col min="6932" max="6932" width="8" bestFit="1" customWidth="1"/>
    <col min="6933" max="6933" width="9.875" bestFit="1" customWidth="1"/>
    <col min="6934" max="6934" width="9" customWidth="1"/>
    <col min="6939" max="6939" width="7.625" bestFit="1" customWidth="1"/>
    <col min="7171" max="7171" width="9.875" bestFit="1" customWidth="1"/>
    <col min="7172" max="7172" width="9" customWidth="1"/>
    <col min="7177" max="7177" width="7.625" bestFit="1" customWidth="1"/>
    <col min="7178" max="7178" width="7.75" bestFit="1" customWidth="1"/>
    <col min="7179" max="7179" width="8" bestFit="1" customWidth="1"/>
    <col min="7180" max="7180" width="9.875" bestFit="1" customWidth="1"/>
    <col min="7181" max="7181" width="9" customWidth="1"/>
    <col min="7186" max="7186" width="7.625" bestFit="1" customWidth="1"/>
    <col min="7187" max="7187" width="7.75" bestFit="1" customWidth="1"/>
    <col min="7188" max="7188" width="8" bestFit="1" customWidth="1"/>
    <col min="7189" max="7189" width="9.875" bestFit="1" customWidth="1"/>
    <col min="7190" max="7190" width="9" customWidth="1"/>
    <col min="7195" max="7195" width="7.625" bestFit="1" customWidth="1"/>
    <col min="7427" max="7427" width="9.875" bestFit="1" customWidth="1"/>
    <col min="7428" max="7428" width="9" customWidth="1"/>
    <col min="7433" max="7433" width="7.625" bestFit="1" customWidth="1"/>
    <col min="7434" max="7434" width="7.75" bestFit="1" customWidth="1"/>
    <col min="7435" max="7435" width="8" bestFit="1" customWidth="1"/>
    <col min="7436" max="7436" width="9.875" bestFit="1" customWidth="1"/>
    <col min="7437" max="7437" width="9" customWidth="1"/>
    <col min="7442" max="7442" width="7.625" bestFit="1" customWidth="1"/>
    <col min="7443" max="7443" width="7.75" bestFit="1" customWidth="1"/>
    <col min="7444" max="7444" width="8" bestFit="1" customWidth="1"/>
    <col min="7445" max="7445" width="9.875" bestFit="1" customWidth="1"/>
    <col min="7446" max="7446" width="9" customWidth="1"/>
    <col min="7451" max="7451" width="7.625" bestFit="1" customWidth="1"/>
    <col min="7683" max="7683" width="9.875" bestFit="1" customWidth="1"/>
    <col min="7684" max="7684" width="9" customWidth="1"/>
    <col min="7689" max="7689" width="7.625" bestFit="1" customWidth="1"/>
    <col min="7690" max="7690" width="7.75" bestFit="1" customWidth="1"/>
    <col min="7691" max="7691" width="8" bestFit="1" customWidth="1"/>
    <col min="7692" max="7692" width="9.875" bestFit="1" customWidth="1"/>
    <col min="7693" max="7693" width="9" customWidth="1"/>
    <col min="7698" max="7698" width="7.625" bestFit="1" customWidth="1"/>
    <col min="7699" max="7699" width="7.75" bestFit="1" customWidth="1"/>
    <col min="7700" max="7700" width="8" bestFit="1" customWidth="1"/>
    <col min="7701" max="7701" width="9.875" bestFit="1" customWidth="1"/>
    <col min="7702" max="7702" width="9" customWidth="1"/>
    <col min="7707" max="7707" width="7.625" bestFit="1" customWidth="1"/>
    <col min="7939" max="7939" width="9.875" bestFit="1" customWidth="1"/>
    <col min="7940" max="7940" width="9" customWidth="1"/>
    <col min="7945" max="7945" width="7.625" bestFit="1" customWidth="1"/>
    <col min="7946" max="7946" width="7.75" bestFit="1" customWidth="1"/>
    <col min="7947" max="7947" width="8" bestFit="1" customWidth="1"/>
    <col min="7948" max="7948" width="9.875" bestFit="1" customWidth="1"/>
    <col min="7949" max="7949" width="9" customWidth="1"/>
    <col min="7954" max="7954" width="7.625" bestFit="1" customWidth="1"/>
    <col min="7955" max="7955" width="7.75" bestFit="1" customWidth="1"/>
    <col min="7956" max="7956" width="8" bestFit="1" customWidth="1"/>
    <col min="7957" max="7957" width="9.875" bestFit="1" customWidth="1"/>
    <col min="7958" max="7958" width="9" customWidth="1"/>
    <col min="7963" max="7963" width="7.625" bestFit="1" customWidth="1"/>
    <col min="8195" max="8195" width="9.875" bestFit="1" customWidth="1"/>
    <col min="8196" max="8196" width="9" customWidth="1"/>
    <col min="8201" max="8201" width="7.625" bestFit="1" customWidth="1"/>
    <col min="8202" max="8202" width="7.75" bestFit="1" customWidth="1"/>
    <col min="8203" max="8203" width="8" bestFit="1" customWidth="1"/>
    <col min="8204" max="8204" width="9.875" bestFit="1" customWidth="1"/>
    <col min="8205" max="8205" width="9" customWidth="1"/>
    <col min="8210" max="8210" width="7.625" bestFit="1" customWidth="1"/>
    <col min="8211" max="8211" width="7.75" bestFit="1" customWidth="1"/>
    <col min="8212" max="8212" width="8" bestFit="1" customWidth="1"/>
    <col min="8213" max="8213" width="9.875" bestFit="1" customWidth="1"/>
    <col min="8214" max="8214" width="9" customWidth="1"/>
    <col min="8219" max="8219" width="7.625" bestFit="1" customWidth="1"/>
    <col min="8451" max="8451" width="9.875" bestFit="1" customWidth="1"/>
    <col min="8452" max="8452" width="9" customWidth="1"/>
    <col min="8457" max="8457" width="7.625" bestFit="1" customWidth="1"/>
    <col min="8458" max="8458" width="7.75" bestFit="1" customWidth="1"/>
    <col min="8459" max="8459" width="8" bestFit="1" customWidth="1"/>
    <col min="8460" max="8460" width="9.875" bestFit="1" customWidth="1"/>
    <col min="8461" max="8461" width="9" customWidth="1"/>
    <col min="8466" max="8466" width="7.625" bestFit="1" customWidth="1"/>
    <col min="8467" max="8467" width="7.75" bestFit="1" customWidth="1"/>
    <col min="8468" max="8468" width="8" bestFit="1" customWidth="1"/>
    <col min="8469" max="8469" width="9.875" bestFit="1" customWidth="1"/>
    <col min="8470" max="8470" width="9" customWidth="1"/>
    <col min="8475" max="8475" width="7.625" bestFit="1" customWidth="1"/>
    <col min="8707" max="8707" width="9.875" bestFit="1" customWidth="1"/>
    <col min="8708" max="8708" width="9" customWidth="1"/>
    <col min="8713" max="8713" width="7.625" bestFit="1" customWidth="1"/>
    <col min="8714" max="8714" width="7.75" bestFit="1" customWidth="1"/>
    <col min="8715" max="8715" width="8" bestFit="1" customWidth="1"/>
    <col min="8716" max="8716" width="9.875" bestFit="1" customWidth="1"/>
    <col min="8717" max="8717" width="9" customWidth="1"/>
    <col min="8722" max="8722" width="7.625" bestFit="1" customWidth="1"/>
    <col min="8723" max="8723" width="7.75" bestFit="1" customWidth="1"/>
    <col min="8724" max="8724" width="8" bestFit="1" customWidth="1"/>
    <col min="8725" max="8725" width="9.875" bestFit="1" customWidth="1"/>
    <col min="8726" max="8726" width="9" customWidth="1"/>
    <col min="8731" max="8731" width="7.625" bestFit="1" customWidth="1"/>
    <col min="8963" max="8963" width="9.875" bestFit="1" customWidth="1"/>
    <col min="8964" max="8964" width="9" customWidth="1"/>
    <col min="8969" max="8969" width="7.625" bestFit="1" customWidth="1"/>
    <col min="8970" max="8970" width="7.75" bestFit="1" customWidth="1"/>
    <col min="8971" max="8971" width="8" bestFit="1" customWidth="1"/>
    <col min="8972" max="8972" width="9.875" bestFit="1" customWidth="1"/>
    <col min="8973" max="8973" width="9" customWidth="1"/>
    <col min="8978" max="8978" width="7.625" bestFit="1" customWidth="1"/>
    <col min="8979" max="8979" width="7.75" bestFit="1" customWidth="1"/>
    <col min="8980" max="8980" width="8" bestFit="1" customWidth="1"/>
    <col min="8981" max="8981" width="9.875" bestFit="1" customWidth="1"/>
    <col min="8982" max="8982" width="9" customWidth="1"/>
    <col min="8987" max="8987" width="7.625" bestFit="1" customWidth="1"/>
    <col min="9219" max="9219" width="9.875" bestFit="1" customWidth="1"/>
    <col min="9220" max="9220" width="9" customWidth="1"/>
    <col min="9225" max="9225" width="7.625" bestFit="1" customWidth="1"/>
    <col min="9226" max="9226" width="7.75" bestFit="1" customWidth="1"/>
    <col min="9227" max="9227" width="8" bestFit="1" customWidth="1"/>
    <col min="9228" max="9228" width="9.875" bestFit="1" customWidth="1"/>
    <col min="9229" max="9229" width="9" customWidth="1"/>
    <col min="9234" max="9234" width="7.625" bestFit="1" customWidth="1"/>
    <col min="9235" max="9235" width="7.75" bestFit="1" customWidth="1"/>
    <col min="9236" max="9236" width="8" bestFit="1" customWidth="1"/>
    <col min="9237" max="9237" width="9.875" bestFit="1" customWidth="1"/>
    <col min="9238" max="9238" width="9" customWidth="1"/>
    <col min="9243" max="9243" width="7.625" bestFit="1" customWidth="1"/>
    <col min="9475" max="9475" width="9.875" bestFit="1" customWidth="1"/>
    <col min="9476" max="9476" width="9" customWidth="1"/>
    <col min="9481" max="9481" width="7.625" bestFit="1" customWidth="1"/>
    <col min="9482" max="9482" width="7.75" bestFit="1" customWidth="1"/>
    <col min="9483" max="9483" width="8" bestFit="1" customWidth="1"/>
    <col min="9484" max="9484" width="9.875" bestFit="1" customWidth="1"/>
    <col min="9485" max="9485" width="9" customWidth="1"/>
    <col min="9490" max="9490" width="7.625" bestFit="1" customWidth="1"/>
    <col min="9491" max="9491" width="7.75" bestFit="1" customWidth="1"/>
    <col min="9492" max="9492" width="8" bestFit="1" customWidth="1"/>
    <col min="9493" max="9493" width="9.875" bestFit="1" customWidth="1"/>
    <col min="9494" max="9494" width="9" customWidth="1"/>
    <col min="9499" max="9499" width="7.625" bestFit="1" customWidth="1"/>
    <col min="9731" max="9731" width="9.875" bestFit="1" customWidth="1"/>
    <col min="9732" max="9732" width="9" customWidth="1"/>
    <col min="9737" max="9737" width="7.625" bestFit="1" customWidth="1"/>
    <col min="9738" max="9738" width="7.75" bestFit="1" customWidth="1"/>
    <col min="9739" max="9739" width="8" bestFit="1" customWidth="1"/>
    <col min="9740" max="9740" width="9.875" bestFit="1" customWidth="1"/>
    <col min="9741" max="9741" width="9" customWidth="1"/>
    <col min="9746" max="9746" width="7.625" bestFit="1" customWidth="1"/>
    <col min="9747" max="9747" width="7.75" bestFit="1" customWidth="1"/>
    <col min="9748" max="9748" width="8" bestFit="1" customWidth="1"/>
    <col min="9749" max="9749" width="9.875" bestFit="1" customWidth="1"/>
    <col min="9750" max="9750" width="9" customWidth="1"/>
    <col min="9755" max="9755" width="7.625" bestFit="1" customWidth="1"/>
    <col min="9987" max="9987" width="9.875" bestFit="1" customWidth="1"/>
    <col min="9988" max="9988" width="9" customWidth="1"/>
    <col min="9993" max="9993" width="7.625" bestFit="1" customWidth="1"/>
    <col min="9994" max="9994" width="7.75" bestFit="1" customWidth="1"/>
    <col min="9995" max="9995" width="8" bestFit="1" customWidth="1"/>
    <col min="9996" max="9996" width="9.875" bestFit="1" customWidth="1"/>
    <col min="9997" max="9997" width="9" customWidth="1"/>
    <col min="10002" max="10002" width="7.625" bestFit="1" customWidth="1"/>
    <col min="10003" max="10003" width="7.75" bestFit="1" customWidth="1"/>
    <col min="10004" max="10004" width="8" bestFit="1" customWidth="1"/>
    <col min="10005" max="10005" width="9.875" bestFit="1" customWidth="1"/>
    <col min="10006" max="10006" width="9" customWidth="1"/>
    <col min="10011" max="10011" width="7.625" bestFit="1" customWidth="1"/>
    <col min="10243" max="10243" width="9.875" bestFit="1" customWidth="1"/>
    <col min="10244" max="10244" width="9" customWidth="1"/>
    <col min="10249" max="10249" width="7.625" bestFit="1" customWidth="1"/>
    <col min="10250" max="10250" width="7.75" bestFit="1" customWidth="1"/>
    <col min="10251" max="10251" width="8" bestFit="1" customWidth="1"/>
    <col min="10252" max="10252" width="9.875" bestFit="1" customWidth="1"/>
    <col min="10253" max="10253" width="9" customWidth="1"/>
    <col min="10258" max="10258" width="7.625" bestFit="1" customWidth="1"/>
    <col min="10259" max="10259" width="7.75" bestFit="1" customWidth="1"/>
    <col min="10260" max="10260" width="8" bestFit="1" customWidth="1"/>
    <col min="10261" max="10261" width="9.875" bestFit="1" customWidth="1"/>
    <col min="10262" max="10262" width="9" customWidth="1"/>
    <col min="10267" max="10267" width="7.625" bestFit="1" customWidth="1"/>
    <col min="10499" max="10499" width="9.875" bestFit="1" customWidth="1"/>
    <col min="10500" max="10500" width="9" customWidth="1"/>
    <col min="10505" max="10505" width="7.625" bestFit="1" customWidth="1"/>
    <col min="10506" max="10506" width="7.75" bestFit="1" customWidth="1"/>
    <col min="10507" max="10507" width="8" bestFit="1" customWidth="1"/>
    <col min="10508" max="10508" width="9.875" bestFit="1" customWidth="1"/>
    <col min="10509" max="10509" width="9" customWidth="1"/>
    <col min="10514" max="10514" width="7.625" bestFit="1" customWidth="1"/>
    <col min="10515" max="10515" width="7.75" bestFit="1" customWidth="1"/>
    <col min="10516" max="10516" width="8" bestFit="1" customWidth="1"/>
    <col min="10517" max="10517" width="9.875" bestFit="1" customWidth="1"/>
    <col min="10518" max="10518" width="9" customWidth="1"/>
    <col min="10523" max="10523" width="7.625" bestFit="1" customWidth="1"/>
    <col min="10755" max="10755" width="9.875" bestFit="1" customWidth="1"/>
    <col min="10756" max="10756" width="9" customWidth="1"/>
    <col min="10761" max="10761" width="7.625" bestFit="1" customWidth="1"/>
    <col min="10762" max="10762" width="7.75" bestFit="1" customWidth="1"/>
    <col min="10763" max="10763" width="8" bestFit="1" customWidth="1"/>
    <col min="10764" max="10764" width="9.875" bestFit="1" customWidth="1"/>
    <col min="10765" max="10765" width="9" customWidth="1"/>
    <col min="10770" max="10770" width="7.625" bestFit="1" customWidth="1"/>
    <col min="10771" max="10771" width="7.75" bestFit="1" customWidth="1"/>
    <col min="10772" max="10772" width="8" bestFit="1" customWidth="1"/>
    <col min="10773" max="10773" width="9.875" bestFit="1" customWidth="1"/>
    <col min="10774" max="10774" width="9" customWidth="1"/>
    <col min="10779" max="10779" width="7.625" bestFit="1" customWidth="1"/>
    <col min="11011" max="11011" width="9.875" bestFit="1" customWidth="1"/>
    <col min="11012" max="11012" width="9" customWidth="1"/>
    <col min="11017" max="11017" width="7.625" bestFit="1" customWidth="1"/>
    <col min="11018" max="11018" width="7.75" bestFit="1" customWidth="1"/>
    <col min="11019" max="11019" width="8" bestFit="1" customWidth="1"/>
    <col min="11020" max="11020" width="9.875" bestFit="1" customWidth="1"/>
    <col min="11021" max="11021" width="9" customWidth="1"/>
    <col min="11026" max="11026" width="7.625" bestFit="1" customWidth="1"/>
    <col min="11027" max="11027" width="7.75" bestFit="1" customWidth="1"/>
    <col min="11028" max="11028" width="8" bestFit="1" customWidth="1"/>
    <col min="11029" max="11029" width="9.875" bestFit="1" customWidth="1"/>
    <col min="11030" max="11030" width="9" customWidth="1"/>
    <col min="11035" max="11035" width="7.625" bestFit="1" customWidth="1"/>
    <col min="11267" max="11267" width="9.875" bestFit="1" customWidth="1"/>
    <col min="11268" max="11268" width="9" customWidth="1"/>
    <col min="11273" max="11273" width="7.625" bestFit="1" customWidth="1"/>
    <col min="11274" max="11274" width="7.75" bestFit="1" customWidth="1"/>
    <col min="11275" max="11275" width="8" bestFit="1" customWidth="1"/>
    <col min="11276" max="11276" width="9.875" bestFit="1" customWidth="1"/>
    <col min="11277" max="11277" width="9" customWidth="1"/>
    <col min="11282" max="11282" width="7.625" bestFit="1" customWidth="1"/>
    <col min="11283" max="11283" width="7.75" bestFit="1" customWidth="1"/>
    <col min="11284" max="11284" width="8" bestFit="1" customWidth="1"/>
    <col min="11285" max="11285" width="9.875" bestFit="1" customWidth="1"/>
    <col min="11286" max="11286" width="9" customWidth="1"/>
    <col min="11291" max="11291" width="7.625" bestFit="1" customWidth="1"/>
    <col min="11523" max="11523" width="9.875" bestFit="1" customWidth="1"/>
    <col min="11524" max="11524" width="9" customWidth="1"/>
    <col min="11529" max="11529" width="7.625" bestFit="1" customWidth="1"/>
    <col min="11530" max="11530" width="7.75" bestFit="1" customWidth="1"/>
    <col min="11531" max="11531" width="8" bestFit="1" customWidth="1"/>
    <col min="11532" max="11532" width="9.875" bestFit="1" customWidth="1"/>
    <col min="11533" max="11533" width="9" customWidth="1"/>
    <col min="11538" max="11538" width="7.625" bestFit="1" customWidth="1"/>
    <col min="11539" max="11539" width="7.75" bestFit="1" customWidth="1"/>
    <col min="11540" max="11540" width="8" bestFit="1" customWidth="1"/>
    <col min="11541" max="11541" width="9.875" bestFit="1" customWidth="1"/>
    <col min="11542" max="11542" width="9" customWidth="1"/>
    <col min="11547" max="11547" width="7.625" bestFit="1" customWidth="1"/>
    <col min="11779" max="11779" width="9.875" bestFit="1" customWidth="1"/>
    <col min="11780" max="11780" width="9" customWidth="1"/>
    <col min="11785" max="11785" width="7.625" bestFit="1" customWidth="1"/>
    <col min="11786" max="11786" width="7.75" bestFit="1" customWidth="1"/>
    <col min="11787" max="11787" width="8" bestFit="1" customWidth="1"/>
    <col min="11788" max="11788" width="9.875" bestFit="1" customWidth="1"/>
    <col min="11789" max="11789" width="9" customWidth="1"/>
    <col min="11794" max="11794" width="7.625" bestFit="1" customWidth="1"/>
    <col min="11795" max="11795" width="7.75" bestFit="1" customWidth="1"/>
    <col min="11796" max="11796" width="8" bestFit="1" customWidth="1"/>
    <col min="11797" max="11797" width="9.875" bestFit="1" customWidth="1"/>
    <col min="11798" max="11798" width="9" customWidth="1"/>
    <col min="11803" max="11803" width="7.625" bestFit="1" customWidth="1"/>
    <col min="12035" max="12035" width="9.875" bestFit="1" customWidth="1"/>
    <col min="12036" max="12036" width="9" customWidth="1"/>
    <col min="12041" max="12041" width="7.625" bestFit="1" customWidth="1"/>
    <col min="12042" max="12042" width="7.75" bestFit="1" customWidth="1"/>
    <col min="12043" max="12043" width="8" bestFit="1" customWidth="1"/>
    <col min="12044" max="12044" width="9.875" bestFit="1" customWidth="1"/>
    <col min="12045" max="12045" width="9" customWidth="1"/>
    <col min="12050" max="12050" width="7.625" bestFit="1" customWidth="1"/>
    <col min="12051" max="12051" width="7.75" bestFit="1" customWidth="1"/>
    <col min="12052" max="12052" width="8" bestFit="1" customWidth="1"/>
    <col min="12053" max="12053" width="9.875" bestFit="1" customWidth="1"/>
    <col min="12054" max="12054" width="9" customWidth="1"/>
    <col min="12059" max="12059" width="7.625" bestFit="1" customWidth="1"/>
    <col min="12291" max="12291" width="9.875" bestFit="1" customWidth="1"/>
    <col min="12292" max="12292" width="9" customWidth="1"/>
    <col min="12297" max="12297" width="7.625" bestFit="1" customWidth="1"/>
    <col min="12298" max="12298" width="7.75" bestFit="1" customWidth="1"/>
    <col min="12299" max="12299" width="8" bestFit="1" customWidth="1"/>
    <col min="12300" max="12300" width="9.875" bestFit="1" customWidth="1"/>
    <col min="12301" max="12301" width="9" customWidth="1"/>
    <col min="12306" max="12306" width="7.625" bestFit="1" customWidth="1"/>
    <col min="12307" max="12307" width="7.75" bestFit="1" customWidth="1"/>
    <col min="12308" max="12308" width="8" bestFit="1" customWidth="1"/>
    <col min="12309" max="12309" width="9.875" bestFit="1" customWidth="1"/>
    <col min="12310" max="12310" width="9" customWidth="1"/>
    <col min="12315" max="12315" width="7.625" bestFit="1" customWidth="1"/>
    <col min="12547" max="12547" width="9.875" bestFit="1" customWidth="1"/>
    <col min="12548" max="12548" width="9" customWidth="1"/>
    <col min="12553" max="12553" width="7.625" bestFit="1" customWidth="1"/>
    <col min="12554" max="12554" width="7.75" bestFit="1" customWidth="1"/>
    <col min="12555" max="12555" width="8" bestFit="1" customWidth="1"/>
    <col min="12556" max="12556" width="9.875" bestFit="1" customWidth="1"/>
    <col min="12557" max="12557" width="9" customWidth="1"/>
    <col min="12562" max="12562" width="7.625" bestFit="1" customWidth="1"/>
    <col min="12563" max="12563" width="7.75" bestFit="1" customWidth="1"/>
    <col min="12564" max="12564" width="8" bestFit="1" customWidth="1"/>
    <col min="12565" max="12565" width="9.875" bestFit="1" customWidth="1"/>
    <col min="12566" max="12566" width="9" customWidth="1"/>
    <col min="12571" max="12571" width="7.625" bestFit="1" customWidth="1"/>
    <col min="12803" max="12803" width="9.875" bestFit="1" customWidth="1"/>
    <col min="12804" max="12804" width="9" customWidth="1"/>
    <col min="12809" max="12809" width="7.625" bestFit="1" customWidth="1"/>
    <col min="12810" max="12810" width="7.75" bestFit="1" customWidth="1"/>
    <col min="12811" max="12811" width="8" bestFit="1" customWidth="1"/>
    <col min="12812" max="12812" width="9.875" bestFit="1" customWidth="1"/>
    <col min="12813" max="12813" width="9" customWidth="1"/>
    <col min="12818" max="12818" width="7.625" bestFit="1" customWidth="1"/>
    <col min="12819" max="12819" width="7.75" bestFit="1" customWidth="1"/>
    <col min="12820" max="12820" width="8" bestFit="1" customWidth="1"/>
    <col min="12821" max="12821" width="9.875" bestFit="1" customWidth="1"/>
    <col min="12822" max="12822" width="9" customWidth="1"/>
    <col min="12827" max="12827" width="7.625" bestFit="1" customWidth="1"/>
    <col min="13059" max="13059" width="9.875" bestFit="1" customWidth="1"/>
    <col min="13060" max="13060" width="9" customWidth="1"/>
    <col min="13065" max="13065" width="7.625" bestFit="1" customWidth="1"/>
    <col min="13066" max="13066" width="7.75" bestFit="1" customWidth="1"/>
    <col min="13067" max="13067" width="8" bestFit="1" customWidth="1"/>
    <col min="13068" max="13068" width="9.875" bestFit="1" customWidth="1"/>
    <col min="13069" max="13069" width="9" customWidth="1"/>
    <col min="13074" max="13074" width="7.625" bestFit="1" customWidth="1"/>
    <col min="13075" max="13075" width="7.75" bestFit="1" customWidth="1"/>
    <col min="13076" max="13076" width="8" bestFit="1" customWidth="1"/>
    <col min="13077" max="13077" width="9.875" bestFit="1" customWidth="1"/>
    <col min="13078" max="13078" width="9" customWidth="1"/>
    <col min="13083" max="13083" width="7.625" bestFit="1" customWidth="1"/>
    <col min="13315" max="13315" width="9.875" bestFit="1" customWidth="1"/>
    <col min="13316" max="13316" width="9" customWidth="1"/>
    <col min="13321" max="13321" width="7.625" bestFit="1" customWidth="1"/>
    <col min="13322" max="13322" width="7.75" bestFit="1" customWidth="1"/>
    <col min="13323" max="13323" width="8" bestFit="1" customWidth="1"/>
    <col min="13324" max="13324" width="9.875" bestFit="1" customWidth="1"/>
    <col min="13325" max="13325" width="9" customWidth="1"/>
    <col min="13330" max="13330" width="7.625" bestFit="1" customWidth="1"/>
    <col min="13331" max="13331" width="7.75" bestFit="1" customWidth="1"/>
    <col min="13332" max="13332" width="8" bestFit="1" customWidth="1"/>
    <col min="13333" max="13333" width="9.875" bestFit="1" customWidth="1"/>
    <col min="13334" max="13334" width="9" customWidth="1"/>
    <col min="13339" max="13339" width="7.625" bestFit="1" customWidth="1"/>
    <col min="13571" max="13571" width="9.875" bestFit="1" customWidth="1"/>
    <col min="13572" max="13572" width="9" customWidth="1"/>
    <col min="13577" max="13577" width="7.625" bestFit="1" customWidth="1"/>
    <col min="13578" max="13578" width="7.75" bestFit="1" customWidth="1"/>
    <col min="13579" max="13579" width="8" bestFit="1" customWidth="1"/>
    <col min="13580" max="13580" width="9.875" bestFit="1" customWidth="1"/>
    <col min="13581" max="13581" width="9" customWidth="1"/>
    <col min="13586" max="13586" width="7.625" bestFit="1" customWidth="1"/>
    <col min="13587" max="13587" width="7.75" bestFit="1" customWidth="1"/>
    <col min="13588" max="13588" width="8" bestFit="1" customWidth="1"/>
    <col min="13589" max="13589" width="9.875" bestFit="1" customWidth="1"/>
    <col min="13590" max="13590" width="9" customWidth="1"/>
    <col min="13595" max="13595" width="7.625" bestFit="1" customWidth="1"/>
    <col min="13827" max="13827" width="9.875" bestFit="1" customWidth="1"/>
    <col min="13828" max="13828" width="9" customWidth="1"/>
    <col min="13833" max="13833" width="7.625" bestFit="1" customWidth="1"/>
    <col min="13834" max="13834" width="7.75" bestFit="1" customWidth="1"/>
    <col min="13835" max="13835" width="8" bestFit="1" customWidth="1"/>
    <col min="13836" max="13836" width="9.875" bestFit="1" customWidth="1"/>
    <col min="13837" max="13837" width="9" customWidth="1"/>
    <col min="13842" max="13842" width="7.625" bestFit="1" customWidth="1"/>
    <col min="13843" max="13843" width="7.75" bestFit="1" customWidth="1"/>
    <col min="13844" max="13844" width="8" bestFit="1" customWidth="1"/>
    <col min="13845" max="13845" width="9.875" bestFit="1" customWidth="1"/>
    <col min="13846" max="13846" width="9" customWidth="1"/>
    <col min="13851" max="13851" width="7.625" bestFit="1" customWidth="1"/>
    <col min="14083" max="14083" width="9.875" bestFit="1" customWidth="1"/>
    <col min="14084" max="14084" width="9" customWidth="1"/>
    <col min="14089" max="14089" width="7.625" bestFit="1" customWidth="1"/>
    <col min="14090" max="14090" width="7.75" bestFit="1" customWidth="1"/>
    <col min="14091" max="14091" width="8" bestFit="1" customWidth="1"/>
    <col min="14092" max="14092" width="9.875" bestFit="1" customWidth="1"/>
    <col min="14093" max="14093" width="9" customWidth="1"/>
    <col min="14098" max="14098" width="7.625" bestFit="1" customWidth="1"/>
    <col min="14099" max="14099" width="7.75" bestFit="1" customWidth="1"/>
    <col min="14100" max="14100" width="8" bestFit="1" customWidth="1"/>
    <col min="14101" max="14101" width="9.875" bestFit="1" customWidth="1"/>
    <col min="14102" max="14102" width="9" customWidth="1"/>
    <col min="14107" max="14107" width="7.625" bestFit="1" customWidth="1"/>
    <col min="14339" max="14339" width="9.875" bestFit="1" customWidth="1"/>
    <col min="14340" max="14340" width="9" customWidth="1"/>
    <col min="14345" max="14345" width="7.625" bestFit="1" customWidth="1"/>
    <col min="14346" max="14346" width="7.75" bestFit="1" customWidth="1"/>
    <col min="14347" max="14347" width="8" bestFit="1" customWidth="1"/>
    <col min="14348" max="14348" width="9.875" bestFit="1" customWidth="1"/>
    <col min="14349" max="14349" width="9" customWidth="1"/>
    <col min="14354" max="14354" width="7.625" bestFit="1" customWidth="1"/>
    <col min="14355" max="14355" width="7.75" bestFit="1" customWidth="1"/>
    <col min="14356" max="14356" width="8" bestFit="1" customWidth="1"/>
    <col min="14357" max="14357" width="9.875" bestFit="1" customWidth="1"/>
    <col min="14358" max="14358" width="9" customWidth="1"/>
    <col min="14363" max="14363" width="7.625" bestFit="1" customWidth="1"/>
    <col min="14595" max="14595" width="9.875" bestFit="1" customWidth="1"/>
    <col min="14596" max="14596" width="9" customWidth="1"/>
    <col min="14601" max="14601" width="7.625" bestFit="1" customWidth="1"/>
    <col min="14602" max="14602" width="7.75" bestFit="1" customWidth="1"/>
    <col min="14603" max="14603" width="8" bestFit="1" customWidth="1"/>
    <col min="14604" max="14604" width="9.875" bestFit="1" customWidth="1"/>
    <col min="14605" max="14605" width="9" customWidth="1"/>
    <col min="14610" max="14610" width="7.625" bestFit="1" customWidth="1"/>
    <col min="14611" max="14611" width="7.75" bestFit="1" customWidth="1"/>
    <col min="14612" max="14612" width="8" bestFit="1" customWidth="1"/>
    <col min="14613" max="14613" width="9.875" bestFit="1" customWidth="1"/>
    <col min="14614" max="14614" width="9" customWidth="1"/>
    <col min="14619" max="14619" width="7.625" bestFit="1" customWidth="1"/>
    <col min="14851" max="14851" width="9.875" bestFit="1" customWidth="1"/>
    <col min="14852" max="14852" width="9" customWidth="1"/>
    <col min="14857" max="14857" width="7.625" bestFit="1" customWidth="1"/>
    <col min="14858" max="14858" width="7.75" bestFit="1" customWidth="1"/>
    <col min="14859" max="14859" width="8" bestFit="1" customWidth="1"/>
    <col min="14860" max="14860" width="9.875" bestFit="1" customWidth="1"/>
    <col min="14861" max="14861" width="9" customWidth="1"/>
    <col min="14866" max="14866" width="7.625" bestFit="1" customWidth="1"/>
    <col min="14867" max="14867" width="7.75" bestFit="1" customWidth="1"/>
    <col min="14868" max="14868" width="8" bestFit="1" customWidth="1"/>
    <col min="14869" max="14869" width="9.875" bestFit="1" customWidth="1"/>
    <col min="14870" max="14870" width="9" customWidth="1"/>
    <col min="14875" max="14875" width="7.625" bestFit="1" customWidth="1"/>
    <col min="15107" max="15107" width="9.875" bestFit="1" customWidth="1"/>
    <col min="15108" max="15108" width="9" customWidth="1"/>
    <col min="15113" max="15113" width="7.625" bestFit="1" customWidth="1"/>
    <col min="15114" max="15114" width="7.75" bestFit="1" customWidth="1"/>
    <col min="15115" max="15115" width="8" bestFit="1" customWidth="1"/>
    <col min="15116" max="15116" width="9.875" bestFit="1" customWidth="1"/>
    <col min="15117" max="15117" width="9" customWidth="1"/>
    <col min="15122" max="15122" width="7.625" bestFit="1" customWidth="1"/>
    <col min="15123" max="15123" width="7.75" bestFit="1" customWidth="1"/>
    <col min="15124" max="15124" width="8" bestFit="1" customWidth="1"/>
    <col min="15125" max="15125" width="9.875" bestFit="1" customWidth="1"/>
    <col min="15126" max="15126" width="9" customWidth="1"/>
    <col min="15131" max="15131" width="7.625" bestFit="1" customWidth="1"/>
    <col min="15363" max="15363" width="9.875" bestFit="1" customWidth="1"/>
    <col min="15364" max="15364" width="9" customWidth="1"/>
    <col min="15369" max="15369" width="7.625" bestFit="1" customWidth="1"/>
    <col min="15370" max="15370" width="7.75" bestFit="1" customWidth="1"/>
    <col min="15371" max="15371" width="8" bestFit="1" customWidth="1"/>
    <col min="15372" max="15372" width="9.875" bestFit="1" customWidth="1"/>
    <col min="15373" max="15373" width="9" customWidth="1"/>
    <col min="15378" max="15378" width="7.625" bestFit="1" customWidth="1"/>
    <col min="15379" max="15379" width="7.75" bestFit="1" customWidth="1"/>
    <col min="15380" max="15380" width="8" bestFit="1" customWidth="1"/>
    <col min="15381" max="15381" width="9.875" bestFit="1" customWidth="1"/>
    <col min="15382" max="15382" width="9" customWidth="1"/>
    <col min="15387" max="15387" width="7.625" bestFit="1" customWidth="1"/>
    <col min="15619" max="15619" width="9.875" bestFit="1" customWidth="1"/>
    <col min="15620" max="15620" width="9" customWidth="1"/>
    <col min="15625" max="15625" width="7.625" bestFit="1" customWidth="1"/>
    <col min="15626" max="15626" width="7.75" bestFit="1" customWidth="1"/>
    <col min="15627" max="15627" width="8" bestFit="1" customWidth="1"/>
    <col min="15628" max="15628" width="9.875" bestFit="1" customWidth="1"/>
    <col min="15629" max="15629" width="9" customWidth="1"/>
    <col min="15634" max="15634" width="7.625" bestFit="1" customWidth="1"/>
    <col min="15635" max="15635" width="7.75" bestFit="1" customWidth="1"/>
    <col min="15636" max="15636" width="8" bestFit="1" customWidth="1"/>
    <col min="15637" max="15637" width="9.875" bestFit="1" customWidth="1"/>
    <col min="15638" max="15638" width="9" customWidth="1"/>
    <col min="15643" max="15643" width="7.625" bestFit="1" customWidth="1"/>
    <col min="15875" max="15875" width="9.875" bestFit="1" customWidth="1"/>
    <col min="15876" max="15876" width="9" customWidth="1"/>
    <col min="15881" max="15881" width="7.625" bestFit="1" customWidth="1"/>
    <col min="15882" max="15882" width="7.75" bestFit="1" customWidth="1"/>
    <col min="15883" max="15883" width="8" bestFit="1" customWidth="1"/>
    <col min="15884" max="15884" width="9.875" bestFit="1" customWidth="1"/>
    <col min="15885" max="15885" width="9" customWidth="1"/>
    <col min="15890" max="15890" width="7.625" bestFit="1" customWidth="1"/>
    <col min="15891" max="15891" width="7.75" bestFit="1" customWidth="1"/>
    <col min="15892" max="15892" width="8" bestFit="1" customWidth="1"/>
    <col min="15893" max="15893" width="9.875" bestFit="1" customWidth="1"/>
    <col min="15894" max="15894" width="9" customWidth="1"/>
    <col min="15899" max="15899" width="7.625" bestFit="1" customWidth="1"/>
    <col min="16131" max="16131" width="9.875" bestFit="1" customWidth="1"/>
    <col min="16132" max="16132" width="9" customWidth="1"/>
    <col min="16137" max="16137" width="7.625" bestFit="1" customWidth="1"/>
    <col min="16138" max="16138" width="7.75" bestFit="1" customWidth="1"/>
    <col min="16139" max="16139" width="8" bestFit="1" customWidth="1"/>
    <col min="16140" max="16140" width="9.875" bestFit="1" customWidth="1"/>
    <col min="16141" max="16141" width="9" customWidth="1"/>
    <col min="16146" max="16146" width="7.625" bestFit="1" customWidth="1"/>
    <col min="16147" max="16147" width="7.75" bestFit="1" customWidth="1"/>
    <col min="16148" max="16148" width="8" bestFit="1" customWidth="1"/>
    <col min="16149" max="16149" width="9.875" bestFit="1" customWidth="1"/>
    <col min="16150" max="16150" width="9" customWidth="1"/>
    <col min="16155" max="16155" width="7.625" bestFit="1" customWidth="1"/>
  </cols>
  <sheetData>
    <row r="1" spans="1:99" ht="35.25">
      <c r="A1" s="1" t="s">
        <v>59</v>
      </c>
      <c r="B1" s="78" t="s">
        <v>22</v>
      </c>
      <c r="C1" s="78"/>
      <c r="D1" s="78"/>
      <c r="E1" s="78"/>
      <c r="F1" s="78"/>
      <c r="G1" s="78"/>
      <c r="H1" s="78"/>
      <c r="I1" s="78"/>
      <c r="J1" s="78"/>
      <c r="K1" s="78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99" ht="14.25">
      <c r="A2" s="3" t="s">
        <v>23</v>
      </c>
      <c r="B2" s="79" t="s">
        <v>24</v>
      </c>
      <c r="C2" s="80"/>
      <c r="D2" s="80"/>
      <c r="E2" s="80"/>
      <c r="F2" s="80"/>
      <c r="G2" s="80"/>
      <c r="H2" s="80"/>
      <c r="I2" s="80"/>
      <c r="J2" s="80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99" ht="14.25">
      <c r="A3" s="3" t="s">
        <v>0</v>
      </c>
      <c r="B3" s="79" t="s">
        <v>25</v>
      </c>
      <c r="C3" s="80"/>
      <c r="D3" s="80"/>
      <c r="E3" s="80"/>
      <c r="F3" s="80"/>
      <c r="G3" s="80"/>
      <c r="H3" s="80"/>
      <c r="I3" s="80"/>
      <c r="J3" s="80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99" ht="14.25" customHeight="1">
      <c r="A4" s="19" t="s">
        <v>167</v>
      </c>
      <c r="B4" s="5" t="s">
        <v>26</v>
      </c>
      <c r="C4" s="5" t="s">
        <v>27</v>
      </c>
      <c r="D4" s="5" t="s">
        <v>28</v>
      </c>
      <c r="E4" s="5" t="s">
        <v>56</v>
      </c>
      <c r="F4" s="5" t="s">
        <v>57</v>
      </c>
      <c r="G4" s="21" t="s">
        <v>3</v>
      </c>
      <c r="H4" s="41" t="s">
        <v>4</v>
      </c>
      <c r="I4" s="81" t="s">
        <v>29</v>
      </c>
      <c r="J4" s="19" t="s">
        <v>167</v>
      </c>
      <c r="K4" s="20" t="s">
        <v>26</v>
      </c>
      <c r="L4" s="20" t="s">
        <v>27</v>
      </c>
      <c r="M4" s="20" t="s">
        <v>28</v>
      </c>
      <c r="N4" s="20" t="s">
        <v>56</v>
      </c>
      <c r="O4" s="20" t="s">
        <v>57</v>
      </c>
      <c r="P4" s="21" t="s">
        <v>3</v>
      </c>
      <c r="Q4" s="41" t="s">
        <v>4</v>
      </c>
      <c r="R4" s="86" t="s">
        <v>29</v>
      </c>
      <c r="S4" s="19" t="s">
        <v>167</v>
      </c>
      <c r="T4" s="5" t="s">
        <v>26</v>
      </c>
      <c r="U4" s="5" t="s">
        <v>27</v>
      </c>
      <c r="V4" s="5" t="s">
        <v>28</v>
      </c>
      <c r="W4" s="5" t="s">
        <v>56</v>
      </c>
      <c r="X4" s="5" t="s">
        <v>57</v>
      </c>
      <c r="Y4" s="21" t="s">
        <v>3</v>
      </c>
      <c r="Z4" s="41" t="s">
        <v>4</v>
      </c>
      <c r="AA4" s="81" t="s">
        <v>29</v>
      </c>
      <c r="AB4" s="19" t="s">
        <v>167</v>
      </c>
      <c r="AC4" s="20" t="s">
        <v>26</v>
      </c>
      <c r="AD4" s="20" t="s">
        <v>27</v>
      </c>
      <c r="AE4" s="20" t="s">
        <v>28</v>
      </c>
      <c r="AF4" s="20" t="s">
        <v>56</v>
      </c>
      <c r="AG4" s="20" t="s">
        <v>57</v>
      </c>
      <c r="AH4" s="21" t="s">
        <v>3</v>
      </c>
      <c r="AI4" s="41" t="s">
        <v>4</v>
      </c>
      <c r="AJ4" s="86" t="s">
        <v>29</v>
      </c>
      <c r="AK4" s="19" t="s">
        <v>167</v>
      </c>
      <c r="AL4" s="20" t="s">
        <v>26</v>
      </c>
      <c r="AM4" s="20" t="s">
        <v>27</v>
      </c>
      <c r="AN4" s="20" t="s">
        <v>28</v>
      </c>
      <c r="AO4" s="20" t="s">
        <v>56</v>
      </c>
      <c r="AP4" s="20" t="s">
        <v>57</v>
      </c>
      <c r="AQ4" s="21" t="s">
        <v>3</v>
      </c>
      <c r="AR4" s="41" t="s">
        <v>4</v>
      </c>
      <c r="AS4" s="41" t="s">
        <v>29</v>
      </c>
      <c r="AT4" s="19" t="s">
        <v>167</v>
      </c>
      <c r="AU4" s="20" t="s">
        <v>26</v>
      </c>
      <c r="AV4" s="20" t="s">
        <v>27</v>
      </c>
      <c r="AW4" s="20" t="s">
        <v>28</v>
      </c>
      <c r="AX4" s="20" t="s">
        <v>56</v>
      </c>
      <c r="AY4" s="20" t="s">
        <v>57</v>
      </c>
      <c r="AZ4" s="21" t="s">
        <v>3</v>
      </c>
      <c r="BA4" s="41" t="s">
        <v>4</v>
      </c>
      <c r="BB4" s="49" t="s">
        <v>29</v>
      </c>
      <c r="BC4" s="19" t="s">
        <v>167</v>
      </c>
      <c r="BD4" s="20" t="s">
        <v>26</v>
      </c>
      <c r="BE4" s="20" t="s">
        <v>27</v>
      </c>
      <c r="BF4" s="20" t="s">
        <v>28</v>
      </c>
      <c r="BG4" s="20" t="s">
        <v>56</v>
      </c>
      <c r="BH4" s="20" t="s">
        <v>57</v>
      </c>
      <c r="BI4" s="21" t="s">
        <v>3</v>
      </c>
      <c r="BJ4" s="41" t="s">
        <v>4</v>
      </c>
      <c r="BK4" s="41" t="s">
        <v>29</v>
      </c>
      <c r="BL4" s="19" t="s">
        <v>167</v>
      </c>
      <c r="BM4" s="5" t="s">
        <v>26</v>
      </c>
      <c r="BN4" s="5" t="s">
        <v>27</v>
      </c>
      <c r="BO4" s="5" t="s">
        <v>28</v>
      </c>
      <c r="BP4" s="5" t="s">
        <v>56</v>
      </c>
      <c r="BQ4" s="5" t="s">
        <v>57</v>
      </c>
      <c r="BR4" s="21" t="s">
        <v>3</v>
      </c>
      <c r="BS4" s="41" t="s">
        <v>4</v>
      </c>
      <c r="BT4" s="47" t="s">
        <v>29</v>
      </c>
      <c r="BU4" s="19" t="s">
        <v>167</v>
      </c>
      <c r="BV4" s="20" t="s">
        <v>26</v>
      </c>
      <c r="BW4" s="20" t="s">
        <v>27</v>
      </c>
      <c r="BX4" s="20" t="s">
        <v>28</v>
      </c>
      <c r="BY4" s="20" t="s">
        <v>56</v>
      </c>
      <c r="BZ4" s="20" t="s">
        <v>57</v>
      </c>
      <c r="CA4" s="21" t="s">
        <v>3</v>
      </c>
      <c r="CB4" s="41" t="s">
        <v>4</v>
      </c>
      <c r="CC4" s="41" t="s">
        <v>29</v>
      </c>
      <c r="CD4" s="19" t="s">
        <v>167</v>
      </c>
      <c r="CE4" s="5" t="s">
        <v>26</v>
      </c>
      <c r="CF4" s="5" t="s">
        <v>27</v>
      </c>
      <c r="CG4" s="5" t="s">
        <v>28</v>
      </c>
      <c r="CH4" s="5" t="s">
        <v>56</v>
      </c>
      <c r="CI4" s="5" t="s">
        <v>57</v>
      </c>
      <c r="CJ4" s="21" t="s">
        <v>3</v>
      </c>
      <c r="CK4" s="41" t="s">
        <v>4</v>
      </c>
      <c r="CL4" s="47" t="s">
        <v>29</v>
      </c>
      <c r="CM4" s="19" t="s">
        <v>167</v>
      </c>
      <c r="CN4" s="20" t="s">
        <v>26</v>
      </c>
      <c r="CO4" s="20" t="s">
        <v>27</v>
      </c>
      <c r="CP4" s="20" t="s">
        <v>28</v>
      </c>
      <c r="CQ4" s="20" t="s">
        <v>56</v>
      </c>
      <c r="CR4" s="20" t="s">
        <v>57</v>
      </c>
      <c r="CS4" s="21" t="s">
        <v>3</v>
      </c>
      <c r="CT4" s="41" t="s">
        <v>4</v>
      </c>
      <c r="CU4" s="41" t="s">
        <v>29</v>
      </c>
    </row>
    <row r="5" spans="1:99" ht="15">
      <c r="A5" s="7" t="s">
        <v>30</v>
      </c>
      <c r="B5" s="8">
        <v>19957</v>
      </c>
      <c r="C5" s="8">
        <v>1710.7</v>
      </c>
      <c r="D5" s="4">
        <v>1.4</v>
      </c>
      <c r="E5" s="8" t="s">
        <v>10</v>
      </c>
      <c r="F5" s="50">
        <v>1</v>
      </c>
      <c r="G5" s="24" t="s">
        <v>15</v>
      </c>
      <c r="H5" s="25" t="s">
        <v>6</v>
      </c>
      <c r="I5" s="82"/>
      <c r="J5" s="22" t="s">
        <v>31</v>
      </c>
      <c r="K5" s="28">
        <v>20393</v>
      </c>
      <c r="L5" s="28">
        <v>1754.3</v>
      </c>
      <c r="M5" s="23">
        <v>1.4</v>
      </c>
      <c r="N5" s="28" t="s">
        <v>10</v>
      </c>
      <c r="O5" s="29">
        <v>1</v>
      </c>
      <c r="P5" s="24" t="s">
        <v>31</v>
      </c>
      <c r="Q5" s="25" t="s">
        <v>7</v>
      </c>
      <c r="R5" s="86"/>
      <c r="S5" s="7" t="s">
        <v>30</v>
      </c>
      <c r="T5" s="8">
        <v>19975</v>
      </c>
      <c r="U5" s="8">
        <v>1712.5</v>
      </c>
      <c r="V5" s="4">
        <v>5</v>
      </c>
      <c r="W5" s="8" t="s">
        <v>10</v>
      </c>
      <c r="X5" s="50">
        <v>1</v>
      </c>
      <c r="Y5" s="24" t="s">
        <v>15</v>
      </c>
      <c r="Z5" s="25" t="s">
        <v>6</v>
      </c>
      <c r="AA5" s="82"/>
      <c r="AB5" s="22" t="s">
        <v>32</v>
      </c>
      <c r="AC5" s="28">
        <v>20175</v>
      </c>
      <c r="AD5" s="28">
        <v>1732.5</v>
      </c>
      <c r="AE5" s="23">
        <v>5</v>
      </c>
      <c r="AF5" s="28" t="s">
        <v>10</v>
      </c>
      <c r="AG5" s="29">
        <v>1</v>
      </c>
      <c r="AH5" s="24" t="s">
        <v>15</v>
      </c>
      <c r="AI5" s="25" t="s">
        <v>7</v>
      </c>
      <c r="AJ5" s="86"/>
      <c r="AK5" s="27" t="s">
        <v>31</v>
      </c>
      <c r="AL5" s="28">
        <v>20375</v>
      </c>
      <c r="AM5" s="28">
        <v>1752.5</v>
      </c>
      <c r="AN5" s="23">
        <v>5</v>
      </c>
      <c r="AO5" s="28" t="s">
        <v>10</v>
      </c>
      <c r="AP5" s="29">
        <v>1</v>
      </c>
      <c r="AQ5" s="24" t="s">
        <v>31</v>
      </c>
      <c r="AR5" s="25" t="s">
        <v>7</v>
      </c>
      <c r="AS5" s="41"/>
      <c r="AT5" s="27" t="s">
        <v>30</v>
      </c>
      <c r="AU5" s="28">
        <v>19975</v>
      </c>
      <c r="AV5" s="28">
        <v>1712.5</v>
      </c>
      <c r="AW5" s="23">
        <v>5</v>
      </c>
      <c r="AX5" s="28" t="s">
        <v>10</v>
      </c>
      <c r="AY5" s="29">
        <v>25</v>
      </c>
      <c r="AZ5" s="24" t="s">
        <v>30</v>
      </c>
      <c r="BA5" s="25" t="s">
        <v>6</v>
      </c>
      <c r="BB5" s="51"/>
      <c r="BC5" s="27" t="s">
        <v>31</v>
      </c>
      <c r="BD5" s="28">
        <v>20375</v>
      </c>
      <c r="BE5" s="28">
        <v>1752.5</v>
      </c>
      <c r="BF5" s="23">
        <v>5</v>
      </c>
      <c r="BG5" s="28" t="s">
        <v>10</v>
      </c>
      <c r="BH5" s="29">
        <v>25</v>
      </c>
      <c r="BI5" s="24" t="s">
        <v>15</v>
      </c>
      <c r="BJ5" s="25" t="s">
        <v>7</v>
      </c>
      <c r="BK5" s="41"/>
      <c r="BL5" s="7" t="s">
        <v>30</v>
      </c>
      <c r="BM5" s="8">
        <v>20050</v>
      </c>
      <c r="BN5" s="8">
        <v>1720</v>
      </c>
      <c r="BO5" s="4">
        <v>20</v>
      </c>
      <c r="BP5" s="8" t="s">
        <v>10</v>
      </c>
      <c r="BQ5" s="50">
        <v>1</v>
      </c>
      <c r="BR5" s="24" t="s">
        <v>15</v>
      </c>
      <c r="BS5" s="25" t="s">
        <v>6</v>
      </c>
      <c r="BT5" s="48"/>
      <c r="BU5" s="27" t="s">
        <v>31</v>
      </c>
      <c r="BV5" s="28">
        <v>20300</v>
      </c>
      <c r="BW5" s="28">
        <v>1745</v>
      </c>
      <c r="BX5" s="23">
        <v>20</v>
      </c>
      <c r="BY5" s="28" t="s">
        <v>10</v>
      </c>
      <c r="BZ5" s="29">
        <v>1</v>
      </c>
      <c r="CA5" s="24" t="s">
        <v>31</v>
      </c>
      <c r="CB5" s="25" t="s">
        <v>7</v>
      </c>
      <c r="CC5" s="41"/>
      <c r="CD5" s="7" t="s">
        <v>30</v>
      </c>
      <c r="CE5" s="8">
        <v>20050</v>
      </c>
      <c r="CF5" s="8">
        <v>1720</v>
      </c>
      <c r="CG5" s="4">
        <v>20</v>
      </c>
      <c r="CH5" s="8" t="s">
        <v>10</v>
      </c>
      <c r="CI5" s="50">
        <v>100</v>
      </c>
      <c r="CJ5" s="24" t="s">
        <v>30</v>
      </c>
      <c r="CK5" s="25" t="s">
        <v>6</v>
      </c>
      <c r="CL5" s="48"/>
      <c r="CM5" s="27" t="s">
        <v>31</v>
      </c>
      <c r="CN5" s="28">
        <v>20300</v>
      </c>
      <c r="CO5" s="28">
        <v>1745</v>
      </c>
      <c r="CP5" s="23">
        <v>20</v>
      </c>
      <c r="CQ5" s="28" t="s">
        <v>10</v>
      </c>
      <c r="CR5" s="29">
        <v>100</v>
      </c>
      <c r="CS5" s="24" t="s">
        <v>30</v>
      </c>
      <c r="CT5" s="25" t="s">
        <v>7</v>
      </c>
      <c r="CU5" s="41"/>
    </row>
    <row r="6" spans="1:99" ht="14.25">
      <c r="A6" s="83" t="s">
        <v>16</v>
      </c>
      <c r="B6" s="84"/>
      <c r="C6" s="6" t="s">
        <v>17</v>
      </c>
      <c r="D6" s="6" t="s">
        <v>33</v>
      </c>
      <c r="E6" s="83" t="s">
        <v>34</v>
      </c>
      <c r="F6" s="85"/>
      <c r="G6" s="84"/>
      <c r="H6" s="26" t="s">
        <v>5</v>
      </c>
      <c r="I6" s="2"/>
      <c r="J6" s="83" t="s">
        <v>16</v>
      </c>
      <c r="K6" s="84"/>
      <c r="L6" s="18" t="s">
        <v>17</v>
      </c>
      <c r="M6" s="18" t="s">
        <v>33</v>
      </c>
      <c r="N6" s="83" t="s">
        <v>34</v>
      </c>
      <c r="O6" s="85"/>
      <c r="P6" s="84"/>
      <c r="Q6" s="26" t="s">
        <v>5</v>
      </c>
      <c r="R6" s="19"/>
      <c r="S6" s="83" t="s">
        <v>16</v>
      </c>
      <c r="T6" s="84"/>
      <c r="U6" s="6" t="s">
        <v>17</v>
      </c>
      <c r="V6" s="6" t="s">
        <v>33</v>
      </c>
      <c r="W6" s="83" t="s">
        <v>34</v>
      </c>
      <c r="X6" s="85"/>
      <c r="Y6" s="84"/>
      <c r="Z6" s="26" t="s">
        <v>5</v>
      </c>
      <c r="AA6" s="2"/>
      <c r="AB6" s="83" t="s">
        <v>16</v>
      </c>
      <c r="AC6" s="84"/>
      <c r="AD6" s="18" t="s">
        <v>17</v>
      </c>
      <c r="AE6" s="18" t="s">
        <v>33</v>
      </c>
      <c r="AF6" s="83" t="s">
        <v>34</v>
      </c>
      <c r="AG6" s="85"/>
      <c r="AH6" s="84"/>
      <c r="AI6" s="26" t="s">
        <v>5</v>
      </c>
      <c r="AJ6" s="19"/>
      <c r="AK6" s="42" t="s">
        <v>16</v>
      </c>
      <c r="AL6" s="43"/>
      <c r="AM6" s="18" t="s">
        <v>17</v>
      </c>
      <c r="AN6" s="18" t="s">
        <v>33</v>
      </c>
      <c r="AO6" s="42" t="s">
        <v>34</v>
      </c>
      <c r="AP6" s="44"/>
      <c r="AQ6" s="43"/>
      <c r="AR6" s="26" t="s">
        <v>5</v>
      </c>
      <c r="AS6" s="19"/>
      <c r="AT6" s="42" t="s">
        <v>16</v>
      </c>
      <c r="AU6" s="43"/>
      <c r="AV6" s="18" t="s">
        <v>17</v>
      </c>
      <c r="AW6" s="18" t="s">
        <v>33</v>
      </c>
      <c r="AX6" s="42" t="s">
        <v>34</v>
      </c>
      <c r="AY6" s="44"/>
      <c r="AZ6" s="43"/>
      <c r="BA6" s="26" t="s">
        <v>5</v>
      </c>
      <c r="BB6" s="19"/>
      <c r="BC6" s="42" t="s">
        <v>16</v>
      </c>
      <c r="BD6" s="43"/>
      <c r="BE6" s="18" t="s">
        <v>17</v>
      </c>
      <c r="BF6" s="18" t="s">
        <v>33</v>
      </c>
      <c r="BG6" s="42" t="s">
        <v>34</v>
      </c>
      <c r="BH6" s="44"/>
      <c r="BI6" s="43"/>
      <c r="BJ6" s="26" t="s">
        <v>5</v>
      </c>
      <c r="BK6" s="19"/>
      <c r="BL6" s="52" t="s">
        <v>16</v>
      </c>
      <c r="BM6" s="53"/>
      <c r="BN6" s="6" t="s">
        <v>17</v>
      </c>
      <c r="BO6" s="6" t="s">
        <v>33</v>
      </c>
      <c r="BP6" s="52" t="s">
        <v>34</v>
      </c>
      <c r="BQ6" s="60"/>
      <c r="BR6" s="53"/>
      <c r="BS6" s="26" t="s">
        <v>5</v>
      </c>
      <c r="BT6" s="2"/>
      <c r="BU6" s="42" t="s">
        <v>16</v>
      </c>
      <c r="BV6" s="43"/>
      <c r="BW6" s="18" t="s">
        <v>17</v>
      </c>
      <c r="BX6" s="18" t="s">
        <v>33</v>
      </c>
      <c r="BY6" s="42" t="s">
        <v>34</v>
      </c>
      <c r="BZ6" s="44"/>
      <c r="CA6" s="43"/>
      <c r="CB6" s="26" t="s">
        <v>5</v>
      </c>
      <c r="CC6" s="19"/>
      <c r="CD6" s="52" t="s">
        <v>16</v>
      </c>
      <c r="CE6" s="53"/>
      <c r="CF6" s="6" t="s">
        <v>17</v>
      </c>
      <c r="CG6" s="6" t="s">
        <v>33</v>
      </c>
      <c r="CH6" s="52" t="s">
        <v>34</v>
      </c>
      <c r="CI6" s="60"/>
      <c r="CJ6" s="53"/>
      <c r="CK6" s="26" t="s">
        <v>5</v>
      </c>
      <c r="CL6" s="2"/>
      <c r="CM6" s="42" t="s">
        <v>16</v>
      </c>
      <c r="CN6" s="43"/>
      <c r="CO6" s="18" t="s">
        <v>17</v>
      </c>
      <c r="CP6" s="18" t="s">
        <v>33</v>
      </c>
      <c r="CQ6" s="42" t="s">
        <v>34</v>
      </c>
      <c r="CR6" s="44"/>
      <c r="CS6" s="43"/>
      <c r="CT6" s="26" t="s">
        <v>5</v>
      </c>
      <c r="CU6" s="19"/>
    </row>
    <row r="7" spans="1:99" ht="15">
      <c r="A7" s="54">
        <f>((C5-2.5*0.18)-0.2)*2</f>
        <v>3420.1</v>
      </c>
      <c r="B7" s="54">
        <f>((C5-2.5*0.18)+0.2)*2</f>
        <v>3420.9</v>
      </c>
      <c r="C7" s="10" t="s">
        <v>9</v>
      </c>
      <c r="D7" s="10" t="s">
        <v>9</v>
      </c>
      <c r="E7" s="87" t="s">
        <v>35</v>
      </c>
      <c r="F7" s="88"/>
      <c r="G7" s="89"/>
      <c r="H7" s="75"/>
      <c r="I7" s="55" t="s">
        <v>36</v>
      </c>
      <c r="J7" s="54">
        <f>((L5+2.5*0.18)-0.2)*2</f>
        <v>3509.1</v>
      </c>
      <c r="K7" s="54">
        <f>((L5+2.5*0.18)+0.2)*2</f>
        <v>3509.9</v>
      </c>
      <c r="L7" s="10" t="s">
        <v>9</v>
      </c>
      <c r="M7" s="10" t="s">
        <v>9</v>
      </c>
      <c r="N7" s="87" t="s">
        <v>35</v>
      </c>
      <c r="O7" s="88"/>
      <c r="P7" s="89"/>
      <c r="Q7" s="75"/>
      <c r="R7" s="55" t="s">
        <v>36</v>
      </c>
      <c r="S7" s="54">
        <f>((U5-INT((V5*5)/2)*0.18)-0.2)*2</f>
        <v>3420.2799999999997</v>
      </c>
      <c r="T7" s="54">
        <f>((U5-INT((V5*5)/2)*0.18)+0.2)*2</f>
        <v>3421.08</v>
      </c>
      <c r="U7" s="10" t="s">
        <v>9</v>
      </c>
      <c r="V7" s="10" t="s">
        <v>9</v>
      </c>
      <c r="W7" s="87" t="s">
        <v>35</v>
      </c>
      <c r="X7" s="88"/>
      <c r="Y7" s="89"/>
      <c r="Z7" s="75"/>
      <c r="AA7" s="55" t="s">
        <v>36</v>
      </c>
      <c r="AB7" s="54">
        <f>((AD5-INT((AE5*5)/2)*0.18)-0.2)*2</f>
        <v>3460.2799999999997</v>
      </c>
      <c r="AC7" s="54">
        <f>((AD5-INT((AE5*5)/2)*0.18)+0.2)*2</f>
        <v>3461.08</v>
      </c>
      <c r="AD7" s="10" t="s">
        <v>9</v>
      </c>
      <c r="AE7" s="10" t="s">
        <v>9</v>
      </c>
      <c r="AF7" s="87" t="s">
        <v>35</v>
      </c>
      <c r="AG7" s="88"/>
      <c r="AH7" s="89"/>
      <c r="AI7" s="75"/>
      <c r="AJ7" s="55" t="s">
        <v>36</v>
      </c>
      <c r="AK7" s="54">
        <f>((AM5+INT((AN5*5)/2)*0.18)-0.2)*2</f>
        <v>3508.92</v>
      </c>
      <c r="AL7" s="54">
        <f>((AM5+INT((AN5*5)/2)*0.18)+0.2)*2</f>
        <v>3509.7200000000003</v>
      </c>
      <c r="AM7" s="10" t="s">
        <v>9</v>
      </c>
      <c r="AN7" s="10" t="s">
        <v>9</v>
      </c>
      <c r="AO7" s="87" t="s">
        <v>35</v>
      </c>
      <c r="AP7" s="88"/>
      <c r="AQ7" s="89"/>
      <c r="AR7" s="75"/>
      <c r="AS7" s="55" t="s">
        <v>36</v>
      </c>
      <c r="AT7" s="54">
        <f>(AV5-AW5/2)*2</f>
        <v>3420</v>
      </c>
      <c r="AU7" s="54">
        <f>(AV5+AW5/2)*2</f>
        <v>3430</v>
      </c>
      <c r="AV7" s="10" t="s">
        <v>9</v>
      </c>
      <c r="AW7" s="10" t="s">
        <v>9</v>
      </c>
      <c r="AX7" s="87" t="s">
        <v>35</v>
      </c>
      <c r="AY7" s="88"/>
      <c r="AZ7" s="89"/>
      <c r="BA7" s="75"/>
      <c r="BB7" s="55" t="s">
        <v>36</v>
      </c>
      <c r="BC7" s="54">
        <f>(BE5-BF5/2)*2</f>
        <v>3500</v>
      </c>
      <c r="BD7" s="54">
        <f>(BE5+BF5/2)*2</f>
        <v>3510</v>
      </c>
      <c r="BE7" s="10" t="s">
        <v>9</v>
      </c>
      <c r="BF7" s="10" t="s">
        <v>9</v>
      </c>
      <c r="BG7" s="87" t="s">
        <v>35</v>
      </c>
      <c r="BH7" s="88"/>
      <c r="BI7" s="89"/>
      <c r="BJ7" s="75"/>
      <c r="BK7" s="55" t="s">
        <v>36</v>
      </c>
      <c r="BL7" s="54">
        <f>((BN5-(INT((BO5*5)/2)-0.5)*0.18)-0.2)*2</f>
        <v>3421.7799999999997</v>
      </c>
      <c r="BM7" s="54">
        <f>((BN5-(INT((BO5*5)/2)-0.5)*0.18)+0.2)*2</f>
        <v>3422.58</v>
      </c>
      <c r="BN7" s="10" t="s">
        <v>9</v>
      </c>
      <c r="BO7" s="10" t="s">
        <v>9</v>
      </c>
      <c r="BP7" s="87" t="s">
        <v>35</v>
      </c>
      <c r="BQ7" s="88"/>
      <c r="BR7" s="89"/>
      <c r="BS7" s="75"/>
      <c r="BT7" s="55" t="s">
        <v>36</v>
      </c>
      <c r="BU7" s="54">
        <f>((BW5+(INT((BX5*5)/2)-0.5)*0.18)-0.2)*2</f>
        <v>3507.42</v>
      </c>
      <c r="BV7" s="54">
        <f>((BW5+(INT((BX5*5)/2)-0.5)*0.18)+0.2)*2</f>
        <v>3508.2200000000003</v>
      </c>
      <c r="BW7" s="10" t="s">
        <v>9</v>
      </c>
      <c r="BX7" s="10" t="s">
        <v>9</v>
      </c>
      <c r="BY7" s="87" t="s">
        <v>35</v>
      </c>
      <c r="BZ7" s="88"/>
      <c r="CA7" s="89"/>
      <c r="CB7" s="75"/>
      <c r="CC7" s="55" t="s">
        <v>36</v>
      </c>
      <c r="CD7" s="54">
        <f>(CF5-CG5/2)*2</f>
        <v>3420</v>
      </c>
      <c r="CE7" s="54">
        <f>(CF5+CG5/2)*2</f>
        <v>3460</v>
      </c>
      <c r="CF7" s="10" t="s">
        <v>9</v>
      </c>
      <c r="CG7" s="10" t="s">
        <v>9</v>
      </c>
      <c r="CH7" s="87" t="s">
        <v>35</v>
      </c>
      <c r="CI7" s="88"/>
      <c r="CJ7" s="89"/>
      <c r="CK7" s="75"/>
      <c r="CL7" s="55" t="s">
        <v>36</v>
      </c>
      <c r="CM7" s="54">
        <f>(CO5-CP5/2)*2</f>
        <v>3470</v>
      </c>
      <c r="CN7" s="54">
        <f>(CO5+CP5/2)*2</f>
        <v>3510</v>
      </c>
      <c r="CO7" s="10" t="s">
        <v>9</v>
      </c>
      <c r="CP7" s="10" t="s">
        <v>9</v>
      </c>
      <c r="CQ7" s="87" t="s">
        <v>35</v>
      </c>
      <c r="CR7" s="88"/>
      <c r="CS7" s="89"/>
      <c r="CT7" s="75"/>
      <c r="CU7" s="55" t="s">
        <v>36</v>
      </c>
    </row>
    <row r="8" spans="1:99" ht="15">
      <c r="A8" s="54">
        <f>((C5-2.5*0.18)-0.2)*3</f>
        <v>5130.1499999999996</v>
      </c>
      <c r="B8" s="54">
        <f>((C5-2.5*0.18)+0.2)*2</f>
        <v>3420.9</v>
      </c>
      <c r="C8" s="10" t="s">
        <v>9</v>
      </c>
      <c r="D8" s="10" t="s">
        <v>9</v>
      </c>
      <c r="E8" s="87" t="s">
        <v>35</v>
      </c>
      <c r="F8" s="88"/>
      <c r="G8" s="89"/>
      <c r="H8" s="75"/>
      <c r="I8" s="55" t="s">
        <v>37</v>
      </c>
      <c r="J8" s="54">
        <f>((L5+2.5*0.18)-0.2)*3</f>
        <v>5263.65</v>
      </c>
      <c r="K8" s="54">
        <f>((L5+2.5*0.18)+0.2)*3</f>
        <v>5264.85</v>
      </c>
      <c r="L8" s="10" t="s">
        <v>9</v>
      </c>
      <c r="M8" s="10" t="s">
        <v>9</v>
      </c>
      <c r="N8" s="87" t="s">
        <v>35</v>
      </c>
      <c r="O8" s="88"/>
      <c r="P8" s="89"/>
      <c r="Q8" s="75"/>
      <c r="R8" s="55" t="s">
        <v>37</v>
      </c>
      <c r="S8" s="54">
        <f>((U5-INT((V5*5)/2)*0.18)-0.2)*3</f>
        <v>5130.42</v>
      </c>
      <c r="T8" s="54">
        <f>((U5-INT((V5*5)/2)*0.18)+0.2)*3</f>
        <v>5131.62</v>
      </c>
      <c r="U8" s="10" t="s">
        <v>9</v>
      </c>
      <c r="V8" s="10" t="s">
        <v>9</v>
      </c>
      <c r="W8" s="87" t="s">
        <v>35</v>
      </c>
      <c r="X8" s="88"/>
      <c r="Y8" s="89"/>
      <c r="Z8" s="75"/>
      <c r="AA8" s="55" t="s">
        <v>37</v>
      </c>
      <c r="AB8" s="54">
        <f>((AD5-INT((AE5*5)/2)*0.18)-0.2)*3</f>
        <v>5190.42</v>
      </c>
      <c r="AC8" s="54">
        <f>((AD5-INT((AE5*5)/2)*0.18)+0.2)*3</f>
        <v>5191.62</v>
      </c>
      <c r="AD8" s="10" t="s">
        <v>9</v>
      </c>
      <c r="AE8" s="10" t="s">
        <v>9</v>
      </c>
      <c r="AF8" s="87" t="s">
        <v>35</v>
      </c>
      <c r="AG8" s="88"/>
      <c r="AH8" s="89"/>
      <c r="AI8" s="75"/>
      <c r="AJ8" s="55" t="s">
        <v>37</v>
      </c>
      <c r="AK8" s="54">
        <f>((AM5+INT((AN5*5)/2)*0.18)-0.2)*3</f>
        <v>5263.38</v>
      </c>
      <c r="AL8" s="54">
        <f>((AM5+INT((AN5*5)/2)*0.18)+0.2)*3</f>
        <v>5264.58</v>
      </c>
      <c r="AM8" s="10" t="s">
        <v>9</v>
      </c>
      <c r="AN8" s="10" t="s">
        <v>9</v>
      </c>
      <c r="AO8" s="87" t="s">
        <v>35</v>
      </c>
      <c r="AP8" s="88"/>
      <c r="AQ8" s="89"/>
      <c r="AR8" s="75"/>
      <c r="AS8" s="55" t="s">
        <v>37</v>
      </c>
      <c r="AT8" s="54">
        <f>(AV5-AW5/2)*3</f>
        <v>5130</v>
      </c>
      <c r="AU8" s="54">
        <f>(AV5+AW5/2)*3</f>
        <v>5145</v>
      </c>
      <c r="AV8" s="10" t="s">
        <v>9</v>
      </c>
      <c r="AW8" s="10" t="s">
        <v>9</v>
      </c>
      <c r="AX8" s="87" t="s">
        <v>35</v>
      </c>
      <c r="AY8" s="88"/>
      <c r="AZ8" s="89"/>
      <c r="BA8" s="75"/>
      <c r="BB8" s="55" t="s">
        <v>37</v>
      </c>
      <c r="BC8" s="54">
        <f>(BE5-BF5/2)*3</f>
        <v>5250</v>
      </c>
      <c r="BD8" s="54">
        <f>(BE5+BF5/2)*3</f>
        <v>5265</v>
      </c>
      <c r="BE8" s="10" t="s">
        <v>9</v>
      </c>
      <c r="BF8" s="10" t="s">
        <v>9</v>
      </c>
      <c r="BG8" s="87" t="s">
        <v>35</v>
      </c>
      <c r="BH8" s="88"/>
      <c r="BI8" s="89"/>
      <c r="BJ8" s="75"/>
      <c r="BK8" s="55" t="s">
        <v>37</v>
      </c>
      <c r="BL8" s="54">
        <f>((BN5-(INT((BO5*5)/2)-0.5)*0.18)-0.2)*3</f>
        <v>5132.67</v>
      </c>
      <c r="BM8" s="54">
        <f>((BN5-(INT((BO5*5)/2)-0.5)*0.18)+0.2)*3</f>
        <v>5133.87</v>
      </c>
      <c r="BN8" s="10" t="s">
        <v>9</v>
      </c>
      <c r="BO8" s="10" t="s">
        <v>9</v>
      </c>
      <c r="BP8" s="87" t="s">
        <v>35</v>
      </c>
      <c r="BQ8" s="88"/>
      <c r="BR8" s="89"/>
      <c r="BS8" s="75"/>
      <c r="BT8" s="55" t="s">
        <v>37</v>
      </c>
      <c r="BU8" s="54">
        <f>((BW5+(INT((BX5*5)/2)-0.5)*0.18)-0.2)*3</f>
        <v>5261.13</v>
      </c>
      <c r="BV8" s="54">
        <f>((BW5+(INT((BX5*5)/2)-0.5)*0.18)+0.2)*3</f>
        <v>5262.33</v>
      </c>
      <c r="BW8" s="10" t="s">
        <v>9</v>
      </c>
      <c r="BX8" s="10" t="s">
        <v>9</v>
      </c>
      <c r="BY8" s="87" t="s">
        <v>35</v>
      </c>
      <c r="BZ8" s="88"/>
      <c r="CA8" s="89"/>
      <c r="CB8" s="75"/>
      <c r="CC8" s="55" t="s">
        <v>37</v>
      </c>
      <c r="CD8" s="54">
        <f>(CF5-CG5/2)*3</f>
        <v>5130</v>
      </c>
      <c r="CE8" s="54">
        <f>(CF5+CG5/2)*3</f>
        <v>5190</v>
      </c>
      <c r="CF8" s="10" t="s">
        <v>9</v>
      </c>
      <c r="CG8" s="10" t="s">
        <v>9</v>
      </c>
      <c r="CH8" s="87" t="s">
        <v>35</v>
      </c>
      <c r="CI8" s="88"/>
      <c r="CJ8" s="89"/>
      <c r="CK8" s="75"/>
      <c r="CL8" s="55" t="s">
        <v>37</v>
      </c>
      <c r="CM8" s="54">
        <f>(CO5-CP5/2)*3</f>
        <v>5205</v>
      </c>
      <c r="CN8" s="54">
        <f>(CO5+CP5/2)*3</f>
        <v>5265</v>
      </c>
      <c r="CO8" s="10" t="s">
        <v>9</v>
      </c>
      <c r="CP8" s="10" t="s">
        <v>9</v>
      </c>
      <c r="CQ8" s="87" t="s">
        <v>35</v>
      </c>
      <c r="CR8" s="88"/>
      <c r="CS8" s="89"/>
      <c r="CT8" s="75"/>
      <c r="CU8" s="55" t="s">
        <v>37</v>
      </c>
    </row>
    <row r="9" spans="1:99" ht="15">
      <c r="A9" s="54">
        <f>((C5-2.5*0.18)-0.2)*4</f>
        <v>6840.2</v>
      </c>
      <c r="B9" s="54">
        <f>((C5-2.5*0.18)+0.2)*4</f>
        <v>6841.8</v>
      </c>
      <c r="C9" s="10" t="s">
        <v>9</v>
      </c>
      <c r="D9" s="10" t="s">
        <v>9</v>
      </c>
      <c r="E9" s="90" t="s">
        <v>35</v>
      </c>
      <c r="F9" s="90"/>
      <c r="G9" s="90"/>
      <c r="H9" s="75"/>
      <c r="I9" s="55" t="s">
        <v>38</v>
      </c>
      <c r="J9" s="54">
        <f>((L5+2.5*0.18)-0.2)*4</f>
        <v>7018.2</v>
      </c>
      <c r="K9" s="54">
        <f>((L5+2.5*0.18)+0.2)*4</f>
        <v>7019.8</v>
      </c>
      <c r="L9" s="10" t="s">
        <v>9</v>
      </c>
      <c r="M9" s="10" t="s">
        <v>9</v>
      </c>
      <c r="N9" s="90" t="s">
        <v>35</v>
      </c>
      <c r="O9" s="90"/>
      <c r="P9" s="90"/>
      <c r="Q9" s="75"/>
      <c r="R9" s="55" t="s">
        <v>38</v>
      </c>
      <c r="S9" s="54">
        <f>((U5-INT((V5*5)/2)*0.18)-0.2)*4</f>
        <v>6840.5599999999995</v>
      </c>
      <c r="T9" s="54">
        <f>((U5-INT((V5*5)/2)*0.18)+0.2)*4</f>
        <v>6842.16</v>
      </c>
      <c r="U9" s="10" t="s">
        <v>9</v>
      </c>
      <c r="V9" s="10" t="s">
        <v>9</v>
      </c>
      <c r="W9" s="90" t="s">
        <v>35</v>
      </c>
      <c r="X9" s="90"/>
      <c r="Y9" s="90"/>
      <c r="Z9" s="75"/>
      <c r="AA9" s="55" t="s">
        <v>38</v>
      </c>
      <c r="AB9" s="54">
        <f>((AD5-INT((AE5*5)/2)*0.18)-0.2)*4</f>
        <v>6920.5599999999995</v>
      </c>
      <c r="AC9" s="54">
        <f>((AD5-INT((AE5*5)/2)*0.18)+0.2)*4</f>
        <v>6922.16</v>
      </c>
      <c r="AD9" s="10" t="s">
        <v>9</v>
      </c>
      <c r="AE9" s="10" t="s">
        <v>9</v>
      </c>
      <c r="AF9" s="90" t="s">
        <v>35</v>
      </c>
      <c r="AG9" s="90"/>
      <c r="AH9" s="90"/>
      <c r="AI9" s="75"/>
      <c r="AJ9" s="55" t="s">
        <v>38</v>
      </c>
      <c r="AK9" s="54">
        <f>((AM5+INT((AN5*5)/2)*0.18)-0.2)*4</f>
        <v>7017.84</v>
      </c>
      <c r="AL9" s="54">
        <f>((AM5+INT((AN5*5)/2)*0.18)+0.2)*4</f>
        <v>7019.4400000000005</v>
      </c>
      <c r="AM9" s="10" t="s">
        <v>9</v>
      </c>
      <c r="AN9" s="10" t="s">
        <v>9</v>
      </c>
      <c r="AO9" s="87" t="s">
        <v>39</v>
      </c>
      <c r="AP9" s="88"/>
      <c r="AQ9" s="89"/>
      <c r="AR9" s="75"/>
      <c r="AS9" s="55" t="s">
        <v>38</v>
      </c>
      <c r="AT9" s="54">
        <f>(AV5-AW5/2)*4</f>
        <v>6840</v>
      </c>
      <c r="AU9" s="54">
        <f>(AV5+AW5/2)*4</f>
        <v>6860</v>
      </c>
      <c r="AV9" s="10" t="s">
        <v>9</v>
      </c>
      <c r="AW9" s="10" t="s">
        <v>9</v>
      </c>
      <c r="AX9" s="87" t="s">
        <v>39</v>
      </c>
      <c r="AY9" s="88"/>
      <c r="AZ9" s="89"/>
      <c r="BA9" s="75"/>
      <c r="BB9" s="55" t="s">
        <v>38</v>
      </c>
      <c r="BC9" s="54">
        <f>(BE5-BF5/2)*4</f>
        <v>7000</v>
      </c>
      <c r="BD9" s="54">
        <f>(BE5+BF5/2)*4</f>
        <v>7020</v>
      </c>
      <c r="BE9" s="10" t="s">
        <v>9</v>
      </c>
      <c r="BF9" s="10" t="s">
        <v>9</v>
      </c>
      <c r="BG9" s="87" t="s">
        <v>39</v>
      </c>
      <c r="BH9" s="88"/>
      <c r="BI9" s="89"/>
      <c r="BJ9" s="75"/>
      <c r="BK9" s="55" t="s">
        <v>38</v>
      </c>
      <c r="BL9" s="54">
        <f>((BN5-(INT((BO5*5)/2)-0.5)*0.18)-0.2)*4</f>
        <v>6843.5599999999995</v>
      </c>
      <c r="BM9" s="54">
        <f>((BN5-(INT((BO5*5)/2)-0.5)*0.18)+0.2)*4</f>
        <v>6845.16</v>
      </c>
      <c r="BN9" s="10" t="s">
        <v>9</v>
      </c>
      <c r="BO9" s="10" t="s">
        <v>9</v>
      </c>
      <c r="BP9" s="87" t="s">
        <v>39</v>
      </c>
      <c r="BQ9" s="88"/>
      <c r="BR9" s="89"/>
      <c r="BS9" s="75"/>
      <c r="BT9" s="55" t="s">
        <v>38</v>
      </c>
      <c r="BU9" s="54">
        <f>((BW5+(INT((BX5*5)/2)-0.5)*0.18)-0.2)*4</f>
        <v>7014.84</v>
      </c>
      <c r="BV9" s="54">
        <f>((BW5+(INT((BX5*5)/2)-0.5)*0.18)+0.2)*4</f>
        <v>7016.4400000000005</v>
      </c>
      <c r="BW9" s="10" t="s">
        <v>9</v>
      </c>
      <c r="BX9" s="10" t="s">
        <v>9</v>
      </c>
      <c r="BY9" s="87" t="s">
        <v>39</v>
      </c>
      <c r="BZ9" s="88"/>
      <c r="CA9" s="89"/>
      <c r="CB9" s="75"/>
      <c r="CC9" s="55" t="s">
        <v>38</v>
      </c>
      <c r="CD9" s="54">
        <f>(CF5-CG5/2)*4</f>
        <v>6840</v>
      </c>
      <c r="CE9" s="54">
        <f>(CF5+CG5/2)*4</f>
        <v>6920</v>
      </c>
      <c r="CF9" s="10" t="s">
        <v>9</v>
      </c>
      <c r="CG9" s="10" t="s">
        <v>9</v>
      </c>
      <c r="CH9" s="87" t="s">
        <v>39</v>
      </c>
      <c r="CI9" s="88"/>
      <c r="CJ9" s="89"/>
      <c r="CK9" s="75"/>
      <c r="CL9" s="55" t="s">
        <v>38</v>
      </c>
      <c r="CM9" s="54">
        <f>(CO5-CP5/2)*4</f>
        <v>6940</v>
      </c>
      <c r="CN9" s="54">
        <f>(CO5+CP5/2)*4</f>
        <v>7020</v>
      </c>
      <c r="CO9" s="10" t="s">
        <v>9</v>
      </c>
      <c r="CP9" s="10" t="s">
        <v>9</v>
      </c>
      <c r="CQ9" s="87" t="s">
        <v>39</v>
      </c>
      <c r="CR9" s="88"/>
      <c r="CS9" s="89"/>
      <c r="CT9" s="75"/>
      <c r="CU9" s="55" t="s">
        <v>38</v>
      </c>
    </row>
    <row r="10" spans="1:99" ht="15">
      <c r="A10" s="54">
        <f>((C5-2.5*0.18)-0.2)*5</f>
        <v>8550.25</v>
      </c>
      <c r="B10" s="54">
        <f>((C5-2.5*0.18)+0.2)*5</f>
        <v>8552.25</v>
      </c>
      <c r="C10" s="10" t="s">
        <v>9</v>
      </c>
      <c r="D10" s="10" t="s">
        <v>9</v>
      </c>
      <c r="E10" s="87" t="s">
        <v>35</v>
      </c>
      <c r="F10" s="88"/>
      <c r="G10" s="89"/>
      <c r="H10" s="75"/>
      <c r="I10" s="55" t="s">
        <v>40</v>
      </c>
      <c r="J10" s="54">
        <f>((L5+2.5*0.18)-0.2)*5</f>
        <v>8772.75</v>
      </c>
      <c r="K10" s="54">
        <f>((L5+2.5*0.18)+0.2)*5</f>
        <v>8774.75</v>
      </c>
      <c r="L10" s="10" t="s">
        <v>9</v>
      </c>
      <c r="M10" s="10" t="s">
        <v>9</v>
      </c>
      <c r="N10" s="87" t="s">
        <v>35</v>
      </c>
      <c r="O10" s="88"/>
      <c r="P10" s="89"/>
      <c r="Q10" s="75"/>
      <c r="R10" s="55" t="s">
        <v>40</v>
      </c>
      <c r="S10" s="54">
        <f>((U5-INT((V5*5)/2)*0.18)-0.2)*5</f>
        <v>8550.6999999999989</v>
      </c>
      <c r="T10" s="54">
        <f>((U5-INT((V5*5)/2)*0.18)+0.2)*5</f>
        <v>8552.7000000000007</v>
      </c>
      <c r="U10" s="10" t="s">
        <v>9</v>
      </c>
      <c r="V10" s="10" t="s">
        <v>9</v>
      </c>
      <c r="W10" s="87" t="s">
        <v>35</v>
      </c>
      <c r="X10" s="88"/>
      <c r="Y10" s="89"/>
      <c r="Z10" s="75"/>
      <c r="AA10" s="55" t="s">
        <v>40</v>
      </c>
      <c r="AB10" s="54">
        <f>((AD5-INT((AE5*5)/2)*0.18)-0.2)*5</f>
        <v>8650.6999999999989</v>
      </c>
      <c r="AC10" s="54">
        <f>((AD5-INT((AE5*5)/2)*0.18)+0.2)*5</f>
        <v>8652.7000000000007</v>
      </c>
      <c r="AD10" s="10" t="s">
        <v>9</v>
      </c>
      <c r="AE10" s="10" t="s">
        <v>9</v>
      </c>
      <c r="AF10" s="87" t="s">
        <v>35</v>
      </c>
      <c r="AG10" s="88"/>
      <c r="AH10" s="89"/>
      <c r="AI10" s="75"/>
      <c r="AJ10" s="55" t="s">
        <v>40</v>
      </c>
      <c r="AK10" s="54">
        <f>((AM5+INT((AN5*5)/2)*0.18)-0.2)*5</f>
        <v>8772.2999999999993</v>
      </c>
      <c r="AL10" s="54">
        <f>((AM5+INT((AN5*5)/2)*0.18)+0.2)*5</f>
        <v>8774.3000000000011</v>
      </c>
      <c r="AM10" s="10" t="s">
        <v>9</v>
      </c>
      <c r="AN10" s="10" t="s">
        <v>9</v>
      </c>
      <c r="AO10" s="87" t="s">
        <v>39</v>
      </c>
      <c r="AP10" s="88"/>
      <c r="AQ10" s="89"/>
      <c r="AR10" s="75"/>
      <c r="AS10" s="55" t="s">
        <v>40</v>
      </c>
      <c r="AT10" s="54">
        <f>(AV5-AW5/2)*5</f>
        <v>8550</v>
      </c>
      <c r="AU10" s="54">
        <f>(AV5+AW5/2)*5</f>
        <v>8575</v>
      </c>
      <c r="AV10" s="10" t="s">
        <v>9</v>
      </c>
      <c r="AW10" s="10" t="s">
        <v>9</v>
      </c>
      <c r="AX10" s="87" t="s">
        <v>39</v>
      </c>
      <c r="AY10" s="88"/>
      <c r="AZ10" s="89"/>
      <c r="BA10" s="75"/>
      <c r="BB10" s="55" t="s">
        <v>40</v>
      </c>
      <c r="BC10" s="54">
        <f>(BE5-BF5/2)*5</f>
        <v>8750</v>
      </c>
      <c r="BD10" s="54">
        <f>(BE5+BF5/2)*5</f>
        <v>8775</v>
      </c>
      <c r="BE10" s="10" t="s">
        <v>9</v>
      </c>
      <c r="BF10" s="10" t="s">
        <v>9</v>
      </c>
      <c r="BG10" s="87" t="s">
        <v>39</v>
      </c>
      <c r="BH10" s="88"/>
      <c r="BI10" s="89"/>
      <c r="BJ10" s="75"/>
      <c r="BK10" s="55" t="s">
        <v>40</v>
      </c>
      <c r="BL10" s="54">
        <f>((BN5-(INT((BO5*5)/2)-0.5)*0.18)-0.2)*5</f>
        <v>8554.4499999999989</v>
      </c>
      <c r="BM10" s="54">
        <f>((BN5-(INT((BO5*5)/2)-0.5)*0.18)+0.2)*5</f>
        <v>8556.4500000000007</v>
      </c>
      <c r="BN10" s="10" t="s">
        <v>9</v>
      </c>
      <c r="BO10" s="10" t="s">
        <v>9</v>
      </c>
      <c r="BP10" s="87" t="s">
        <v>39</v>
      </c>
      <c r="BQ10" s="88"/>
      <c r="BR10" s="89"/>
      <c r="BS10" s="75"/>
      <c r="BT10" s="55" t="s">
        <v>40</v>
      </c>
      <c r="BU10" s="54">
        <f>((BW5+(INT((BX5*5)/2)-0.5)*0.18)-0.2)*5</f>
        <v>8768.5499999999993</v>
      </c>
      <c r="BV10" s="54">
        <f>((BW5+(INT((BX5*5)/2)-0.5)*0.18)+0.2)*5</f>
        <v>8770.5500000000011</v>
      </c>
      <c r="BW10" s="10" t="s">
        <v>9</v>
      </c>
      <c r="BX10" s="10" t="s">
        <v>9</v>
      </c>
      <c r="BY10" s="87" t="s">
        <v>39</v>
      </c>
      <c r="BZ10" s="88"/>
      <c r="CA10" s="89"/>
      <c r="CB10" s="75"/>
      <c r="CC10" s="55" t="s">
        <v>40</v>
      </c>
      <c r="CD10" s="54">
        <f>(CF5-CG5/2)*5</f>
        <v>8550</v>
      </c>
      <c r="CE10" s="54">
        <f>(CF5+CG5/2)*5</f>
        <v>8650</v>
      </c>
      <c r="CF10" s="10" t="s">
        <v>9</v>
      </c>
      <c r="CG10" s="10" t="s">
        <v>9</v>
      </c>
      <c r="CH10" s="87" t="s">
        <v>39</v>
      </c>
      <c r="CI10" s="88"/>
      <c r="CJ10" s="89"/>
      <c r="CK10" s="75"/>
      <c r="CL10" s="55" t="s">
        <v>40</v>
      </c>
      <c r="CM10" s="54">
        <f>(CO5-CP5/2)*5</f>
        <v>8675</v>
      </c>
      <c r="CN10" s="54">
        <f>(CO5+CP5/2)*5</f>
        <v>8775</v>
      </c>
      <c r="CO10" s="10" t="s">
        <v>9</v>
      </c>
      <c r="CP10" s="10" t="s">
        <v>9</v>
      </c>
      <c r="CQ10" s="87" t="s">
        <v>39</v>
      </c>
      <c r="CR10" s="88"/>
      <c r="CS10" s="89"/>
      <c r="CT10" s="75"/>
      <c r="CU10" s="55" t="s">
        <v>40</v>
      </c>
    </row>
    <row r="11" spans="1:99" ht="15">
      <c r="A11" s="54">
        <f>((C5-2.5*0.18)-0.2)*6</f>
        <v>10260.299999999999</v>
      </c>
      <c r="B11" s="54">
        <f>((C5-2.5*0.18)+0.2)*6</f>
        <v>10262.700000000001</v>
      </c>
      <c r="C11" s="10" t="s">
        <v>9</v>
      </c>
      <c r="D11" s="10" t="s">
        <v>9</v>
      </c>
      <c r="E11" s="90" t="s">
        <v>35</v>
      </c>
      <c r="F11" s="90"/>
      <c r="G11" s="90"/>
      <c r="H11" s="75"/>
      <c r="I11" s="55" t="s">
        <v>41</v>
      </c>
      <c r="J11" s="54">
        <f>((L5+2.5*0.18)-0.2)*6</f>
        <v>10527.3</v>
      </c>
      <c r="K11" s="54">
        <f>((L5+2.5*0.18)+0.2)*6</f>
        <v>10529.7</v>
      </c>
      <c r="L11" s="10" t="s">
        <v>9</v>
      </c>
      <c r="M11" s="10" t="s">
        <v>9</v>
      </c>
      <c r="N11" s="90" t="s">
        <v>35</v>
      </c>
      <c r="O11" s="90"/>
      <c r="P11" s="90"/>
      <c r="Q11" s="75"/>
      <c r="R11" s="55" t="s">
        <v>41</v>
      </c>
      <c r="S11" s="54">
        <f>((U5-INT((V5*5)/2)*0.18)-0.2)*6</f>
        <v>10260.84</v>
      </c>
      <c r="T11" s="54">
        <f>((U5-INT((V5*5)/2)*0.18)+0.2)*6</f>
        <v>10263.24</v>
      </c>
      <c r="U11" s="10" t="s">
        <v>9</v>
      </c>
      <c r="V11" s="10" t="s">
        <v>9</v>
      </c>
      <c r="W11" s="90" t="s">
        <v>35</v>
      </c>
      <c r="X11" s="90"/>
      <c r="Y11" s="90"/>
      <c r="Z11" s="75"/>
      <c r="AA11" s="55" t="s">
        <v>41</v>
      </c>
      <c r="AB11" s="54">
        <f>((AD5-INT((AE5*5)/2)*0.18)-0.2)*6</f>
        <v>10380.84</v>
      </c>
      <c r="AC11" s="54">
        <f>((AD5-INT((AE5*5)/2)*0.18)+0.2)*6</f>
        <v>10383.24</v>
      </c>
      <c r="AD11" s="10" t="s">
        <v>9</v>
      </c>
      <c r="AE11" s="10" t="s">
        <v>9</v>
      </c>
      <c r="AF11" s="90" t="s">
        <v>35</v>
      </c>
      <c r="AG11" s="90"/>
      <c r="AH11" s="90"/>
      <c r="AI11" s="75"/>
      <c r="AJ11" s="55" t="s">
        <v>41</v>
      </c>
      <c r="AK11" s="54">
        <f>((AM5+INT((AN5*5)/2)*0.18)-0.2)*6</f>
        <v>10526.76</v>
      </c>
      <c r="AL11" s="54">
        <f>((AM5+INT((AN5*5)/2)*0.18)+0.2)*6</f>
        <v>10529.16</v>
      </c>
      <c r="AM11" s="10" t="s">
        <v>9</v>
      </c>
      <c r="AN11" s="10" t="s">
        <v>9</v>
      </c>
      <c r="AO11" s="87" t="s">
        <v>39</v>
      </c>
      <c r="AP11" s="88"/>
      <c r="AQ11" s="89"/>
      <c r="AR11" s="75"/>
      <c r="AS11" s="55" t="s">
        <v>41</v>
      </c>
      <c r="AT11" s="54">
        <f>(AV5-AW5/2)*6</f>
        <v>10260</v>
      </c>
      <c r="AU11" s="54">
        <f>(AV5+AW5/2)*6</f>
        <v>10290</v>
      </c>
      <c r="AV11" s="10" t="s">
        <v>9</v>
      </c>
      <c r="AW11" s="10" t="s">
        <v>9</v>
      </c>
      <c r="AX11" s="87" t="s">
        <v>39</v>
      </c>
      <c r="AY11" s="88"/>
      <c r="AZ11" s="89"/>
      <c r="BA11" s="75"/>
      <c r="BB11" s="55" t="s">
        <v>41</v>
      </c>
      <c r="BC11" s="54">
        <f>(BE5-BF5/2)*6</f>
        <v>10500</v>
      </c>
      <c r="BD11" s="54">
        <f>(BE5+BF5/2)*6</f>
        <v>10530</v>
      </c>
      <c r="BE11" s="10" t="s">
        <v>9</v>
      </c>
      <c r="BF11" s="10" t="s">
        <v>9</v>
      </c>
      <c r="BG11" s="87" t="s">
        <v>39</v>
      </c>
      <c r="BH11" s="88"/>
      <c r="BI11" s="89"/>
      <c r="BJ11" s="75"/>
      <c r="BK11" s="55" t="s">
        <v>41</v>
      </c>
      <c r="BL11" s="54">
        <f>((BN5-(INT((BO5*5)/2)-0.5)*0.18)-0.2)*6</f>
        <v>10265.34</v>
      </c>
      <c r="BM11" s="54">
        <f>((BN5-(INT((BO5*5)/2)-0.5)*0.18)+0.2)*6</f>
        <v>10267.74</v>
      </c>
      <c r="BN11" s="10" t="s">
        <v>9</v>
      </c>
      <c r="BO11" s="10" t="s">
        <v>9</v>
      </c>
      <c r="BP11" s="87" t="s">
        <v>39</v>
      </c>
      <c r="BQ11" s="88"/>
      <c r="BR11" s="89"/>
      <c r="BS11" s="75"/>
      <c r="BT11" s="55" t="s">
        <v>41</v>
      </c>
      <c r="BU11" s="54">
        <f>((BW5+(INT((BX5*5)/2)-0.5)*0.18)-0.2)*6</f>
        <v>10522.26</v>
      </c>
      <c r="BV11" s="54">
        <f>((BW5+(INT((BX5*5)/2)-0.5)*0.18)+0.2)*6</f>
        <v>10524.66</v>
      </c>
      <c r="BW11" s="10" t="s">
        <v>9</v>
      </c>
      <c r="BX11" s="10" t="s">
        <v>9</v>
      </c>
      <c r="BY11" s="87" t="s">
        <v>39</v>
      </c>
      <c r="BZ11" s="88"/>
      <c r="CA11" s="89"/>
      <c r="CB11" s="75"/>
      <c r="CC11" s="55" t="s">
        <v>41</v>
      </c>
      <c r="CD11" s="54">
        <f>(CF5-CG5/2)*6</f>
        <v>10260</v>
      </c>
      <c r="CE11" s="54">
        <f>(CF5+CG5/2)*6</f>
        <v>10380</v>
      </c>
      <c r="CF11" s="10" t="s">
        <v>9</v>
      </c>
      <c r="CG11" s="10" t="s">
        <v>9</v>
      </c>
      <c r="CH11" s="87" t="s">
        <v>39</v>
      </c>
      <c r="CI11" s="88"/>
      <c r="CJ11" s="89"/>
      <c r="CK11" s="75"/>
      <c r="CL11" s="55" t="s">
        <v>41</v>
      </c>
      <c r="CM11" s="54">
        <f>(CO5-CP5/2)*6</f>
        <v>10410</v>
      </c>
      <c r="CN11" s="54">
        <f>(CO5+CP5/2)*6</f>
        <v>10530</v>
      </c>
      <c r="CO11" s="10" t="s">
        <v>9</v>
      </c>
      <c r="CP11" s="10" t="s">
        <v>9</v>
      </c>
      <c r="CQ11" s="87" t="s">
        <v>39</v>
      </c>
      <c r="CR11" s="88"/>
      <c r="CS11" s="89"/>
      <c r="CT11" s="75"/>
      <c r="CU11" s="55" t="s">
        <v>41</v>
      </c>
    </row>
    <row r="12" spans="1:99" ht="15">
      <c r="A12" s="54">
        <f>((C5-2.5*0.18)-0.2)*7</f>
        <v>11970.35</v>
      </c>
      <c r="B12" s="54">
        <f>((C5-2.5*0.18)+0.2)*7</f>
        <v>11973.15</v>
      </c>
      <c r="C12" s="10" t="s">
        <v>9</v>
      </c>
      <c r="D12" s="10" t="s">
        <v>9</v>
      </c>
      <c r="E12" s="90" t="s">
        <v>35</v>
      </c>
      <c r="F12" s="90"/>
      <c r="G12" s="90"/>
      <c r="H12" s="75"/>
      <c r="I12" s="55" t="s">
        <v>42</v>
      </c>
      <c r="J12" s="54">
        <f>((L5+2.5*0.18)-0.2)*7</f>
        <v>12281.85</v>
      </c>
      <c r="K12" s="54">
        <f>((L5+2.5*0.18)+0.2)*7</f>
        <v>12284.65</v>
      </c>
      <c r="L12" s="10" t="s">
        <v>9</v>
      </c>
      <c r="M12" s="10" t="s">
        <v>9</v>
      </c>
      <c r="N12" s="90" t="s">
        <v>35</v>
      </c>
      <c r="O12" s="90"/>
      <c r="P12" s="90"/>
      <c r="Q12" s="75"/>
      <c r="R12" s="55" t="s">
        <v>42</v>
      </c>
      <c r="S12" s="54">
        <f>((U5-INT((V5*5)/2)*0.18)-0.2)*7</f>
        <v>11970.98</v>
      </c>
      <c r="T12" s="54">
        <f>((U5-INT((V5*5)/2)*0.18)+0.2)*7</f>
        <v>11973.779999999999</v>
      </c>
      <c r="U12" s="10" t="s">
        <v>9</v>
      </c>
      <c r="V12" s="10" t="s">
        <v>9</v>
      </c>
      <c r="W12" s="90" t="s">
        <v>35</v>
      </c>
      <c r="X12" s="90"/>
      <c r="Y12" s="90"/>
      <c r="Z12" s="75"/>
      <c r="AA12" s="55" t="s">
        <v>42</v>
      </c>
      <c r="AB12" s="54">
        <f>((AD5-INT((AE5*5)/2)*0.18)-0.2)*7</f>
        <v>12110.98</v>
      </c>
      <c r="AC12" s="54">
        <f>((AD5-INT((AE5*5)/2)*0.18)+0.2)*7</f>
        <v>12113.779999999999</v>
      </c>
      <c r="AD12" s="10" t="s">
        <v>9</v>
      </c>
      <c r="AE12" s="10" t="s">
        <v>9</v>
      </c>
      <c r="AF12" s="90" t="s">
        <v>35</v>
      </c>
      <c r="AG12" s="90"/>
      <c r="AH12" s="90"/>
      <c r="AI12" s="75"/>
      <c r="AJ12" s="55" t="s">
        <v>42</v>
      </c>
      <c r="AK12" s="54">
        <f>((AM5+INT((AN5*5)/2)*0.18)-0.2)*7</f>
        <v>12281.220000000001</v>
      </c>
      <c r="AL12" s="54">
        <f>((AM5+INT((AN5*5)/2)*0.18)+0.2)*7</f>
        <v>12284.02</v>
      </c>
      <c r="AM12" s="10" t="s">
        <v>9</v>
      </c>
      <c r="AN12" s="10" t="s">
        <v>9</v>
      </c>
      <c r="AO12" s="87" t="s">
        <v>39</v>
      </c>
      <c r="AP12" s="88"/>
      <c r="AQ12" s="89"/>
      <c r="AR12" s="75"/>
      <c r="AS12" s="55" t="s">
        <v>42</v>
      </c>
      <c r="AT12" s="54">
        <f>(AV5-AW5/2)*7</f>
        <v>11970</v>
      </c>
      <c r="AU12" s="54">
        <f>(AV5+AW5/2)*7</f>
        <v>12005</v>
      </c>
      <c r="AV12" s="10" t="s">
        <v>9</v>
      </c>
      <c r="AW12" s="10" t="s">
        <v>9</v>
      </c>
      <c r="AX12" s="87" t="s">
        <v>39</v>
      </c>
      <c r="AY12" s="88"/>
      <c r="AZ12" s="89"/>
      <c r="BA12" s="75"/>
      <c r="BB12" s="55" t="s">
        <v>42</v>
      </c>
      <c r="BC12" s="54">
        <f>(BE5-BF5/2)*7</f>
        <v>12250</v>
      </c>
      <c r="BD12" s="54">
        <f>(BE5+BF5/2)*7</f>
        <v>12285</v>
      </c>
      <c r="BE12" s="10" t="s">
        <v>9</v>
      </c>
      <c r="BF12" s="10" t="s">
        <v>9</v>
      </c>
      <c r="BG12" s="87" t="s">
        <v>39</v>
      </c>
      <c r="BH12" s="88"/>
      <c r="BI12" s="89"/>
      <c r="BJ12" s="75"/>
      <c r="BK12" s="55" t="s">
        <v>42</v>
      </c>
      <c r="BL12" s="54">
        <f>((BN5-(INT((BO5*5)/2)-0.5)*0.18)-0.2)*7</f>
        <v>11976.23</v>
      </c>
      <c r="BM12" s="54">
        <f>((BN5-(INT((BO5*5)/2)-0.5)*0.18)+0.2)*7</f>
        <v>11979.029999999999</v>
      </c>
      <c r="BN12" s="10" t="s">
        <v>9</v>
      </c>
      <c r="BO12" s="10" t="s">
        <v>9</v>
      </c>
      <c r="BP12" s="87" t="s">
        <v>39</v>
      </c>
      <c r="BQ12" s="88"/>
      <c r="BR12" s="89"/>
      <c r="BS12" s="75"/>
      <c r="BT12" s="55" t="s">
        <v>42</v>
      </c>
      <c r="BU12" s="54">
        <f>((BW5+(INT((BX5*5)/2)-0.5)*0.18)-0.2)*7</f>
        <v>12275.970000000001</v>
      </c>
      <c r="BV12" s="54">
        <f>((BW5+(INT((BX5*5)/2)-0.5)*0.18)+0.2)*7</f>
        <v>12278.77</v>
      </c>
      <c r="BW12" s="10" t="s">
        <v>9</v>
      </c>
      <c r="BX12" s="10" t="s">
        <v>9</v>
      </c>
      <c r="BY12" s="87" t="s">
        <v>39</v>
      </c>
      <c r="BZ12" s="88"/>
      <c r="CA12" s="89"/>
      <c r="CB12" s="75"/>
      <c r="CC12" s="55" t="s">
        <v>41</v>
      </c>
      <c r="CD12" s="54">
        <f>(CF5-CG5/2)*7</f>
        <v>11970</v>
      </c>
      <c r="CE12" s="54">
        <f>(CF5+CG5/2)*7</f>
        <v>12110</v>
      </c>
      <c r="CF12" s="10" t="s">
        <v>9</v>
      </c>
      <c r="CG12" s="10" t="s">
        <v>9</v>
      </c>
      <c r="CH12" s="87" t="s">
        <v>39</v>
      </c>
      <c r="CI12" s="88"/>
      <c r="CJ12" s="89"/>
      <c r="CK12" s="75"/>
      <c r="CL12" s="55" t="s">
        <v>41</v>
      </c>
      <c r="CM12" s="54">
        <f>(CO5-CP5/2)*7</f>
        <v>12145</v>
      </c>
      <c r="CN12" s="54">
        <f>(CO5+CP5/2)*7</f>
        <v>12285</v>
      </c>
      <c r="CO12" s="10" t="s">
        <v>9</v>
      </c>
      <c r="CP12" s="10" t="s">
        <v>9</v>
      </c>
      <c r="CQ12" s="87" t="s">
        <v>39</v>
      </c>
      <c r="CR12" s="88"/>
      <c r="CS12" s="89"/>
      <c r="CT12" s="75"/>
      <c r="CU12" s="55" t="s">
        <v>41</v>
      </c>
    </row>
  </sheetData>
  <mergeCells count="81">
    <mergeCell ref="CH11:CJ11"/>
    <mergeCell ref="CQ11:CS11"/>
    <mergeCell ref="AO12:AQ12"/>
    <mergeCell ref="AX12:AZ12"/>
    <mergeCell ref="BG12:BI12"/>
    <mergeCell ref="BP12:BR12"/>
    <mergeCell ref="BY12:CA12"/>
    <mergeCell ref="CH12:CJ12"/>
    <mergeCell ref="CQ12:CS12"/>
    <mergeCell ref="AO11:AQ11"/>
    <mergeCell ref="AX11:AZ11"/>
    <mergeCell ref="BG11:BI11"/>
    <mergeCell ref="BP11:BR11"/>
    <mergeCell ref="BY11:CA11"/>
    <mergeCell ref="CH9:CJ9"/>
    <mergeCell ref="CQ9:CS9"/>
    <mergeCell ref="AO10:AQ10"/>
    <mergeCell ref="AX10:AZ10"/>
    <mergeCell ref="BG10:BI10"/>
    <mergeCell ref="BP10:BR10"/>
    <mergeCell ref="BY10:CA10"/>
    <mergeCell ref="CH10:CJ10"/>
    <mergeCell ref="CQ10:CS10"/>
    <mergeCell ref="AO9:AQ9"/>
    <mergeCell ref="AX9:AZ9"/>
    <mergeCell ref="BG9:BI9"/>
    <mergeCell ref="BP9:BR9"/>
    <mergeCell ref="BY9:CA9"/>
    <mergeCell ref="CH7:CJ7"/>
    <mergeCell ref="CQ7:CS7"/>
    <mergeCell ref="AO8:AQ8"/>
    <mergeCell ref="AX8:AZ8"/>
    <mergeCell ref="BG8:BI8"/>
    <mergeCell ref="BP8:BR8"/>
    <mergeCell ref="BY8:CA8"/>
    <mergeCell ref="CH8:CJ8"/>
    <mergeCell ref="CQ8:CS8"/>
    <mergeCell ref="AO7:AQ7"/>
    <mergeCell ref="AX7:AZ7"/>
    <mergeCell ref="BG7:BI7"/>
    <mergeCell ref="BP7:BR7"/>
    <mergeCell ref="BY7:CA7"/>
    <mergeCell ref="E11:G11"/>
    <mergeCell ref="N11:P11"/>
    <mergeCell ref="AF11:AH11"/>
    <mergeCell ref="W11:Y11"/>
    <mergeCell ref="E12:G12"/>
    <mergeCell ref="N12:P12"/>
    <mergeCell ref="AF12:AH12"/>
    <mergeCell ref="W12:Y12"/>
    <mergeCell ref="AF10:AH10"/>
    <mergeCell ref="W10:Y10"/>
    <mergeCell ref="E7:G7"/>
    <mergeCell ref="N7:P7"/>
    <mergeCell ref="AF7:AH7"/>
    <mergeCell ref="W7:Y7"/>
    <mergeCell ref="E8:G8"/>
    <mergeCell ref="N8:P8"/>
    <mergeCell ref="AF8:AH8"/>
    <mergeCell ref="W8:Y8"/>
    <mergeCell ref="E10:G10"/>
    <mergeCell ref="N10:P10"/>
    <mergeCell ref="A6:B6"/>
    <mergeCell ref="E6:G6"/>
    <mergeCell ref="J6:K6"/>
    <mergeCell ref="N6:P6"/>
    <mergeCell ref="AB6:AC6"/>
    <mergeCell ref="B1:K1"/>
    <mergeCell ref="B2:J2"/>
    <mergeCell ref="B3:J3"/>
    <mergeCell ref="I4:I5"/>
    <mergeCell ref="R4:R5"/>
    <mergeCell ref="AJ4:AJ5"/>
    <mergeCell ref="AA4:AA5"/>
    <mergeCell ref="E9:G9"/>
    <mergeCell ref="N9:P9"/>
    <mergeCell ref="AF9:AH9"/>
    <mergeCell ref="W9:Y9"/>
    <mergeCell ref="AF6:AH6"/>
    <mergeCell ref="S6:T6"/>
    <mergeCell ref="W6:Y6"/>
  </mergeCells>
  <phoneticPr fontId="18" type="noConversion"/>
  <conditionalFormatting sqref="BJ11">
    <cfRule type="containsBlanks" priority="79" stopIfTrue="1">
      <formula>LEN(TRIM(BJ11))=0</formula>
    </cfRule>
    <cfRule type="cellIs" dxfId="2639" priority="80" stopIfTrue="1" operator="greaterThan">
      <formula>-30</formula>
    </cfRule>
    <cfRule type="cellIs" dxfId="2638" priority="81" stopIfTrue="1" operator="between">
      <formula>-33</formula>
      <formula>-30</formula>
    </cfRule>
  </conditionalFormatting>
  <conditionalFormatting sqref="BS10">
    <cfRule type="containsBlanks" priority="76" stopIfTrue="1">
      <formula>LEN(TRIM(BS10))=0</formula>
    </cfRule>
    <cfRule type="cellIs" dxfId="2637" priority="77" stopIfTrue="1" operator="greaterThan">
      <formula>-30</formula>
    </cfRule>
    <cfRule type="cellIs" dxfId="2636" priority="78" stopIfTrue="1" operator="between">
      <formula>-33</formula>
      <formula>-30</formula>
    </cfRule>
  </conditionalFormatting>
  <conditionalFormatting sqref="BS11">
    <cfRule type="containsBlanks" priority="73" stopIfTrue="1">
      <formula>LEN(TRIM(BS11))=0</formula>
    </cfRule>
    <cfRule type="cellIs" dxfId="2635" priority="74" stopIfTrue="1" operator="greaterThan">
      <formula>-30</formula>
    </cfRule>
    <cfRule type="cellIs" dxfId="2634" priority="75" stopIfTrue="1" operator="between">
      <formula>-33</formula>
      <formula>-30</formula>
    </cfRule>
  </conditionalFormatting>
  <conditionalFormatting sqref="CB10">
    <cfRule type="containsBlanks" priority="70" stopIfTrue="1">
      <formula>LEN(TRIM(CB10))=0</formula>
    </cfRule>
    <cfRule type="cellIs" dxfId="2633" priority="71" stopIfTrue="1" operator="greaterThan">
      <formula>-30</formula>
    </cfRule>
    <cfRule type="cellIs" dxfId="2632" priority="72" stopIfTrue="1" operator="between">
      <formula>-33</formula>
      <formula>-30</formula>
    </cfRule>
  </conditionalFormatting>
  <conditionalFormatting sqref="CB11">
    <cfRule type="containsBlanks" priority="67" stopIfTrue="1">
      <formula>LEN(TRIM(CB11))=0</formula>
    </cfRule>
    <cfRule type="cellIs" dxfId="2631" priority="68" stopIfTrue="1" operator="greaterThan">
      <formula>-30</formula>
    </cfRule>
    <cfRule type="cellIs" dxfId="2630" priority="69" stopIfTrue="1" operator="between">
      <formula>-33</formula>
      <formula>-30</formula>
    </cfRule>
  </conditionalFormatting>
  <conditionalFormatting sqref="CK10">
    <cfRule type="containsBlanks" priority="64" stopIfTrue="1">
      <formula>LEN(TRIM(CK10))=0</formula>
    </cfRule>
    <cfRule type="cellIs" dxfId="2629" priority="65" stopIfTrue="1" operator="greaterThan">
      <formula>-30</formula>
    </cfRule>
    <cfRule type="cellIs" dxfId="2628" priority="66" stopIfTrue="1" operator="between">
      <formula>-33</formula>
      <formula>-30</formula>
    </cfRule>
  </conditionalFormatting>
  <conditionalFormatting sqref="CK11">
    <cfRule type="containsBlanks" priority="61" stopIfTrue="1">
      <formula>LEN(TRIM(CK11))=0</formula>
    </cfRule>
    <cfRule type="cellIs" dxfId="2627" priority="62" stopIfTrue="1" operator="greaterThan">
      <formula>-30</formula>
    </cfRule>
    <cfRule type="cellIs" dxfId="2626" priority="63" stopIfTrue="1" operator="between">
      <formula>-33</formula>
      <formula>-30</formula>
    </cfRule>
  </conditionalFormatting>
  <conditionalFormatting sqref="CT10">
    <cfRule type="containsBlanks" priority="58" stopIfTrue="1">
      <formula>LEN(TRIM(CT10))=0</formula>
    </cfRule>
    <cfRule type="cellIs" dxfId="2625" priority="59" stopIfTrue="1" operator="greaterThan">
      <formula>-30</formula>
    </cfRule>
    <cfRule type="cellIs" dxfId="2624" priority="60" stopIfTrue="1" operator="between">
      <formula>-33</formula>
      <formula>-30</formula>
    </cfRule>
  </conditionalFormatting>
  <conditionalFormatting sqref="CT11">
    <cfRule type="containsBlanks" priority="55" stopIfTrue="1">
      <formula>LEN(TRIM(CT11))=0</formula>
    </cfRule>
    <cfRule type="cellIs" dxfId="2623" priority="56" stopIfTrue="1" operator="greaterThan">
      <formula>-30</formula>
    </cfRule>
    <cfRule type="cellIs" dxfId="2622" priority="57" stopIfTrue="1" operator="between">
      <formula>-33</formula>
      <formula>-30</formula>
    </cfRule>
  </conditionalFormatting>
  <conditionalFormatting sqref="H12">
    <cfRule type="containsBlanks" priority="52" stopIfTrue="1">
      <formula>LEN(TRIM(H12))=0</formula>
    </cfRule>
    <cfRule type="cellIs" dxfId="2621" priority="53" stopIfTrue="1" operator="greaterThan">
      <formula>-30</formula>
    </cfRule>
    <cfRule type="cellIs" dxfId="2620" priority="54" stopIfTrue="1" operator="between">
      <formula>-33</formula>
      <formula>-30</formula>
    </cfRule>
  </conditionalFormatting>
  <conditionalFormatting sqref="Q12">
    <cfRule type="containsBlanks" priority="49" stopIfTrue="1">
      <formula>LEN(TRIM(Q12))=0</formula>
    </cfRule>
    <cfRule type="cellIs" dxfId="2619" priority="50" stopIfTrue="1" operator="greaterThan">
      <formula>-30</formula>
    </cfRule>
    <cfRule type="cellIs" dxfId="2618" priority="51" stopIfTrue="1" operator="between">
      <formula>-33</formula>
      <formula>-30</formula>
    </cfRule>
  </conditionalFormatting>
  <conditionalFormatting sqref="Z12">
    <cfRule type="containsBlanks" priority="46" stopIfTrue="1">
      <formula>LEN(TRIM(Z12))=0</formula>
    </cfRule>
    <cfRule type="cellIs" dxfId="2617" priority="47" stopIfTrue="1" operator="greaterThan">
      <formula>-30</formula>
    </cfRule>
    <cfRule type="cellIs" dxfId="2616" priority="48" stopIfTrue="1" operator="between">
      <formula>-33</formula>
      <formula>-30</formula>
    </cfRule>
  </conditionalFormatting>
  <conditionalFormatting sqref="AI12">
    <cfRule type="containsBlanks" priority="43" stopIfTrue="1">
      <formula>LEN(TRIM(AI12))=0</formula>
    </cfRule>
    <cfRule type="cellIs" dxfId="2615" priority="44" stopIfTrue="1" operator="greaterThan">
      <formula>-30</formula>
    </cfRule>
    <cfRule type="cellIs" dxfId="2614" priority="45" stopIfTrue="1" operator="between">
      <formula>-33</formula>
      <formula>-30</formula>
    </cfRule>
  </conditionalFormatting>
  <conditionalFormatting sqref="AR12">
    <cfRule type="containsBlanks" priority="40" stopIfTrue="1">
      <formula>LEN(TRIM(AR12))=0</formula>
    </cfRule>
    <cfRule type="cellIs" dxfId="2613" priority="41" stopIfTrue="1" operator="greaterThan">
      <formula>-30</formula>
    </cfRule>
    <cfRule type="cellIs" dxfId="2612" priority="42" stopIfTrue="1" operator="between">
      <formula>-33</formula>
      <formula>-30</formula>
    </cfRule>
  </conditionalFormatting>
  <conditionalFormatting sqref="BA12">
    <cfRule type="containsBlanks" priority="37" stopIfTrue="1">
      <formula>LEN(TRIM(BA12))=0</formula>
    </cfRule>
    <cfRule type="cellIs" dxfId="2611" priority="38" stopIfTrue="1" operator="greaterThan">
      <formula>-30</formula>
    </cfRule>
    <cfRule type="cellIs" dxfId="2610" priority="39" stopIfTrue="1" operator="between">
      <formula>-33</formula>
      <formula>-30</formula>
    </cfRule>
  </conditionalFormatting>
  <conditionalFormatting sqref="BJ12">
    <cfRule type="containsBlanks" priority="34" stopIfTrue="1">
      <formula>LEN(TRIM(BJ12))=0</formula>
    </cfRule>
    <cfRule type="cellIs" dxfId="2609" priority="35" stopIfTrue="1" operator="greaterThan">
      <formula>-30</formula>
    </cfRule>
    <cfRule type="cellIs" dxfId="2608" priority="36" stopIfTrue="1" operator="between">
      <formula>-33</formula>
      <formula>-30</formula>
    </cfRule>
  </conditionalFormatting>
  <conditionalFormatting sqref="BS12">
    <cfRule type="containsBlanks" priority="31" stopIfTrue="1">
      <formula>LEN(TRIM(BS12))=0</formula>
    </cfRule>
    <cfRule type="cellIs" dxfId="2607" priority="32" stopIfTrue="1" operator="greaterThan">
      <formula>-30</formula>
    </cfRule>
    <cfRule type="cellIs" dxfId="2606" priority="33" stopIfTrue="1" operator="between">
      <formula>-33</formula>
      <formula>-30</formula>
    </cfRule>
  </conditionalFormatting>
  <conditionalFormatting sqref="CB12">
    <cfRule type="containsBlanks" priority="28" stopIfTrue="1">
      <formula>LEN(TRIM(CB12))=0</formula>
    </cfRule>
    <cfRule type="cellIs" dxfId="2605" priority="29" stopIfTrue="1" operator="greaterThan">
      <formula>-30</formula>
    </cfRule>
    <cfRule type="cellIs" dxfId="2604" priority="30" stopIfTrue="1" operator="between">
      <formula>-33</formula>
      <formula>-30</formula>
    </cfRule>
  </conditionalFormatting>
  <conditionalFormatting sqref="Z12">
    <cfRule type="containsBlanks" priority="25" stopIfTrue="1">
      <formula>LEN(TRIM(Z12))=0</formula>
    </cfRule>
    <cfRule type="cellIs" dxfId="2603" priority="26" stopIfTrue="1" operator="greaterThan">
      <formula>-30</formula>
    </cfRule>
    <cfRule type="cellIs" dxfId="2602" priority="27" stopIfTrue="1" operator="between">
      <formula>-33</formula>
      <formula>-30</formula>
    </cfRule>
  </conditionalFormatting>
  <conditionalFormatting sqref="AI12">
    <cfRule type="containsBlanks" priority="22" stopIfTrue="1">
      <formula>LEN(TRIM(AI12))=0</formula>
    </cfRule>
    <cfRule type="cellIs" dxfId="2601" priority="23" stopIfTrue="1" operator="greaterThan">
      <formula>-30</formula>
    </cfRule>
    <cfRule type="cellIs" dxfId="2600" priority="24" stopIfTrue="1" operator="between">
      <formula>-33</formula>
      <formula>-30</formula>
    </cfRule>
  </conditionalFormatting>
  <conditionalFormatting sqref="AR12">
    <cfRule type="containsBlanks" priority="19" stopIfTrue="1">
      <formula>LEN(TRIM(AR12))=0</formula>
    </cfRule>
    <cfRule type="cellIs" dxfId="2599" priority="20" stopIfTrue="1" operator="greaterThan">
      <formula>-30</formula>
    </cfRule>
    <cfRule type="cellIs" dxfId="2598" priority="21" stopIfTrue="1" operator="between">
      <formula>-33</formula>
      <formula>-30</formula>
    </cfRule>
  </conditionalFormatting>
  <conditionalFormatting sqref="BA12">
    <cfRule type="containsBlanks" priority="16" stopIfTrue="1">
      <formula>LEN(TRIM(BA12))=0</formula>
    </cfRule>
    <cfRule type="cellIs" dxfId="2597" priority="17" stopIfTrue="1" operator="greaterThan">
      <formula>-30</formula>
    </cfRule>
    <cfRule type="cellIs" dxfId="2596" priority="18" stopIfTrue="1" operator="between">
      <formula>-33</formula>
      <formula>-30</formula>
    </cfRule>
  </conditionalFormatting>
  <conditionalFormatting sqref="BJ12">
    <cfRule type="containsBlanks" priority="13" stopIfTrue="1">
      <formula>LEN(TRIM(BJ12))=0</formula>
    </cfRule>
    <cfRule type="cellIs" dxfId="2595" priority="14" stopIfTrue="1" operator="greaterThan">
      <formula>-30</formula>
    </cfRule>
    <cfRule type="cellIs" dxfId="2594" priority="15" stopIfTrue="1" operator="between">
      <formula>-33</formula>
      <formula>-30</formula>
    </cfRule>
  </conditionalFormatting>
  <conditionalFormatting sqref="BS12">
    <cfRule type="containsBlanks" priority="10" stopIfTrue="1">
      <formula>LEN(TRIM(BS12))=0</formula>
    </cfRule>
    <cfRule type="cellIs" dxfId="2593" priority="11" stopIfTrue="1" operator="greaterThan">
      <formula>-30</formula>
    </cfRule>
    <cfRule type="cellIs" dxfId="2592" priority="12" stopIfTrue="1" operator="between">
      <formula>-33</formula>
      <formula>-30</formula>
    </cfRule>
  </conditionalFormatting>
  <conditionalFormatting sqref="CB12">
    <cfRule type="containsBlanks" priority="7" stopIfTrue="1">
      <formula>LEN(TRIM(CB12))=0</formula>
    </cfRule>
    <cfRule type="cellIs" dxfId="2591" priority="8" stopIfTrue="1" operator="greaterThan">
      <formula>-30</formula>
    </cfRule>
    <cfRule type="cellIs" dxfId="2590" priority="9" stopIfTrue="1" operator="between">
      <formula>-33</formula>
      <formula>-30</formula>
    </cfRule>
  </conditionalFormatting>
  <conditionalFormatting sqref="CK12">
    <cfRule type="containsBlanks" priority="4" stopIfTrue="1">
      <formula>LEN(TRIM(CK12))=0</formula>
    </cfRule>
    <cfRule type="cellIs" dxfId="2589" priority="5" stopIfTrue="1" operator="greaterThan">
      <formula>-30</formula>
    </cfRule>
    <cfRule type="cellIs" dxfId="2588" priority="6" stopIfTrue="1" operator="between">
      <formula>-33</formula>
      <formula>-30</formula>
    </cfRule>
  </conditionalFormatting>
  <conditionalFormatting sqref="CT12">
    <cfRule type="containsBlanks" priority="1" stopIfTrue="1">
      <formula>LEN(TRIM(CT12))=0</formula>
    </cfRule>
    <cfRule type="cellIs" dxfId="2587" priority="2" stopIfTrue="1" operator="greaterThan">
      <formula>-30</formula>
    </cfRule>
    <cfRule type="cellIs" dxfId="2586" priority="3" stopIfTrue="1" operator="between">
      <formula>-33</formula>
      <formula>-30</formula>
    </cfRule>
  </conditionalFormatting>
  <conditionalFormatting sqref="AR11">
    <cfRule type="containsBlanks" priority="133" stopIfTrue="1">
      <formula>LEN(TRIM(AR11))=0</formula>
    </cfRule>
    <cfRule type="cellIs" dxfId="2585" priority="134" stopIfTrue="1" operator="greaterThan">
      <formula>-30</formula>
    </cfRule>
    <cfRule type="cellIs" dxfId="2584" priority="135" stopIfTrue="1" operator="between">
      <formula>-33</formula>
      <formula>-30</formula>
    </cfRule>
  </conditionalFormatting>
  <conditionalFormatting sqref="BA10">
    <cfRule type="containsBlanks" priority="130" stopIfTrue="1">
      <formula>LEN(TRIM(BA10))=0</formula>
    </cfRule>
    <cfRule type="cellIs" dxfId="2583" priority="131" stopIfTrue="1" operator="greaterThan">
      <formula>-30</formula>
    </cfRule>
    <cfRule type="cellIs" dxfId="2582" priority="132" stopIfTrue="1" operator="between">
      <formula>-33</formula>
      <formula>-30</formula>
    </cfRule>
  </conditionalFormatting>
  <conditionalFormatting sqref="BA11">
    <cfRule type="containsBlanks" priority="127" stopIfTrue="1">
      <formula>LEN(TRIM(BA11))=0</formula>
    </cfRule>
    <cfRule type="cellIs" dxfId="2581" priority="128" stopIfTrue="1" operator="greaterThan">
      <formula>-30</formula>
    </cfRule>
    <cfRule type="cellIs" dxfId="2580" priority="129" stopIfTrue="1" operator="between">
      <formula>-33</formula>
      <formula>-30</formula>
    </cfRule>
  </conditionalFormatting>
  <conditionalFormatting sqref="BJ10">
    <cfRule type="containsBlanks" priority="124" stopIfTrue="1">
      <formula>LEN(TRIM(BJ10))=0</formula>
    </cfRule>
    <cfRule type="cellIs" dxfId="2579" priority="125" stopIfTrue="1" operator="greaterThan">
      <formula>-30</formula>
    </cfRule>
    <cfRule type="cellIs" dxfId="2578" priority="126" stopIfTrue="1" operator="between">
      <formula>-33</formula>
      <formula>-30</formula>
    </cfRule>
  </conditionalFormatting>
  <conditionalFormatting sqref="BJ11">
    <cfRule type="containsBlanks" priority="121" stopIfTrue="1">
      <formula>LEN(TRIM(BJ11))=0</formula>
    </cfRule>
    <cfRule type="cellIs" dxfId="2577" priority="122" stopIfTrue="1" operator="greaterThan">
      <formula>-30</formula>
    </cfRule>
    <cfRule type="cellIs" dxfId="2576" priority="123" stopIfTrue="1" operator="between">
      <formula>-33</formula>
      <formula>-30</formula>
    </cfRule>
  </conditionalFormatting>
  <conditionalFormatting sqref="BS10">
    <cfRule type="containsBlanks" priority="118" stopIfTrue="1">
      <formula>LEN(TRIM(BS10))=0</formula>
    </cfRule>
    <cfRule type="cellIs" dxfId="2575" priority="119" stopIfTrue="1" operator="greaterThan">
      <formula>-30</formula>
    </cfRule>
    <cfRule type="cellIs" dxfId="2574" priority="120" stopIfTrue="1" operator="between">
      <formula>-33</formula>
      <formula>-30</formula>
    </cfRule>
  </conditionalFormatting>
  <conditionalFormatting sqref="BS11">
    <cfRule type="containsBlanks" priority="115" stopIfTrue="1">
      <formula>LEN(TRIM(BS11))=0</formula>
    </cfRule>
    <cfRule type="cellIs" dxfId="2573" priority="116" stopIfTrue="1" operator="greaterThan">
      <formula>-30</formula>
    </cfRule>
    <cfRule type="cellIs" dxfId="2572" priority="117" stopIfTrue="1" operator="between">
      <formula>-33</formula>
      <formula>-30</formula>
    </cfRule>
  </conditionalFormatting>
  <conditionalFormatting sqref="CB10">
    <cfRule type="containsBlanks" priority="112" stopIfTrue="1">
      <formula>LEN(TRIM(CB10))=0</formula>
    </cfRule>
    <cfRule type="cellIs" dxfId="2571" priority="113" stopIfTrue="1" operator="greaterThan">
      <formula>-30</formula>
    </cfRule>
    <cfRule type="cellIs" dxfId="2570" priority="114" stopIfTrue="1" operator="between">
      <formula>-33</formula>
      <formula>-30</formula>
    </cfRule>
  </conditionalFormatting>
  <conditionalFormatting sqref="CB11">
    <cfRule type="containsBlanks" priority="109" stopIfTrue="1">
      <formula>LEN(TRIM(CB11))=0</formula>
    </cfRule>
    <cfRule type="cellIs" dxfId="2569" priority="110" stopIfTrue="1" operator="greaterThan">
      <formula>-30</formula>
    </cfRule>
    <cfRule type="cellIs" dxfId="2568" priority="111" stopIfTrue="1" operator="between">
      <formula>-33</formula>
      <formula>-30</formula>
    </cfRule>
  </conditionalFormatting>
  <conditionalFormatting sqref="Z10">
    <cfRule type="containsBlanks" priority="106" stopIfTrue="1">
      <formula>LEN(TRIM(Z10))=0</formula>
    </cfRule>
    <cfRule type="cellIs" dxfId="2567" priority="107" stopIfTrue="1" operator="greaterThan">
      <formula>-30</formula>
    </cfRule>
    <cfRule type="cellIs" dxfId="2566" priority="108" stopIfTrue="1" operator="between">
      <formula>-33</formula>
      <formula>-30</formula>
    </cfRule>
  </conditionalFormatting>
  <conditionalFormatting sqref="Z11">
    <cfRule type="containsBlanks" priority="103" stopIfTrue="1">
      <formula>LEN(TRIM(Z11))=0</formula>
    </cfRule>
    <cfRule type="cellIs" dxfId="2565" priority="104" stopIfTrue="1" operator="greaterThan">
      <formula>-30</formula>
    </cfRule>
    <cfRule type="cellIs" dxfId="2564" priority="105" stopIfTrue="1" operator="between">
      <formula>-33</formula>
      <formula>-30</formula>
    </cfRule>
  </conditionalFormatting>
  <conditionalFormatting sqref="AI10">
    <cfRule type="containsBlanks" priority="100" stopIfTrue="1">
      <formula>LEN(TRIM(AI10))=0</formula>
    </cfRule>
    <cfRule type="cellIs" dxfId="2563" priority="101" stopIfTrue="1" operator="greaterThan">
      <formula>-30</formula>
    </cfRule>
    <cfRule type="cellIs" dxfId="2562" priority="102" stopIfTrue="1" operator="between">
      <formula>-33</formula>
      <formula>-30</formula>
    </cfRule>
  </conditionalFormatting>
  <conditionalFormatting sqref="AI11">
    <cfRule type="containsBlanks" priority="97" stopIfTrue="1">
      <formula>LEN(TRIM(AI11))=0</formula>
    </cfRule>
    <cfRule type="cellIs" dxfId="2561" priority="98" stopIfTrue="1" operator="greaterThan">
      <formula>-30</formula>
    </cfRule>
    <cfRule type="cellIs" dxfId="2560" priority="99" stopIfTrue="1" operator="between">
      <formula>-33</formula>
      <formula>-30</formula>
    </cfRule>
  </conditionalFormatting>
  <conditionalFormatting sqref="AR10">
    <cfRule type="containsBlanks" priority="94" stopIfTrue="1">
      <formula>LEN(TRIM(AR10))=0</formula>
    </cfRule>
    <cfRule type="cellIs" dxfId="2559" priority="95" stopIfTrue="1" operator="greaterThan">
      <formula>-30</formula>
    </cfRule>
    <cfRule type="cellIs" dxfId="2558" priority="96" stopIfTrue="1" operator="between">
      <formula>-33</formula>
      <formula>-30</formula>
    </cfRule>
  </conditionalFormatting>
  <conditionalFormatting sqref="AR11">
    <cfRule type="containsBlanks" priority="91" stopIfTrue="1">
      <formula>LEN(TRIM(AR11))=0</formula>
    </cfRule>
    <cfRule type="cellIs" dxfId="2557" priority="92" stopIfTrue="1" operator="greaterThan">
      <formula>-30</formula>
    </cfRule>
    <cfRule type="cellIs" dxfId="2556" priority="93" stopIfTrue="1" operator="between">
      <formula>-33</formula>
      <formula>-30</formula>
    </cfRule>
  </conditionalFormatting>
  <conditionalFormatting sqref="BA10">
    <cfRule type="containsBlanks" priority="88" stopIfTrue="1">
      <formula>LEN(TRIM(BA10))=0</formula>
    </cfRule>
    <cfRule type="cellIs" dxfId="2555" priority="89" stopIfTrue="1" operator="greaterThan">
      <formula>-30</formula>
    </cfRule>
    <cfRule type="cellIs" dxfId="2554" priority="90" stopIfTrue="1" operator="between">
      <formula>-33</formula>
      <formula>-30</formula>
    </cfRule>
  </conditionalFormatting>
  <conditionalFormatting sqref="BA11">
    <cfRule type="containsBlanks" priority="85" stopIfTrue="1">
      <formula>LEN(TRIM(BA11))=0</formula>
    </cfRule>
    <cfRule type="cellIs" dxfId="2553" priority="86" stopIfTrue="1" operator="greaterThan">
      <formula>-30</formula>
    </cfRule>
    <cfRule type="cellIs" dxfId="2552" priority="87" stopIfTrue="1" operator="between">
      <formula>-33</formula>
      <formula>-30</formula>
    </cfRule>
  </conditionalFormatting>
  <conditionalFormatting sqref="BJ10">
    <cfRule type="containsBlanks" priority="82" stopIfTrue="1">
      <formula>LEN(TRIM(BJ10))=0</formula>
    </cfRule>
    <cfRule type="cellIs" dxfId="2551" priority="83" stopIfTrue="1" operator="greaterThan">
      <formula>-30</formula>
    </cfRule>
    <cfRule type="cellIs" dxfId="2550" priority="84" stopIfTrue="1" operator="between">
      <formula>-33</formula>
      <formula>-30</formula>
    </cfRule>
  </conditionalFormatting>
  <conditionalFormatting sqref="H7">
    <cfRule type="containsBlanks" priority="322" stopIfTrue="1">
      <formula>LEN(TRIM(H7))=0</formula>
    </cfRule>
    <cfRule type="cellIs" dxfId="2549" priority="323" stopIfTrue="1" operator="greaterThan">
      <formula>-30</formula>
    </cfRule>
    <cfRule type="cellIs" dxfId="2548" priority="324" stopIfTrue="1" operator="between">
      <formula>-33</formula>
      <formula>-30</formula>
    </cfRule>
  </conditionalFormatting>
  <conditionalFormatting sqref="H8">
    <cfRule type="containsBlanks" priority="319" stopIfTrue="1">
      <formula>LEN(TRIM(H8))=0</formula>
    </cfRule>
    <cfRule type="cellIs" dxfId="2547" priority="320" stopIfTrue="1" operator="greaterThan">
      <formula>-30</formula>
    </cfRule>
    <cfRule type="cellIs" dxfId="2546" priority="321" stopIfTrue="1" operator="between">
      <formula>-33</formula>
      <formula>-30</formula>
    </cfRule>
  </conditionalFormatting>
  <conditionalFormatting sqref="H9">
    <cfRule type="containsBlanks" priority="316" stopIfTrue="1">
      <formula>LEN(TRIM(H9))=0</formula>
    </cfRule>
    <cfRule type="cellIs" dxfId="2545" priority="317" stopIfTrue="1" operator="greaterThan">
      <formula>-30</formula>
    </cfRule>
    <cfRule type="cellIs" dxfId="2544" priority="318" stopIfTrue="1" operator="between">
      <formula>-33</formula>
      <formula>-30</formula>
    </cfRule>
  </conditionalFormatting>
  <conditionalFormatting sqref="Q7">
    <cfRule type="containsBlanks" priority="313" stopIfTrue="1">
      <formula>LEN(TRIM(Q7))=0</formula>
    </cfRule>
    <cfRule type="cellIs" dxfId="2543" priority="314" stopIfTrue="1" operator="greaterThan">
      <formula>-30</formula>
    </cfRule>
    <cfRule type="cellIs" dxfId="2542" priority="315" stopIfTrue="1" operator="between">
      <formula>-33</formula>
      <formula>-30</formula>
    </cfRule>
  </conditionalFormatting>
  <conditionalFormatting sqref="Q8">
    <cfRule type="containsBlanks" priority="310" stopIfTrue="1">
      <formula>LEN(TRIM(Q8))=0</formula>
    </cfRule>
    <cfRule type="cellIs" dxfId="2541" priority="311" stopIfTrue="1" operator="greaterThan">
      <formula>-30</formula>
    </cfRule>
    <cfRule type="cellIs" dxfId="2540" priority="312" stopIfTrue="1" operator="between">
      <formula>-33</formula>
      <formula>-30</formula>
    </cfRule>
  </conditionalFormatting>
  <conditionalFormatting sqref="Q9">
    <cfRule type="containsBlanks" priority="307" stopIfTrue="1">
      <formula>LEN(TRIM(Q9))=0</formula>
    </cfRule>
    <cfRule type="cellIs" dxfId="2539" priority="308" stopIfTrue="1" operator="greaterThan">
      <formula>-30</formula>
    </cfRule>
    <cfRule type="cellIs" dxfId="2538" priority="309" stopIfTrue="1" operator="between">
      <formula>-33</formula>
      <formula>-30</formula>
    </cfRule>
  </conditionalFormatting>
  <conditionalFormatting sqref="Z7">
    <cfRule type="containsBlanks" priority="304" stopIfTrue="1">
      <formula>LEN(TRIM(Z7))=0</formula>
    </cfRule>
    <cfRule type="cellIs" dxfId="2537" priority="305" stopIfTrue="1" operator="greaterThan">
      <formula>-30</formula>
    </cfRule>
    <cfRule type="cellIs" dxfId="2536" priority="306" stopIfTrue="1" operator="between">
      <formula>-33</formula>
      <formula>-30</formula>
    </cfRule>
  </conditionalFormatting>
  <conditionalFormatting sqref="Z8">
    <cfRule type="containsBlanks" priority="301" stopIfTrue="1">
      <formula>LEN(TRIM(Z8))=0</formula>
    </cfRule>
    <cfRule type="cellIs" dxfId="2535" priority="302" stopIfTrue="1" operator="greaterThan">
      <formula>-30</formula>
    </cfRule>
    <cfRule type="cellIs" dxfId="2534" priority="303" stopIfTrue="1" operator="between">
      <formula>-33</formula>
      <formula>-30</formula>
    </cfRule>
  </conditionalFormatting>
  <conditionalFormatting sqref="Z9">
    <cfRule type="containsBlanks" priority="298" stopIfTrue="1">
      <formula>LEN(TRIM(Z9))=0</formula>
    </cfRule>
    <cfRule type="cellIs" dxfId="2533" priority="299" stopIfTrue="1" operator="greaterThan">
      <formula>-30</formula>
    </cfRule>
    <cfRule type="cellIs" dxfId="2532" priority="300" stopIfTrue="1" operator="between">
      <formula>-33</formula>
      <formula>-30</formula>
    </cfRule>
  </conditionalFormatting>
  <conditionalFormatting sqref="AI7">
    <cfRule type="containsBlanks" priority="295" stopIfTrue="1">
      <formula>LEN(TRIM(AI7))=0</formula>
    </cfRule>
    <cfRule type="cellIs" dxfId="2531" priority="296" stopIfTrue="1" operator="greaterThan">
      <formula>-30</formula>
    </cfRule>
    <cfRule type="cellIs" dxfId="2530" priority="297" stopIfTrue="1" operator="between">
      <formula>-33</formula>
      <formula>-30</formula>
    </cfRule>
  </conditionalFormatting>
  <conditionalFormatting sqref="AI8">
    <cfRule type="containsBlanks" priority="292" stopIfTrue="1">
      <formula>LEN(TRIM(AI8))=0</formula>
    </cfRule>
    <cfRule type="cellIs" dxfId="2529" priority="293" stopIfTrue="1" operator="greaterThan">
      <formula>-30</formula>
    </cfRule>
    <cfRule type="cellIs" dxfId="2528" priority="294" stopIfTrue="1" operator="between">
      <formula>-33</formula>
      <formula>-30</formula>
    </cfRule>
  </conditionalFormatting>
  <conditionalFormatting sqref="AI9">
    <cfRule type="containsBlanks" priority="289" stopIfTrue="1">
      <formula>LEN(TRIM(AI9))=0</formula>
    </cfRule>
    <cfRule type="cellIs" dxfId="2527" priority="290" stopIfTrue="1" operator="greaterThan">
      <formula>-30</formula>
    </cfRule>
    <cfRule type="cellIs" dxfId="2526" priority="291" stopIfTrue="1" operator="between">
      <formula>-33</formula>
      <formula>-30</formula>
    </cfRule>
  </conditionalFormatting>
  <conditionalFormatting sqref="AR7">
    <cfRule type="containsBlanks" priority="286" stopIfTrue="1">
      <formula>LEN(TRIM(AR7))=0</formula>
    </cfRule>
    <cfRule type="cellIs" dxfId="2525" priority="287" stopIfTrue="1" operator="greaterThan">
      <formula>-30</formula>
    </cfRule>
    <cfRule type="cellIs" dxfId="2524" priority="288" stopIfTrue="1" operator="between">
      <formula>-33</formula>
      <formula>-30</formula>
    </cfRule>
  </conditionalFormatting>
  <conditionalFormatting sqref="AR8">
    <cfRule type="containsBlanks" priority="283" stopIfTrue="1">
      <formula>LEN(TRIM(AR8))=0</formula>
    </cfRule>
    <cfRule type="cellIs" dxfId="2523" priority="284" stopIfTrue="1" operator="greaterThan">
      <formula>-30</formula>
    </cfRule>
    <cfRule type="cellIs" dxfId="2522" priority="285" stopIfTrue="1" operator="between">
      <formula>-33</formula>
      <formula>-30</formula>
    </cfRule>
  </conditionalFormatting>
  <conditionalFormatting sqref="AR9">
    <cfRule type="containsBlanks" priority="280" stopIfTrue="1">
      <formula>LEN(TRIM(AR9))=0</formula>
    </cfRule>
    <cfRule type="cellIs" dxfId="2521" priority="281" stopIfTrue="1" operator="greaterThan">
      <formula>-30</formula>
    </cfRule>
    <cfRule type="cellIs" dxfId="2520" priority="282" stopIfTrue="1" operator="between">
      <formula>-33</formula>
      <formula>-30</formula>
    </cfRule>
  </conditionalFormatting>
  <conditionalFormatting sqref="BA7">
    <cfRule type="containsBlanks" priority="277" stopIfTrue="1">
      <formula>LEN(TRIM(BA7))=0</formula>
    </cfRule>
    <cfRule type="cellIs" dxfId="2519" priority="278" stopIfTrue="1" operator="greaterThan">
      <formula>-30</formula>
    </cfRule>
    <cfRule type="cellIs" dxfId="2518" priority="279" stopIfTrue="1" operator="between">
      <formula>-33</formula>
      <formula>-30</formula>
    </cfRule>
  </conditionalFormatting>
  <conditionalFormatting sqref="BA8">
    <cfRule type="containsBlanks" priority="274" stopIfTrue="1">
      <formula>LEN(TRIM(BA8))=0</formula>
    </cfRule>
    <cfRule type="cellIs" dxfId="2517" priority="275" stopIfTrue="1" operator="greaterThan">
      <formula>-30</formula>
    </cfRule>
    <cfRule type="cellIs" dxfId="2516" priority="276" stopIfTrue="1" operator="between">
      <formula>-33</formula>
      <formula>-30</formula>
    </cfRule>
  </conditionalFormatting>
  <conditionalFormatting sqref="BA9">
    <cfRule type="containsBlanks" priority="271" stopIfTrue="1">
      <formula>LEN(TRIM(BA9))=0</formula>
    </cfRule>
    <cfRule type="cellIs" dxfId="2515" priority="272" stopIfTrue="1" operator="greaterThan">
      <formula>-30</formula>
    </cfRule>
    <cfRule type="cellIs" dxfId="2514" priority="273" stopIfTrue="1" operator="between">
      <formula>-33</formula>
      <formula>-30</formula>
    </cfRule>
  </conditionalFormatting>
  <conditionalFormatting sqref="BJ7">
    <cfRule type="containsBlanks" priority="268" stopIfTrue="1">
      <formula>LEN(TRIM(BJ7))=0</formula>
    </cfRule>
    <cfRule type="cellIs" dxfId="2513" priority="269" stopIfTrue="1" operator="greaterThan">
      <formula>-30</formula>
    </cfRule>
    <cfRule type="cellIs" dxfId="2512" priority="270" stopIfTrue="1" operator="between">
      <formula>-33</formula>
      <formula>-30</formula>
    </cfRule>
  </conditionalFormatting>
  <conditionalFormatting sqref="BJ8">
    <cfRule type="containsBlanks" priority="265" stopIfTrue="1">
      <formula>LEN(TRIM(BJ8))=0</formula>
    </cfRule>
    <cfRule type="cellIs" dxfId="2511" priority="266" stopIfTrue="1" operator="greaterThan">
      <formula>-30</formula>
    </cfRule>
    <cfRule type="cellIs" dxfId="2510" priority="267" stopIfTrue="1" operator="between">
      <formula>-33</formula>
      <formula>-30</formula>
    </cfRule>
  </conditionalFormatting>
  <conditionalFormatting sqref="BJ9">
    <cfRule type="containsBlanks" priority="262" stopIfTrue="1">
      <formula>LEN(TRIM(BJ9))=0</formula>
    </cfRule>
    <cfRule type="cellIs" dxfId="2509" priority="263" stopIfTrue="1" operator="greaterThan">
      <formula>-30</formula>
    </cfRule>
    <cfRule type="cellIs" dxfId="2508" priority="264" stopIfTrue="1" operator="between">
      <formula>-33</formula>
      <formula>-30</formula>
    </cfRule>
  </conditionalFormatting>
  <conditionalFormatting sqref="BS7">
    <cfRule type="containsBlanks" priority="259" stopIfTrue="1">
      <formula>LEN(TRIM(BS7))=0</formula>
    </cfRule>
    <cfRule type="cellIs" dxfId="2507" priority="260" stopIfTrue="1" operator="greaterThan">
      <formula>-30</formula>
    </cfRule>
    <cfRule type="cellIs" dxfId="2506" priority="261" stopIfTrue="1" operator="between">
      <formula>-33</formula>
      <formula>-30</formula>
    </cfRule>
  </conditionalFormatting>
  <conditionalFormatting sqref="BS8">
    <cfRule type="containsBlanks" priority="256" stopIfTrue="1">
      <formula>LEN(TRIM(BS8))=0</formula>
    </cfRule>
    <cfRule type="cellIs" dxfId="2505" priority="257" stopIfTrue="1" operator="greaterThan">
      <formula>-30</formula>
    </cfRule>
    <cfRule type="cellIs" dxfId="2504" priority="258" stopIfTrue="1" operator="between">
      <formula>-33</formula>
      <formula>-30</formula>
    </cfRule>
  </conditionalFormatting>
  <conditionalFormatting sqref="BS9">
    <cfRule type="containsBlanks" priority="253" stopIfTrue="1">
      <formula>LEN(TRIM(BS9))=0</formula>
    </cfRule>
    <cfRule type="cellIs" dxfId="2503" priority="254" stopIfTrue="1" operator="greaterThan">
      <formula>-30</formula>
    </cfRule>
    <cfRule type="cellIs" dxfId="2502" priority="255" stopIfTrue="1" operator="between">
      <formula>-33</formula>
      <formula>-30</formula>
    </cfRule>
  </conditionalFormatting>
  <conditionalFormatting sqref="CB7">
    <cfRule type="containsBlanks" priority="250" stopIfTrue="1">
      <formula>LEN(TRIM(CB7))=0</formula>
    </cfRule>
    <cfRule type="cellIs" dxfId="2501" priority="251" stopIfTrue="1" operator="greaterThan">
      <formula>-30</formula>
    </cfRule>
    <cfRule type="cellIs" dxfId="2500" priority="252" stopIfTrue="1" operator="between">
      <formula>-33</formula>
      <formula>-30</formula>
    </cfRule>
  </conditionalFormatting>
  <conditionalFormatting sqref="CB8">
    <cfRule type="containsBlanks" priority="247" stopIfTrue="1">
      <formula>LEN(TRIM(CB8))=0</formula>
    </cfRule>
    <cfRule type="cellIs" dxfId="2499" priority="248" stopIfTrue="1" operator="greaterThan">
      <formula>-30</formula>
    </cfRule>
    <cfRule type="cellIs" dxfId="2498" priority="249" stopIfTrue="1" operator="between">
      <formula>-33</formula>
      <formula>-30</formula>
    </cfRule>
  </conditionalFormatting>
  <conditionalFormatting sqref="CB9">
    <cfRule type="containsBlanks" priority="244" stopIfTrue="1">
      <formula>LEN(TRIM(CB9))=0</formula>
    </cfRule>
    <cfRule type="cellIs" dxfId="2497" priority="245" stopIfTrue="1" operator="greaterThan">
      <formula>-30</formula>
    </cfRule>
    <cfRule type="cellIs" dxfId="2496" priority="246" stopIfTrue="1" operator="between">
      <formula>-33</formula>
      <formula>-30</formula>
    </cfRule>
  </conditionalFormatting>
  <conditionalFormatting sqref="Z7">
    <cfRule type="containsBlanks" priority="241" stopIfTrue="1">
      <formula>LEN(TRIM(Z7))=0</formula>
    </cfRule>
    <cfRule type="cellIs" dxfId="2495" priority="242" stopIfTrue="1" operator="greaterThan">
      <formula>-30</formula>
    </cfRule>
    <cfRule type="cellIs" dxfId="2494" priority="243" stopIfTrue="1" operator="between">
      <formula>-33</formula>
      <formula>-30</formula>
    </cfRule>
  </conditionalFormatting>
  <conditionalFormatting sqref="Z8">
    <cfRule type="containsBlanks" priority="238" stopIfTrue="1">
      <formula>LEN(TRIM(Z8))=0</formula>
    </cfRule>
    <cfRule type="cellIs" dxfId="2493" priority="239" stopIfTrue="1" operator="greaterThan">
      <formula>-30</formula>
    </cfRule>
    <cfRule type="cellIs" dxfId="2492" priority="240" stopIfTrue="1" operator="between">
      <formula>-33</formula>
      <formula>-30</formula>
    </cfRule>
  </conditionalFormatting>
  <conditionalFormatting sqref="Z9">
    <cfRule type="containsBlanks" priority="235" stopIfTrue="1">
      <formula>LEN(TRIM(Z9))=0</formula>
    </cfRule>
    <cfRule type="cellIs" dxfId="2491" priority="236" stopIfTrue="1" operator="greaterThan">
      <formula>-30</formula>
    </cfRule>
    <cfRule type="cellIs" dxfId="2490" priority="237" stopIfTrue="1" operator="between">
      <formula>-33</formula>
      <formula>-30</formula>
    </cfRule>
  </conditionalFormatting>
  <conditionalFormatting sqref="AI7">
    <cfRule type="containsBlanks" priority="232" stopIfTrue="1">
      <formula>LEN(TRIM(AI7))=0</formula>
    </cfRule>
    <cfRule type="cellIs" dxfId="2489" priority="233" stopIfTrue="1" operator="greaterThan">
      <formula>-30</formula>
    </cfRule>
    <cfRule type="cellIs" dxfId="2488" priority="234" stopIfTrue="1" operator="between">
      <formula>-33</formula>
      <formula>-30</formula>
    </cfRule>
  </conditionalFormatting>
  <conditionalFormatting sqref="AI8">
    <cfRule type="containsBlanks" priority="229" stopIfTrue="1">
      <formula>LEN(TRIM(AI8))=0</formula>
    </cfRule>
    <cfRule type="cellIs" dxfId="2487" priority="230" stopIfTrue="1" operator="greaterThan">
      <formula>-30</formula>
    </cfRule>
    <cfRule type="cellIs" dxfId="2486" priority="231" stopIfTrue="1" operator="between">
      <formula>-33</formula>
      <formula>-30</formula>
    </cfRule>
  </conditionalFormatting>
  <conditionalFormatting sqref="AI9">
    <cfRule type="containsBlanks" priority="226" stopIfTrue="1">
      <formula>LEN(TRIM(AI9))=0</formula>
    </cfRule>
    <cfRule type="cellIs" dxfId="2485" priority="227" stopIfTrue="1" operator="greaterThan">
      <formula>-30</formula>
    </cfRule>
    <cfRule type="cellIs" dxfId="2484" priority="228" stopIfTrue="1" operator="between">
      <formula>-33</formula>
      <formula>-30</formula>
    </cfRule>
  </conditionalFormatting>
  <conditionalFormatting sqref="AR7">
    <cfRule type="containsBlanks" priority="223" stopIfTrue="1">
      <formula>LEN(TRIM(AR7))=0</formula>
    </cfRule>
    <cfRule type="cellIs" dxfId="2483" priority="224" stopIfTrue="1" operator="greaterThan">
      <formula>-30</formula>
    </cfRule>
    <cfRule type="cellIs" dxfId="2482" priority="225" stopIfTrue="1" operator="between">
      <formula>-33</formula>
      <formula>-30</formula>
    </cfRule>
  </conditionalFormatting>
  <conditionalFormatting sqref="AR8">
    <cfRule type="containsBlanks" priority="220" stopIfTrue="1">
      <formula>LEN(TRIM(AR8))=0</formula>
    </cfRule>
    <cfRule type="cellIs" dxfId="2481" priority="221" stopIfTrue="1" operator="greaterThan">
      <formula>-30</formula>
    </cfRule>
    <cfRule type="cellIs" dxfId="2480" priority="222" stopIfTrue="1" operator="between">
      <formula>-33</formula>
      <formula>-30</formula>
    </cfRule>
  </conditionalFormatting>
  <conditionalFormatting sqref="AR9">
    <cfRule type="containsBlanks" priority="217" stopIfTrue="1">
      <formula>LEN(TRIM(AR9))=0</formula>
    </cfRule>
    <cfRule type="cellIs" dxfId="2479" priority="218" stopIfTrue="1" operator="greaterThan">
      <formula>-30</formula>
    </cfRule>
    <cfRule type="cellIs" dxfId="2478" priority="219" stopIfTrue="1" operator="between">
      <formula>-33</formula>
      <formula>-30</formula>
    </cfRule>
  </conditionalFormatting>
  <conditionalFormatting sqref="BA7">
    <cfRule type="containsBlanks" priority="214" stopIfTrue="1">
      <formula>LEN(TRIM(BA7))=0</formula>
    </cfRule>
    <cfRule type="cellIs" dxfId="2477" priority="215" stopIfTrue="1" operator="greaterThan">
      <formula>-30</formula>
    </cfRule>
    <cfRule type="cellIs" dxfId="2476" priority="216" stopIfTrue="1" operator="between">
      <formula>-33</formula>
      <formula>-30</formula>
    </cfRule>
  </conditionalFormatting>
  <conditionalFormatting sqref="BA8">
    <cfRule type="containsBlanks" priority="211" stopIfTrue="1">
      <formula>LEN(TRIM(BA8))=0</formula>
    </cfRule>
    <cfRule type="cellIs" dxfId="2475" priority="212" stopIfTrue="1" operator="greaterThan">
      <formula>-30</formula>
    </cfRule>
    <cfRule type="cellIs" dxfId="2474" priority="213" stopIfTrue="1" operator="between">
      <formula>-33</formula>
      <formula>-30</formula>
    </cfRule>
  </conditionalFormatting>
  <conditionalFormatting sqref="BA9">
    <cfRule type="containsBlanks" priority="208" stopIfTrue="1">
      <formula>LEN(TRIM(BA9))=0</formula>
    </cfRule>
    <cfRule type="cellIs" dxfId="2473" priority="209" stopIfTrue="1" operator="greaterThan">
      <formula>-30</formula>
    </cfRule>
    <cfRule type="cellIs" dxfId="2472" priority="210" stopIfTrue="1" operator="between">
      <formula>-33</formula>
      <formula>-30</formula>
    </cfRule>
  </conditionalFormatting>
  <conditionalFormatting sqref="BJ7">
    <cfRule type="containsBlanks" priority="205" stopIfTrue="1">
      <formula>LEN(TRIM(BJ7))=0</formula>
    </cfRule>
    <cfRule type="cellIs" dxfId="2471" priority="206" stopIfTrue="1" operator="greaterThan">
      <formula>-30</formula>
    </cfRule>
    <cfRule type="cellIs" dxfId="2470" priority="207" stopIfTrue="1" operator="between">
      <formula>-33</formula>
      <formula>-30</formula>
    </cfRule>
  </conditionalFormatting>
  <conditionalFormatting sqref="BJ8">
    <cfRule type="containsBlanks" priority="202" stopIfTrue="1">
      <formula>LEN(TRIM(BJ8))=0</formula>
    </cfRule>
    <cfRule type="cellIs" dxfId="2469" priority="203" stopIfTrue="1" operator="greaterThan">
      <formula>-30</formula>
    </cfRule>
    <cfRule type="cellIs" dxfId="2468" priority="204" stopIfTrue="1" operator="between">
      <formula>-33</formula>
      <formula>-30</formula>
    </cfRule>
  </conditionalFormatting>
  <conditionalFormatting sqref="BJ9">
    <cfRule type="containsBlanks" priority="199" stopIfTrue="1">
      <formula>LEN(TRIM(BJ9))=0</formula>
    </cfRule>
    <cfRule type="cellIs" dxfId="2467" priority="200" stopIfTrue="1" operator="greaterThan">
      <formula>-30</formula>
    </cfRule>
    <cfRule type="cellIs" dxfId="2466" priority="201" stopIfTrue="1" operator="between">
      <formula>-33</formula>
      <formula>-30</formula>
    </cfRule>
  </conditionalFormatting>
  <conditionalFormatting sqref="BS7">
    <cfRule type="containsBlanks" priority="196" stopIfTrue="1">
      <formula>LEN(TRIM(BS7))=0</formula>
    </cfRule>
    <cfRule type="cellIs" dxfId="2465" priority="197" stopIfTrue="1" operator="greaterThan">
      <formula>-30</formula>
    </cfRule>
    <cfRule type="cellIs" dxfId="2464" priority="198" stopIfTrue="1" operator="between">
      <formula>-33</formula>
      <formula>-30</formula>
    </cfRule>
  </conditionalFormatting>
  <conditionalFormatting sqref="BS8">
    <cfRule type="containsBlanks" priority="193" stopIfTrue="1">
      <formula>LEN(TRIM(BS8))=0</formula>
    </cfRule>
    <cfRule type="cellIs" dxfId="2463" priority="194" stopIfTrue="1" operator="greaterThan">
      <formula>-30</formula>
    </cfRule>
    <cfRule type="cellIs" dxfId="2462" priority="195" stopIfTrue="1" operator="between">
      <formula>-33</formula>
      <formula>-30</formula>
    </cfRule>
  </conditionalFormatting>
  <conditionalFormatting sqref="BS9">
    <cfRule type="containsBlanks" priority="190" stopIfTrue="1">
      <formula>LEN(TRIM(BS9))=0</formula>
    </cfRule>
    <cfRule type="cellIs" dxfId="2461" priority="191" stopIfTrue="1" operator="greaterThan">
      <formula>-30</formula>
    </cfRule>
    <cfRule type="cellIs" dxfId="2460" priority="192" stopIfTrue="1" operator="between">
      <formula>-33</formula>
      <formula>-30</formula>
    </cfRule>
  </conditionalFormatting>
  <conditionalFormatting sqref="CB7">
    <cfRule type="containsBlanks" priority="187" stopIfTrue="1">
      <formula>LEN(TRIM(CB7))=0</formula>
    </cfRule>
    <cfRule type="cellIs" dxfId="2459" priority="188" stopIfTrue="1" operator="greaterThan">
      <formula>-30</formula>
    </cfRule>
    <cfRule type="cellIs" dxfId="2458" priority="189" stopIfTrue="1" operator="between">
      <formula>-33</formula>
      <formula>-30</formula>
    </cfRule>
  </conditionalFormatting>
  <conditionalFormatting sqref="CB8">
    <cfRule type="containsBlanks" priority="184" stopIfTrue="1">
      <formula>LEN(TRIM(CB8))=0</formula>
    </cfRule>
    <cfRule type="cellIs" dxfId="2457" priority="185" stopIfTrue="1" operator="greaterThan">
      <formula>-30</formula>
    </cfRule>
    <cfRule type="cellIs" dxfId="2456" priority="186" stopIfTrue="1" operator="between">
      <formula>-33</formula>
      <formula>-30</formula>
    </cfRule>
  </conditionalFormatting>
  <conditionalFormatting sqref="CB9">
    <cfRule type="containsBlanks" priority="181" stopIfTrue="1">
      <formula>LEN(TRIM(CB9))=0</formula>
    </cfRule>
    <cfRule type="cellIs" dxfId="2455" priority="182" stopIfTrue="1" operator="greaterThan">
      <formula>-30</formula>
    </cfRule>
    <cfRule type="cellIs" dxfId="2454" priority="183" stopIfTrue="1" operator="between">
      <formula>-33</formula>
      <formula>-30</formula>
    </cfRule>
  </conditionalFormatting>
  <conditionalFormatting sqref="CK7">
    <cfRule type="containsBlanks" priority="178" stopIfTrue="1">
      <formula>LEN(TRIM(CK7))=0</formula>
    </cfRule>
    <cfRule type="cellIs" dxfId="2453" priority="179" stopIfTrue="1" operator="greaterThan">
      <formula>-30</formula>
    </cfRule>
    <cfRule type="cellIs" dxfId="2452" priority="180" stopIfTrue="1" operator="between">
      <formula>-33</formula>
      <formula>-30</formula>
    </cfRule>
  </conditionalFormatting>
  <conditionalFormatting sqref="CK8">
    <cfRule type="containsBlanks" priority="175" stopIfTrue="1">
      <formula>LEN(TRIM(CK8))=0</formula>
    </cfRule>
    <cfRule type="cellIs" dxfId="2451" priority="176" stopIfTrue="1" operator="greaterThan">
      <formula>-30</formula>
    </cfRule>
    <cfRule type="cellIs" dxfId="2450" priority="177" stopIfTrue="1" operator="between">
      <formula>-33</formula>
      <formula>-30</formula>
    </cfRule>
  </conditionalFormatting>
  <conditionalFormatting sqref="CK9">
    <cfRule type="containsBlanks" priority="172" stopIfTrue="1">
      <formula>LEN(TRIM(CK9))=0</formula>
    </cfRule>
    <cfRule type="cellIs" dxfId="2449" priority="173" stopIfTrue="1" operator="greaterThan">
      <formula>-30</formula>
    </cfRule>
    <cfRule type="cellIs" dxfId="2448" priority="174" stopIfTrue="1" operator="between">
      <formula>-33</formula>
      <formula>-30</formula>
    </cfRule>
  </conditionalFormatting>
  <conditionalFormatting sqref="CT7">
    <cfRule type="containsBlanks" priority="169" stopIfTrue="1">
      <formula>LEN(TRIM(CT7))=0</formula>
    </cfRule>
    <cfRule type="cellIs" dxfId="2447" priority="170" stopIfTrue="1" operator="greaterThan">
      <formula>-30</formula>
    </cfRule>
    <cfRule type="cellIs" dxfId="2446" priority="171" stopIfTrue="1" operator="between">
      <formula>-33</formula>
      <formula>-30</formula>
    </cfRule>
  </conditionalFormatting>
  <conditionalFormatting sqref="CT8">
    <cfRule type="containsBlanks" priority="166" stopIfTrue="1">
      <formula>LEN(TRIM(CT8))=0</formula>
    </cfRule>
    <cfRule type="cellIs" dxfId="2445" priority="167" stopIfTrue="1" operator="greaterThan">
      <formula>-30</formula>
    </cfRule>
    <cfRule type="cellIs" dxfId="2444" priority="168" stopIfTrue="1" operator="between">
      <formula>-33</formula>
      <formula>-30</formula>
    </cfRule>
  </conditionalFormatting>
  <conditionalFormatting sqref="CT9">
    <cfRule type="containsBlanks" priority="163" stopIfTrue="1">
      <formula>LEN(TRIM(CT9))=0</formula>
    </cfRule>
    <cfRule type="cellIs" dxfId="2443" priority="164" stopIfTrue="1" operator="greaterThan">
      <formula>-30</formula>
    </cfRule>
    <cfRule type="cellIs" dxfId="2442" priority="165" stopIfTrue="1" operator="between">
      <formula>-33</formula>
      <formula>-30</formula>
    </cfRule>
  </conditionalFormatting>
  <conditionalFormatting sqref="H10">
    <cfRule type="containsBlanks" priority="160" stopIfTrue="1">
      <formula>LEN(TRIM(H10))=0</formula>
    </cfRule>
    <cfRule type="cellIs" dxfId="2441" priority="161" stopIfTrue="1" operator="greaterThan">
      <formula>-30</formula>
    </cfRule>
    <cfRule type="cellIs" dxfId="2440" priority="162" stopIfTrue="1" operator="between">
      <formula>-33</formula>
      <formula>-30</formula>
    </cfRule>
  </conditionalFormatting>
  <conditionalFormatting sqref="H11">
    <cfRule type="containsBlanks" priority="157" stopIfTrue="1">
      <formula>LEN(TRIM(H11))=0</formula>
    </cfRule>
    <cfRule type="cellIs" dxfId="2439" priority="158" stopIfTrue="1" operator="greaterThan">
      <formula>-30</formula>
    </cfRule>
    <cfRule type="cellIs" dxfId="2438" priority="159" stopIfTrue="1" operator="between">
      <formula>-33</formula>
      <formula>-30</formula>
    </cfRule>
  </conditionalFormatting>
  <conditionalFormatting sqref="Q10">
    <cfRule type="containsBlanks" priority="154" stopIfTrue="1">
      <formula>LEN(TRIM(Q10))=0</formula>
    </cfRule>
    <cfRule type="cellIs" dxfId="2437" priority="155" stopIfTrue="1" operator="greaterThan">
      <formula>-30</formula>
    </cfRule>
    <cfRule type="cellIs" dxfId="2436" priority="156" stopIfTrue="1" operator="between">
      <formula>-33</formula>
      <formula>-30</formula>
    </cfRule>
  </conditionalFormatting>
  <conditionalFormatting sqref="Q11">
    <cfRule type="containsBlanks" priority="151" stopIfTrue="1">
      <formula>LEN(TRIM(Q11))=0</formula>
    </cfRule>
    <cfRule type="cellIs" dxfId="2435" priority="152" stopIfTrue="1" operator="greaterThan">
      <formula>-30</formula>
    </cfRule>
    <cfRule type="cellIs" dxfId="2434" priority="153" stopIfTrue="1" operator="between">
      <formula>-33</formula>
      <formula>-30</formula>
    </cfRule>
  </conditionalFormatting>
  <conditionalFormatting sqref="Z10">
    <cfRule type="containsBlanks" priority="148" stopIfTrue="1">
      <formula>LEN(TRIM(Z10))=0</formula>
    </cfRule>
    <cfRule type="cellIs" dxfId="2433" priority="149" stopIfTrue="1" operator="greaterThan">
      <formula>-30</formula>
    </cfRule>
    <cfRule type="cellIs" dxfId="2432" priority="150" stopIfTrue="1" operator="between">
      <formula>-33</formula>
      <formula>-30</formula>
    </cfRule>
  </conditionalFormatting>
  <conditionalFormatting sqref="Z11">
    <cfRule type="containsBlanks" priority="145" stopIfTrue="1">
      <formula>LEN(TRIM(Z11))=0</formula>
    </cfRule>
    <cfRule type="cellIs" dxfId="2431" priority="146" stopIfTrue="1" operator="greaterThan">
      <formula>-30</formula>
    </cfRule>
    <cfRule type="cellIs" dxfId="2430" priority="147" stopIfTrue="1" operator="between">
      <formula>-33</formula>
      <formula>-30</formula>
    </cfRule>
  </conditionalFormatting>
  <conditionalFormatting sqref="AI10">
    <cfRule type="containsBlanks" priority="142" stopIfTrue="1">
      <formula>LEN(TRIM(AI10))=0</formula>
    </cfRule>
    <cfRule type="cellIs" dxfId="2429" priority="143" stopIfTrue="1" operator="greaterThan">
      <formula>-30</formula>
    </cfRule>
    <cfRule type="cellIs" dxfId="2428" priority="144" stopIfTrue="1" operator="between">
      <formula>-33</formula>
      <formula>-30</formula>
    </cfRule>
  </conditionalFormatting>
  <conditionalFormatting sqref="AI11">
    <cfRule type="containsBlanks" priority="139" stopIfTrue="1">
      <formula>LEN(TRIM(AI11))=0</formula>
    </cfRule>
    <cfRule type="cellIs" dxfId="2427" priority="140" stopIfTrue="1" operator="greaterThan">
      <formula>-30</formula>
    </cfRule>
    <cfRule type="cellIs" dxfId="2426" priority="141" stopIfTrue="1" operator="between">
      <formula>-33</formula>
      <formula>-30</formula>
    </cfRule>
  </conditionalFormatting>
  <conditionalFormatting sqref="AR10">
    <cfRule type="containsBlanks" priority="136" stopIfTrue="1">
      <formula>LEN(TRIM(AR10))=0</formula>
    </cfRule>
    <cfRule type="cellIs" dxfId="2425" priority="137" stopIfTrue="1" operator="greaterThan">
      <formula>-30</formula>
    </cfRule>
    <cfRule type="cellIs" dxfId="2424" priority="138" stopIfTrue="1" operator="between">
      <formula>-33</formula>
      <formula>-30</formula>
    </cfRule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U19"/>
  <sheetViews>
    <sheetView topLeftCell="AR1" zoomScale="70" zoomScaleNormal="70" workbookViewId="0">
      <selection activeCell="BW31" sqref="BW31"/>
    </sheetView>
  </sheetViews>
  <sheetFormatPr defaultRowHeight="13.5"/>
  <cols>
    <col min="3" max="3" width="9.875" bestFit="1" customWidth="1"/>
    <col min="4" max="4" width="9" customWidth="1"/>
    <col min="9" max="9" width="10.75" bestFit="1" customWidth="1"/>
    <col min="10" max="10" width="7.75" bestFit="1" customWidth="1"/>
    <col min="11" max="11" width="8" bestFit="1" customWidth="1"/>
    <col min="12" max="12" width="9.875" bestFit="1" customWidth="1"/>
    <col min="13" max="13" width="9" customWidth="1"/>
    <col min="18" max="18" width="10.75" bestFit="1" customWidth="1"/>
    <col min="19" max="19" width="7.75" bestFit="1" customWidth="1"/>
    <col min="20" max="20" width="8" bestFit="1" customWidth="1"/>
    <col min="21" max="21" width="9.875" bestFit="1" customWidth="1"/>
    <col min="22" max="22" width="9" customWidth="1"/>
    <col min="27" max="27" width="10.75" bestFit="1" customWidth="1"/>
  </cols>
  <sheetData>
    <row r="1" spans="1:99" ht="35.25">
      <c r="A1" s="1" t="s">
        <v>60</v>
      </c>
      <c r="B1" s="78" t="s">
        <v>61</v>
      </c>
      <c r="C1" s="78"/>
      <c r="D1" s="78"/>
      <c r="E1" s="78"/>
      <c r="F1" s="78"/>
      <c r="G1" s="78"/>
      <c r="H1" s="78"/>
      <c r="I1" s="78"/>
      <c r="J1" s="78"/>
      <c r="K1" s="78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99" ht="14.25">
      <c r="A2" s="3" t="s">
        <v>23</v>
      </c>
      <c r="B2" s="79" t="s">
        <v>24</v>
      </c>
      <c r="C2" s="80"/>
      <c r="D2" s="80"/>
      <c r="E2" s="80"/>
      <c r="F2" s="80"/>
      <c r="G2" s="80"/>
      <c r="H2" s="80"/>
      <c r="I2" s="80"/>
      <c r="J2" s="80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99" ht="14.25">
      <c r="A3" s="3" t="s">
        <v>0</v>
      </c>
      <c r="B3" s="79" t="s">
        <v>25</v>
      </c>
      <c r="C3" s="80"/>
      <c r="D3" s="80"/>
      <c r="E3" s="80"/>
      <c r="F3" s="80"/>
      <c r="G3" s="80"/>
      <c r="H3" s="80"/>
      <c r="I3" s="80"/>
      <c r="J3" s="80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99" ht="14.25" customHeight="1">
      <c r="A4" s="19" t="s">
        <v>167</v>
      </c>
      <c r="B4" s="5" t="s">
        <v>26</v>
      </c>
      <c r="C4" s="5" t="s">
        <v>27</v>
      </c>
      <c r="D4" s="5" t="s">
        <v>28</v>
      </c>
      <c r="E4" s="5" t="s">
        <v>56</v>
      </c>
      <c r="F4" s="5" t="s">
        <v>57</v>
      </c>
      <c r="G4" s="21" t="s">
        <v>3</v>
      </c>
      <c r="H4" s="41" t="s">
        <v>4</v>
      </c>
      <c r="I4" s="81" t="s">
        <v>29</v>
      </c>
      <c r="J4" s="19" t="s">
        <v>167</v>
      </c>
      <c r="K4" s="20" t="s">
        <v>26</v>
      </c>
      <c r="L4" s="20" t="s">
        <v>27</v>
      </c>
      <c r="M4" s="20" t="s">
        <v>28</v>
      </c>
      <c r="N4" s="20" t="s">
        <v>56</v>
      </c>
      <c r="O4" s="20" t="s">
        <v>57</v>
      </c>
      <c r="P4" s="21" t="s">
        <v>3</v>
      </c>
      <c r="Q4" s="41" t="s">
        <v>4</v>
      </c>
      <c r="R4" s="86" t="s">
        <v>29</v>
      </c>
      <c r="S4" s="19" t="s">
        <v>167</v>
      </c>
      <c r="T4" s="5" t="s">
        <v>26</v>
      </c>
      <c r="U4" s="5" t="s">
        <v>27</v>
      </c>
      <c r="V4" s="5" t="s">
        <v>28</v>
      </c>
      <c r="W4" s="5" t="s">
        <v>56</v>
      </c>
      <c r="X4" s="5" t="s">
        <v>57</v>
      </c>
      <c r="Y4" s="21" t="s">
        <v>3</v>
      </c>
      <c r="Z4" s="41" t="s">
        <v>4</v>
      </c>
      <c r="AA4" s="81" t="s">
        <v>29</v>
      </c>
      <c r="AB4" s="19" t="s">
        <v>167</v>
      </c>
      <c r="AC4" s="20" t="s">
        <v>26</v>
      </c>
      <c r="AD4" s="20" t="s">
        <v>27</v>
      </c>
      <c r="AE4" s="20" t="s">
        <v>28</v>
      </c>
      <c r="AF4" s="20" t="s">
        <v>56</v>
      </c>
      <c r="AG4" s="20" t="s">
        <v>57</v>
      </c>
      <c r="AH4" s="21" t="s">
        <v>3</v>
      </c>
      <c r="AI4" s="41" t="s">
        <v>4</v>
      </c>
      <c r="AJ4" s="86" t="s">
        <v>29</v>
      </c>
      <c r="AK4" s="19" t="s">
        <v>167</v>
      </c>
      <c r="AL4" s="20" t="s">
        <v>26</v>
      </c>
      <c r="AM4" s="20" t="s">
        <v>27</v>
      </c>
      <c r="AN4" s="20" t="s">
        <v>28</v>
      </c>
      <c r="AO4" s="20" t="s">
        <v>56</v>
      </c>
      <c r="AP4" s="20" t="s">
        <v>57</v>
      </c>
      <c r="AQ4" s="21" t="s">
        <v>3</v>
      </c>
      <c r="AR4" s="41" t="s">
        <v>4</v>
      </c>
      <c r="AS4" s="41" t="s">
        <v>29</v>
      </c>
      <c r="AT4" s="19" t="s">
        <v>167</v>
      </c>
      <c r="AU4" s="20" t="s">
        <v>26</v>
      </c>
      <c r="AV4" s="20" t="s">
        <v>27</v>
      </c>
      <c r="AW4" s="20" t="s">
        <v>28</v>
      </c>
      <c r="AX4" s="20" t="s">
        <v>56</v>
      </c>
      <c r="AY4" s="20" t="s">
        <v>57</v>
      </c>
      <c r="AZ4" s="21" t="s">
        <v>3</v>
      </c>
      <c r="BA4" s="41" t="s">
        <v>4</v>
      </c>
      <c r="BB4" s="49" t="s">
        <v>29</v>
      </c>
      <c r="BC4" s="19" t="s">
        <v>167</v>
      </c>
      <c r="BD4" s="20" t="s">
        <v>26</v>
      </c>
      <c r="BE4" s="20" t="s">
        <v>27</v>
      </c>
      <c r="BF4" s="20" t="s">
        <v>28</v>
      </c>
      <c r="BG4" s="20" t="s">
        <v>56</v>
      </c>
      <c r="BH4" s="20" t="s">
        <v>57</v>
      </c>
      <c r="BI4" s="21" t="s">
        <v>3</v>
      </c>
      <c r="BJ4" s="41" t="s">
        <v>4</v>
      </c>
      <c r="BK4" s="41" t="s">
        <v>29</v>
      </c>
      <c r="BL4" s="19" t="s">
        <v>167</v>
      </c>
      <c r="BM4" s="5" t="s">
        <v>26</v>
      </c>
      <c r="BN4" s="5" t="s">
        <v>27</v>
      </c>
      <c r="BO4" s="5" t="s">
        <v>28</v>
      </c>
      <c r="BP4" s="5" t="s">
        <v>56</v>
      </c>
      <c r="BQ4" s="5" t="s">
        <v>57</v>
      </c>
      <c r="BR4" s="21" t="s">
        <v>3</v>
      </c>
      <c r="BS4" s="41" t="s">
        <v>4</v>
      </c>
      <c r="BT4" s="47" t="s">
        <v>29</v>
      </c>
      <c r="BU4" s="19" t="s">
        <v>167</v>
      </c>
      <c r="BV4" s="20" t="s">
        <v>26</v>
      </c>
      <c r="BW4" s="20" t="s">
        <v>27</v>
      </c>
      <c r="BX4" s="20" t="s">
        <v>28</v>
      </c>
      <c r="BY4" s="20" t="s">
        <v>56</v>
      </c>
      <c r="BZ4" s="20" t="s">
        <v>57</v>
      </c>
      <c r="CA4" s="21" t="s">
        <v>3</v>
      </c>
      <c r="CB4" s="41" t="s">
        <v>4</v>
      </c>
      <c r="CC4" s="41" t="s">
        <v>29</v>
      </c>
      <c r="CD4" s="19" t="s">
        <v>167</v>
      </c>
      <c r="CE4" s="5" t="s">
        <v>26</v>
      </c>
      <c r="CF4" s="5" t="s">
        <v>27</v>
      </c>
      <c r="CG4" s="5" t="s">
        <v>28</v>
      </c>
      <c r="CH4" s="5" t="s">
        <v>56</v>
      </c>
      <c r="CI4" s="5" t="s">
        <v>57</v>
      </c>
      <c r="CJ4" s="21" t="s">
        <v>3</v>
      </c>
      <c r="CK4" s="41" t="s">
        <v>4</v>
      </c>
      <c r="CL4" s="47" t="s">
        <v>29</v>
      </c>
      <c r="CM4" s="19" t="s">
        <v>167</v>
      </c>
      <c r="CN4" s="20" t="s">
        <v>26</v>
      </c>
      <c r="CO4" s="20" t="s">
        <v>27</v>
      </c>
      <c r="CP4" s="20" t="s">
        <v>28</v>
      </c>
      <c r="CQ4" s="20" t="s">
        <v>56</v>
      </c>
      <c r="CR4" s="20" t="s">
        <v>57</v>
      </c>
      <c r="CS4" s="21" t="s">
        <v>3</v>
      </c>
      <c r="CT4" s="41" t="s">
        <v>4</v>
      </c>
      <c r="CU4" s="41" t="s">
        <v>29</v>
      </c>
    </row>
    <row r="5" spans="1:99" ht="15">
      <c r="A5" s="7" t="s">
        <v>30</v>
      </c>
      <c r="B5" s="8">
        <v>20407</v>
      </c>
      <c r="C5" s="8">
        <v>824.7</v>
      </c>
      <c r="D5" s="4">
        <v>1.4</v>
      </c>
      <c r="E5" s="8" t="s">
        <v>10</v>
      </c>
      <c r="F5" s="50">
        <v>1</v>
      </c>
      <c r="G5" s="24" t="s">
        <v>15</v>
      </c>
      <c r="H5" s="25" t="s">
        <v>6</v>
      </c>
      <c r="I5" s="82"/>
      <c r="J5" s="22" t="s">
        <v>31</v>
      </c>
      <c r="K5" s="28">
        <v>20643</v>
      </c>
      <c r="L5" s="28">
        <v>848.3</v>
      </c>
      <c r="M5" s="23">
        <v>1.4</v>
      </c>
      <c r="N5" s="28" t="s">
        <v>10</v>
      </c>
      <c r="O5" s="29">
        <v>1</v>
      </c>
      <c r="P5" s="24" t="s">
        <v>31</v>
      </c>
      <c r="Q5" s="25" t="s">
        <v>7</v>
      </c>
      <c r="R5" s="86"/>
      <c r="S5" s="7" t="s">
        <v>30</v>
      </c>
      <c r="T5" s="8">
        <v>20425</v>
      </c>
      <c r="U5" s="8">
        <v>826.5</v>
      </c>
      <c r="V5" s="4">
        <v>5</v>
      </c>
      <c r="W5" s="8" t="s">
        <v>10</v>
      </c>
      <c r="X5" s="50">
        <v>1</v>
      </c>
      <c r="Y5" s="24" t="s">
        <v>15</v>
      </c>
      <c r="Z5" s="25" t="s">
        <v>6</v>
      </c>
      <c r="AA5" s="82"/>
      <c r="AB5" s="22" t="s">
        <v>32</v>
      </c>
      <c r="AC5" s="28">
        <v>20525</v>
      </c>
      <c r="AD5" s="28">
        <v>836.5</v>
      </c>
      <c r="AE5" s="23">
        <v>5</v>
      </c>
      <c r="AF5" s="28" t="s">
        <v>10</v>
      </c>
      <c r="AG5" s="29">
        <v>1</v>
      </c>
      <c r="AH5" s="24" t="s">
        <v>15</v>
      </c>
      <c r="AI5" s="25" t="s">
        <v>7</v>
      </c>
      <c r="AJ5" s="86"/>
      <c r="AK5" s="27" t="s">
        <v>31</v>
      </c>
      <c r="AL5" s="28">
        <v>20625</v>
      </c>
      <c r="AM5" s="28">
        <v>846.5</v>
      </c>
      <c r="AN5" s="23">
        <v>5</v>
      </c>
      <c r="AO5" s="28" t="s">
        <v>10</v>
      </c>
      <c r="AP5" s="29">
        <v>1</v>
      </c>
      <c r="AQ5" s="24" t="s">
        <v>31</v>
      </c>
      <c r="AR5" s="25" t="s">
        <v>7</v>
      </c>
      <c r="AS5" s="41"/>
      <c r="AT5" s="27" t="s">
        <v>30</v>
      </c>
      <c r="AU5" s="28">
        <v>20425</v>
      </c>
      <c r="AV5" s="28">
        <v>826.5</v>
      </c>
      <c r="AW5" s="23">
        <v>5</v>
      </c>
      <c r="AX5" s="28" t="s">
        <v>10</v>
      </c>
      <c r="AY5" s="29">
        <v>25</v>
      </c>
      <c r="AZ5" s="24" t="s">
        <v>30</v>
      </c>
      <c r="BA5" s="25" t="s">
        <v>6</v>
      </c>
      <c r="BB5" s="51"/>
      <c r="BC5" s="27" t="s">
        <v>31</v>
      </c>
      <c r="BD5" s="28">
        <v>20625</v>
      </c>
      <c r="BE5" s="28">
        <v>846.5</v>
      </c>
      <c r="BF5" s="23">
        <v>5</v>
      </c>
      <c r="BG5" s="28" t="s">
        <v>10</v>
      </c>
      <c r="BH5" s="29">
        <v>25</v>
      </c>
      <c r="BI5" s="24" t="s">
        <v>31</v>
      </c>
      <c r="BJ5" s="25" t="s">
        <v>7</v>
      </c>
      <c r="BK5" s="41"/>
      <c r="BL5" s="7" t="s">
        <v>30</v>
      </c>
      <c r="BM5" s="8">
        <v>20450</v>
      </c>
      <c r="BN5" s="8">
        <v>829</v>
      </c>
      <c r="BO5" s="4">
        <v>10</v>
      </c>
      <c r="BP5" s="8" t="s">
        <v>10</v>
      </c>
      <c r="BQ5" s="50">
        <v>1</v>
      </c>
      <c r="BR5" s="24" t="s">
        <v>15</v>
      </c>
      <c r="BS5" s="25" t="s">
        <v>6</v>
      </c>
      <c r="BT5" s="48"/>
      <c r="BU5" s="27" t="s">
        <v>31</v>
      </c>
      <c r="BV5" s="28">
        <v>20600</v>
      </c>
      <c r="BW5" s="28">
        <v>844</v>
      </c>
      <c r="BX5" s="23">
        <v>10</v>
      </c>
      <c r="BY5" s="28" t="s">
        <v>10</v>
      </c>
      <c r="BZ5" s="29">
        <v>1</v>
      </c>
      <c r="CA5" s="24" t="s">
        <v>31</v>
      </c>
      <c r="CB5" s="25" t="s">
        <v>7</v>
      </c>
      <c r="CC5" s="41"/>
      <c r="CD5" s="7" t="s">
        <v>30</v>
      </c>
      <c r="CE5" s="8">
        <v>20450</v>
      </c>
      <c r="CF5" s="8">
        <v>829</v>
      </c>
      <c r="CG5" s="4">
        <v>10</v>
      </c>
      <c r="CH5" s="8" t="s">
        <v>10</v>
      </c>
      <c r="CI5" s="50">
        <v>50</v>
      </c>
      <c r="CJ5" s="24" t="s">
        <v>30</v>
      </c>
      <c r="CK5" s="25" t="s">
        <v>6</v>
      </c>
      <c r="CL5" s="48"/>
      <c r="CM5" s="27" t="s">
        <v>31</v>
      </c>
      <c r="CN5" s="28">
        <v>20600</v>
      </c>
      <c r="CO5" s="28">
        <v>844</v>
      </c>
      <c r="CP5" s="23">
        <v>10</v>
      </c>
      <c r="CQ5" s="28" t="s">
        <v>10</v>
      </c>
      <c r="CR5" s="29">
        <v>50</v>
      </c>
      <c r="CS5" s="24" t="s">
        <v>30</v>
      </c>
      <c r="CT5" s="25" t="s">
        <v>7</v>
      </c>
      <c r="CU5" s="41"/>
    </row>
    <row r="6" spans="1:99" ht="14.25">
      <c r="A6" s="83" t="s">
        <v>16</v>
      </c>
      <c r="B6" s="84"/>
      <c r="C6" s="6" t="s">
        <v>17</v>
      </c>
      <c r="D6" s="6" t="s">
        <v>33</v>
      </c>
      <c r="E6" s="83" t="s">
        <v>34</v>
      </c>
      <c r="F6" s="85"/>
      <c r="G6" s="84"/>
      <c r="H6" s="26" t="s">
        <v>5</v>
      </c>
      <c r="I6" s="2"/>
      <c r="J6" s="83" t="s">
        <v>16</v>
      </c>
      <c r="K6" s="84"/>
      <c r="L6" s="18" t="s">
        <v>17</v>
      </c>
      <c r="M6" s="18" t="s">
        <v>33</v>
      </c>
      <c r="N6" s="83" t="s">
        <v>34</v>
      </c>
      <c r="O6" s="85"/>
      <c r="P6" s="84"/>
      <c r="Q6" s="26" t="s">
        <v>5</v>
      </c>
      <c r="R6" s="19"/>
      <c r="S6" s="83" t="s">
        <v>16</v>
      </c>
      <c r="T6" s="84"/>
      <c r="U6" s="6" t="s">
        <v>17</v>
      </c>
      <c r="V6" s="6" t="s">
        <v>33</v>
      </c>
      <c r="W6" s="83" t="s">
        <v>34</v>
      </c>
      <c r="X6" s="85"/>
      <c r="Y6" s="84"/>
      <c r="Z6" s="26" t="s">
        <v>5</v>
      </c>
      <c r="AA6" s="2"/>
      <c r="AB6" s="83" t="s">
        <v>16</v>
      </c>
      <c r="AC6" s="84"/>
      <c r="AD6" s="18" t="s">
        <v>17</v>
      </c>
      <c r="AE6" s="18" t="s">
        <v>33</v>
      </c>
      <c r="AF6" s="83" t="s">
        <v>34</v>
      </c>
      <c r="AG6" s="85"/>
      <c r="AH6" s="84"/>
      <c r="AI6" s="26" t="s">
        <v>5</v>
      </c>
      <c r="AJ6" s="19"/>
      <c r="AK6" s="42" t="s">
        <v>16</v>
      </c>
      <c r="AL6" s="43"/>
      <c r="AM6" s="18" t="s">
        <v>17</v>
      </c>
      <c r="AN6" s="18" t="s">
        <v>33</v>
      </c>
      <c r="AO6" s="83" t="s">
        <v>34</v>
      </c>
      <c r="AP6" s="85"/>
      <c r="AQ6" s="84"/>
      <c r="AR6" s="26" t="s">
        <v>5</v>
      </c>
      <c r="AS6" s="19"/>
      <c r="AT6" s="42" t="s">
        <v>16</v>
      </c>
      <c r="AU6" s="43"/>
      <c r="AV6" s="18" t="s">
        <v>17</v>
      </c>
      <c r="AW6" s="18" t="s">
        <v>33</v>
      </c>
      <c r="AX6" s="83" t="s">
        <v>34</v>
      </c>
      <c r="AY6" s="85"/>
      <c r="AZ6" s="84"/>
      <c r="BA6" s="26" t="s">
        <v>5</v>
      </c>
      <c r="BB6" s="19"/>
      <c r="BC6" s="42" t="s">
        <v>16</v>
      </c>
      <c r="BD6" s="43"/>
      <c r="BE6" s="18" t="s">
        <v>17</v>
      </c>
      <c r="BF6" s="18" t="s">
        <v>33</v>
      </c>
      <c r="BG6" s="83" t="s">
        <v>34</v>
      </c>
      <c r="BH6" s="85"/>
      <c r="BI6" s="84"/>
      <c r="BJ6" s="26" t="s">
        <v>5</v>
      </c>
      <c r="BK6" s="19"/>
      <c r="BL6" s="52" t="s">
        <v>16</v>
      </c>
      <c r="BM6" s="53"/>
      <c r="BN6" s="6" t="s">
        <v>17</v>
      </c>
      <c r="BO6" s="6" t="s">
        <v>33</v>
      </c>
      <c r="BP6" s="83" t="s">
        <v>34</v>
      </c>
      <c r="BQ6" s="85"/>
      <c r="BR6" s="84"/>
      <c r="BS6" s="26" t="s">
        <v>5</v>
      </c>
      <c r="BT6" s="2"/>
      <c r="BU6" s="42" t="s">
        <v>16</v>
      </c>
      <c r="BV6" s="43"/>
      <c r="BW6" s="18" t="s">
        <v>17</v>
      </c>
      <c r="BX6" s="18" t="s">
        <v>33</v>
      </c>
      <c r="BY6" s="83" t="s">
        <v>34</v>
      </c>
      <c r="BZ6" s="85"/>
      <c r="CA6" s="84"/>
      <c r="CB6" s="26" t="s">
        <v>5</v>
      </c>
      <c r="CC6" s="19"/>
      <c r="CD6" s="52" t="s">
        <v>16</v>
      </c>
      <c r="CE6" s="53"/>
      <c r="CF6" s="6" t="s">
        <v>17</v>
      </c>
      <c r="CG6" s="6" t="s">
        <v>33</v>
      </c>
      <c r="CH6" s="83" t="s">
        <v>34</v>
      </c>
      <c r="CI6" s="85"/>
      <c r="CJ6" s="84"/>
      <c r="CK6" s="26" t="s">
        <v>5</v>
      </c>
      <c r="CL6" s="2"/>
      <c r="CM6" s="42" t="s">
        <v>16</v>
      </c>
      <c r="CN6" s="43"/>
      <c r="CO6" s="18" t="s">
        <v>17</v>
      </c>
      <c r="CP6" s="18" t="s">
        <v>33</v>
      </c>
      <c r="CQ6" s="83" t="s">
        <v>34</v>
      </c>
      <c r="CR6" s="85"/>
      <c r="CS6" s="84"/>
      <c r="CT6" s="26" t="s">
        <v>5</v>
      </c>
      <c r="CU6" s="19"/>
    </row>
    <row r="7" spans="1:99" ht="15">
      <c r="A7" s="54">
        <f>((C5-2.5*0.18)-0.2)*2</f>
        <v>1648.1</v>
      </c>
      <c r="B7" s="54">
        <f>((C5-2.5*0.18)+0.2)*2</f>
        <v>1648.9</v>
      </c>
      <c r="C7" s="10" t="s">
        <v>9</v>
      </c>
      <c r="D7" s="10" t="s">
        <v>9</v>
      </c>
      <c r="E7" s="87" t="s">
        <v>35</v>
      </c>
      <c r="F7" s="88"/>
      <c r="G7" s="89"/>
      <c r="H7" s="75"/>
      <c r="I7" s="55" t="s">
        <v>36</v>
      </c>
      <c r="J7" s="54">
        <f>((L5-2.5*0.18)-0.2)*2</f>
        <v>1695.2999999999997</v>
      </c>
      <c r="K7" s="54">
        <f>((L5-2.5*0.18)+0.2)*2</f>
        <v>1696.1</v>
      </c>
      <c r="L7" s="10" t="s">
        <v>9</v>
      </c>
      <c r="M7" s="10" t="s">
        <v>9</v>
      </c>
      <c r="N7" s="87" t="s">
        <v>35</v>
      </c>
      <c r="O7" s="88"/>
      <c r="P7" s="89"/>
      <c r="Q7" s="75"/>
      <c r="R7" s="55" t="s">
        <v>36</v>
      </c>
      <c r="S7" s="54">
        <f>((U5-INT((V5*5)/2)*0.18)-0.2)*2</f>
        <v>1648.28</v>
      </c>
      <c r="T7" s="54">
        <f>((U5-INT((V5*5)/2)*0.18)+0.2)*2</f>
        <v>1649.0800000000002</v>
      </c>
      <c r="U7" s="10" t="s">
        <v>9</v>
      </c>
      <c r="V7" s="10" t="s">
        <v>9</v>
      </c>
      <c r="W7" s="87" t="s">
        <v>35</v>
      </c>
      <c r="X7" s="88"/>
      <c r="Y7" s="89"/>
      <c r="Z7" s="75"/>
      <c r="AA7" s="55" t="s">
        <v>36</v>
      </c>
      <c r="AB7" s="54">
        <f>((AD5-INT((AE5*5)/2)*0.18)-0.2)*2</f>
        <v>1668.28</v>
      </c>
      <c r="AC7" s="54">
        <f>((AD5-INT((AE5*5)/2)*0.18)+0.2)*2</f>
        <v>1669.0800000000002</v>
      </c>
      <c r="AD7" s="10" t="s">
        <v>9</v>
      </c>
      <c r="AE7" s="10" t="s">
        <v>9</v>
      </c>
      <c r="AF7" s="87" t="s">
        <v>35</v>
      </c>
      <c r="AG7" s="88"/>
      <c r="AH7" s="89"/>
      <c r="AI7" s="75"/>
      <c r="AJ7" s="55" t="s">
        <v>36</v>
      </c>
      <c r="AK7" s="54">
        <f>((AM5+INT((AN5*5)/2)*0.18)-0.2)*2</f>
        <v>1696.9199999999998</v>
      </c>
      <c r="AL7" s="54">
        <f>((AM5+INT((AN5*5)/2)*0.18)+0.2)*2</f>
        <v>1697.72</v>
      </c>
      <c r="AM7" s="10" t="s">
        <v>9</v>
      </c>
      <c r="AN7" s="10" t="s">
        <v>9</v>
      </c>
      <c r="AO7" s="87" t="s">
        <v>35</v>
      </c>
      <c r="AP7" s="88"/>
      <c r="AQ7" s="89"/>
      <c r="AR7" s="75"/>
      <c r="AS7" s="55" t="s">
        <v>36</v>
      </c>
      <c r="AT7" s="54">
        <f>(AV5-AW5/2)*2</f>
        <v>1648</v>
      </c>
      <c r="AU7" s="54">
        <f>(AV5+AW5/2)*2</f>
        <v>1658</v>
      </c>
      <c r="AV7" s="10" t="s">
        <v>9</v>
      </c>
      <c r="AW7" s="10" t="s">
        <v>9</v>
      </c>
      <c r="AX7" s="87" t="s">
        <v>35</v>
      </c>
      <c r="AY7" s="88"/>
      <c r="AZ7" s="89"/>
      <c r="BA7" s="75"/>
      <c r="BB7" s="55" t="s">
        <v>36</v>
      </c>
      <c r="BC7" s="54">
        <f>(BE5-BF5/2)*2</f>
        <v>1688</v>
      </c>
      <c r="BD7" s="54">
        <f>(BE5+BF5/2)*2</f>
        <v>1698</v>
      </c>
      <c r="BE7" s="10" t="s">
        <v>9</v>
      </c>
      <c r="BF7" s="10" t="s">
        <v>9</v>
      </c>
      <c r="BG7" s="87" t="s">
        <v>35</v>
      </c>
      <c r="BH7" s="88"/>
      <c r="BI7" s="89"/>
      <c r="BJ7" s="75"/>
      <c r="BK7" s="55" t="s">
        <v>36</v>
      </c>
      <c r="BL7" s="54">
        <f>((BN5-(INT((BO5*5)/2)-0.5)*0.18)-0.2)*2</f>
        <v>1648.78</v>
      </c>
      <c r="BM7" s="54">
        <f>((BN5-(INT((BO5*5)/2)-0.5)*0.18)+0.2)*2</f>
        <v>1649.5800000000002</v>
      </c>
      <c r="BN7" s="10" t="s">
        <v>9</v>
      </c>
      <c r="BO7" s="10" t="s">
        <v>9</v>
      </c>
      <c r="BP7" s="87" t="s">
        <v>35</v>
      </c>
      <c r="BQ7" s="88"/>
      <c r="BR7" s="89"/>
      <c r="BS7" s="75"/>
      <c r="BT7" s="55" t="s">
        <v>36</v>
      </c>
      <c r="BU7" s="54">
        <f>((BW5+(INT((BX5*5)/2)-0.5)*0.18)-0.2)*2</f>
        <v>1696.4199999999998</v>
      </c>
      <c r="BV7" s="54">
        <f>((BW5+(INT((BX5*5)/2)-0.5)*0.18)+0.2)*2</f>
        <v>1697.22</v>
      </c>
      <c r="BW7" s="10" t="s">
        <v>9</v>
      </c>
      <c r="BX7" s="10" t="s">
        <v>9</v>
      </c>
      <c r="BY7" s="87" t="s">
        <v>35</v>
      </c>
      <c r="BZ7" s="88"/>
      <c r="CA7" s="89"/>
      <c r="CB7" s="75"/>
      <c r="CC7" s="55" t="s">
        <v>36</v>
      </c>
      <c r="CD7" s="54">
        <f>(CF5-CG5/2)*2</f>
        <v>1648</v>
      </c>
      <c r="CE7" s="54">
        <f>(CF5+CG5/2)*2</f>
        <v>1668</v>
      </c>
      <c r="CF7" s="10" t="s">
        <v>9</v>
      </c>
      <c r="CG7" s="10" t="s">
        <v>9</v>
      </c>
      <c r="CH7" s="87" t="s">
        <v>35</v>
      </c>
      <c r="CI7" s="88"/>
      <c r="CJ7" s="89"/>
      <c r="CK7" s="75"/>
      <c r="CL7" s="55" t="s">
        <v>36</v>
      </c>
      <c r="CM7" s="54">
        <f>(CO5-CP5/2)*2</f>
        <v>1678</v>
      </c>
      <c r="CN7" s="54">
        <f>(CO5+CP5/2)*2</f>
        <v>1698</v>
      </c>
      <c r="CO7" s="10" t="s">
        <v>9</v>
      </c>
      <c r="CP7" s="10" t="s">
        <v>9</v>
      </c>
      <c r="CQ7" s="87" t="s">
        <v>35</v>
      </c>
      <c r="CR7" s="88"/>
      <c r="CS7" s="89"/>
      <c r="CT7" s="75"/>
      <c r="CU7" s="55" t="s">
        <v>36</v>
      </c>
    </row>
    <row r="8" spans="1:99" ht="15">
      <c r="A8" s="54">
        <f>((C5-2.5*0.18)-0.2)*3</f>
        <v>2472.1499999999996</v>
      </c>
      <c r="B8" s="54">
        <f>((C5-2.5*0.18)+0.2)*2</f>
        <v>1648.9</v>
      </c>
      <c r="C8" s="10" t="s">
        <v>9</v>
      </c>
      <c r="D8" s="10" t="s">
        <v>9</v>
      </c>
      <c r="E8" s="87" t="s">
        <v>35</v>
      </c>
      <c r="F8" s="88"/>
      <c r="G8" s="89"/>
      <c r="H8" s="75"/>
      <c r="I8" s="55" t="s">
        <v>37</v>
      </c>
      <c r="J8" s="54">
        <f>((L5-2.5*0.18)-0.2)*3</f>
        <v>2542.9499999999998</v>
      </c>
      <c r="K8" s="54">
        <f>((L5-2.5*0.18)+0.2)*2</f>
        <v>1696.1</v>
      </c>
      <c r="L8" s="10" t="s">
        <v>9</v>
      </c>
      <c r="M8" s="10" t="s">
        <v>9</v>
      </c>
      <c r="N8" s="87" t="s">
        <v>35</v>
      </c>
      <c r="O8" s="88"/>
      <c r="P8" s="89"/>
      <c r="Q8" s="75"/>
      <c r="R8" s="55" t="s">
        <v>37</v>
      </c>
      <c r="S8" s="54">
        <f>((U5-INT((V5*5)/2)*0.18)-0.2)*3</f>
        <v>2472.42</v>
      </c>
      <c r="T8" s="54">
        <f>((U5-INT((V5*5)/2)*0.18)+0.2)*3</f>
        <v>2473.6200000000003</v>
      </c>
      <c r="U8" s="10" t="s">
        <v>9</v>
      </c>
      <c r="V8" s="10" t="s">
        <v>9</v>
      </c>
      <c r="W8" s="87" t="s">
        <v>35</v>
      </c>
      <c r="X8" s="88"/>
      <c r="Y8" s="89"/>
      <c r="Z8" s="75"/>
      <c r="AA8" s="55" t="s">
        <v>37</v>
      </c>
      <c r="AB8" s="54">
        <f>((AD5-INT((AE5*5)/2)*0.18)-0.2)*3</f>
        <v>2502.42</v>
      </c>
      <c r="AC8" s="54">
        <f>((AD5-INT((AE5*5)/2)*0.18)+0.2)*3</f>
        <v>2503.6200000000003</v>
      </c>
      <c r="AD8" s="10" t="s">
        <v>9</v>
      </c>
      <c r="AE8" s="10" t="s">
        <v>9</v>
      </c>
      <c r="AF8" s="87" t="s">
        <v>35</v>
      </c>
      <c r="AG8" s="88"/>
      <c r="AH8" s="89"/>
      <c r="AI8" s="75"/>
      <c r="AJ8" s="55" t="s">
        <v>37</v>
      </c>
      <c r="AK8" s="54">
        <f>((AM5+INT((AN5*5)/2)*0.18)-0.2)*3</f>
        <v>2545.3799999999997</v>
      </c>
      <c r="AL8" s="54">
        <f>((AM5+INT((AN5*5)/2)*0.18)+0.2)*3</f>
        <v>2546.58</v>
      </c>
      <c r="AM8" s="10" t="s">
        <v>9</v>
      </c>
      <c r="AN8" s="10" t="s">
        <v>9</v>
      </c>
      <c r="AO8" s="87" t="s">
        <v>35</v>
      </c>
      <c r="AP8" s="88"/>
      <c r="AQ8" s="89"/>
      <c r="AR8" s="75"/>
      <c r="AS8" s="55" t="s">
        <v>37</v>
      </c>
      <c r="AT8" s="54">
        <f>(AV5-AW5/2)*3</f>
        <v>2472</v>
      </c>
      <c r="AU8" s="54">
        <f>(AV5+AW5/2)*3</f>
        <v>2487</v>
      </c>
      <c r="AV8" s="10" t="s">
        <v>9</v>
      </c>
      <c r="AW8" s="10" t="s">
        <v>9</v>
      </c>
      <c r="AX8" s="87" t="s">
        <v>35</v>
      </c>
      <c r="AY8" s="88"/>
      <c r="AZ8" s="89"/>
      <c r="BA8" s="75"/>
      <c r="BB8" s="55" t="s">
        <v>37</v>
      </c>
      <c r="BC8" s="54">
        <f>(BE5-BF5/2)*3</f>
        <v>2532</v>
      </c>
      <c r="BD8" s="54">
        <f>(BE5+BF5/2)*3</f>
        <v>2547</v>
      </c>
      <c r="BE8" s="10" t="s">
        <v>9</v>
      </c>
      <c r="BF8" s="10" t="s">
        <v>9</v>
      </c>
      <c r="BG8" s="87" t="s">
        <v>35</v>
      </c>
      <c r="BH8" s="88"/>
      <c r="BI8" s="89"/>
      <c r="BJ8" s="75"/>
      <c r="BK8" s="55" t="s">
        <v>37</v>
      </c>
      <c r="BL8" s="54">
        <f>((BN5-(INT((BO5*5)/2)-0.5)*0.18)-0.2)*3</f>
        <v>2473.17</v>
      </c>
      <c r="BM8" s="54">
        <f>((BN5-(INT((BO5*5)/2)-0.5)*0.18)+0.2)*3</f>
        <v>2474.3700000000003</v>
      </c>
      <c r="BN8" s="10" t="s">
        <v>9</v>
      </c>
      <c r="BO8" s="10" t="s">
        <v>9</v>
      </c>
      <c r="BP8" s="87" t="s">
        <v>35</v>
      </c>
      <c r="BQ8" s="88"/>
      <c r="BR8" s="89"/>
      <c r="BS8" s="75"/>
      <c r="BT8" s="55" t="s">
        <v>37</v>
      </c>
      <c r="BU8" s="54">
        <f>((BW5+(INT((BX5*5)/2)-0.5)*0.18)-0.2)*3</f>
        <v>2544.6299999999997</v>
      </c>
      <c r="BV8" s="54">
        <f>((BW5+(INT((BX5*5)/2)-0.5)*0.18)+0.2)*3</f>
        <v>2545.83</v>
      </c>
      <c r="BW8" s="10" t="s">
        <v>9</v>
      </c>
      <c r="BX8" s="10" t="s">
        <v>9</v>
      </c>
      <c r="BY8" s="87" t="s">
        <v>35</v>
      </c>
      <c r="BZ8" s="88"/>
      <c r="CA8" s="89"/>
      <c r="CB8" s="75"/>
      <c r="CC8" s="55" t="s">
        <v>37</v>
      </c>
      <c r="CD8" s="54">
        <f>(CF5-CG5/2)*3</f>
        <v>2472</v>
      </c>
      <c r="CE8" s="54">
        <f>(CF5+CG5/2)*3</f>
        <v>2502</v>
      </c>
      <c r="CF8" s="10" t="s">
        <v>9</v>
      </c>
      <c r="CG8" s="10" t="s">
        <v>9</v>
      </c>
      <c r="CH8" s="87" t="s">
        <v>35</v>
      </c>
      <c r="CI8" s="88"/>
      <c r="CJ8" s="89"/>
      <c r="CK8" s="75"/>
      <c r="CL8" s="55" t="s">
        <v>37</v>
      </c>
      <c r="CM8" s="54">
        <f>(CO5-CP5/2)*3</f>
        <v>2517</v>
      </c>
      <c r="CN8" s="54">
        <f>(CO5+CP5/2)*3</f>
        <v>2547</v>
      </c>
      <c r="CO8" s="10" t="s">
        <v>9</v>
      </c>
      <c r="CP8" s="10" t="s">
        <v>9</v>
      </c>
      <c r="CQ8" s="87" t="s">
        <v>35</v>
      </c>
      <c r="CR8" s="88"/>
      <c r="CS8" s="89"/>
      <c r="CT8" s="75"/>
      <c r="CU8" s="55" t="s">
        <v>37</v>
      </c>
    </row>
    <row r="9" spans="1:99" ht="15">
      <c r="A9" s="54">
        <f>((C5-2.5*0.18)-0.2)*4</f>
        <v>3296.2</v>
      </c>
      <c r="B9" s="54">
        <f>((C5-2.5*0.18)+0.2)*4</f>
        <v>3297.8</v>
      </c>
      <c r="C9" s="10" t="s">
        <v>9</v>
      </c>
      <c r="D9" s="10" t="s">
        <v>9</v>
      </c>
      <c r="E9" s="90" t="s">
        <v>35</v>
      </c>
      <c r="F9" s="90"/>
      <c r="G9" s="90"/>
      <c r="H9" s="75"/>
      <c r="I9" s="55" t="s">
        <v>38</v>
      </c>
      <c r="J9" s="54">
        <f>((L5-2.5*0.18)-0.2)*4</f>
        <v>3390.5999999999995</v>
      </c>
      <c r="K9" s="54">
        <f>((L5-2.5*0.18)+0.2)*4</f>
        <v>3392.2</v>
      </c>
      <c r="L9" s="10" t="s">
        <v>9</v>
      </c>
      <c r="M9" s="10" t="s">
        <v>9</v>
      </c>
      <c r="N9" s="90" t="s">
        <v>35</v>
      </c>
      <c r="O9" s="90"/>
      <c r="P9" s="90"/>
      <c r="Q9" s="75"/>
      <c r="R9" s="55" t="s">
        <v>38</v>
      </c>
      <c r="S9" s="54">
        <f>((U5-INT((V5*5)/2)*0.18)-0.2)*4</f>
        <v>3296.56</v>
      </c>
      <c r="T9" s="54">
        <f>((U5-INT((V5*5)/2)*0.18)+0.2)*4</f>
        <v>3298.1600000000003</v>
      </c>
      <c r="U9" s="10" t="s">
        <v>9</v>
      </c>
      <c r="V9" s="10" t="s">
        <v>9</v>
      </c>
      <c r="W9" s="90" t="s">
        <v>35</v>
      </c>
      <c r="X9" s="90"/>
      <c r="Y9" s="90"/>
      <c r="Z9" s="75"/>
      <c r="AA9" s="55" t="s">
        <v>38</v>
      </c>
      <c r="AB9" s="54">
        <f>((AD5-INT((AE5*5)/2)*0.18)-0.2)*4</f>
        <v>3336.56</v>
      </c>
      <c r="AC9" s="54">
        <f>((AD5-INT((AE5*5)/2)*0.18)+0.2)*4</f>
        <v>3338.1600000000003</v>
      </c>
      <c r="AD9" s="10" t="s">
        <v>9</v>
      </c>
      <c r="AE9" s="10" t="s">
        <v>9</v>
      </c>
      <c r="AF9" s="90" t="s">
        <v>35</v>
      </c>
      <c r="AG9" s="90"/>
      <c r="AH9" s="90"/>
      <c r="AI9" s="75"/>
      <c r="AJ9" s="55" t="s">
        <v>38</v>
      </c>
      <c r="AK9" s="54">
        <f>((AM5+INT((AN5*5)/2)*0.18)-0.2)*4</f>
        <v>3393.8399999999997</v>
      </c>
      <c r="AL9" s="54">
        <f>((AM5+INT((AN5*5)/2)*0.18)+0.2)*4</f>
        <v>3395.44</v>
      </c>
      <c r="AM9" s="10" t="s">
        <v>9</v>
      </c>
      <c r="AN9" s="10" t="s">
        <v>9</v>
      </c>
      <c r="AO9" s="87" t="s">
        <v>39</v>
      </c>
      <c r="AP9" s="88"/>
      <c r="AQ9" s="89"/>
      <c r="AR9" s="75"/>
      <c r="AS9" s="55" t="s">
        <v>38</v>
      </c>
      <c r="AT9" s="54">
        <f>(AV5-AW5/2)*4</f>
        <v>3296</v>
      </c>
      <c r="AU9" s="54">
        <f>(AV5+AW5/2)*4</f>
        <v>3316</v>
      </c>
      <c r="AV9" s="10" t="s">
        <v>9</v>
      </c>
      <c r="AW9" s="10" t="s">
        <v>9</v>
      </c>
      <c r="AX9" s="87" t="s">
        <v>39</v>
      </c>
      <c r="AY9" s="88"/>
      <c r="AZ9" s="89"/>
      <c r="BA9" s="75"/>
      <c r="BB9" s="55" t="s">
        <v>38</v>
      </c>
      <c r="BC9" s="54">
        <f>(BE5-BF5/2)*4</f>
        <v>3376</v>
      </c>
      <c r="BD9" s="54">
        <f>(BE5+BF5/2)*4</f>
        <v>3396</v>
      </c>
      <c r="BE9" s="10" t="s">
        <v>9</v>
      </c>
      <c r="BF9" s="10" t="s">
        <v>9</v>
      </c>
      <c r="BG9" s="87" t="s">
        <v>39</v>
      </c>
      <c r="BH9" s="88"/>
      <c r="BI9" s="89"/>
      <c r="BJ9" s="75"/>
      <c r="BK9" s="55" t="s">
        <v>38</v>
      </c>
      <c r="BL9" s="54">
        <f>((BN5-(INT((BO5*5)/2)-0.5)*0.18)-0.2)*4</f>
        <v>3297.56</v>
      </c>
      <c r="BM9" s="54">
        <f>((BN5-(INT((BO5*5)/2)-0.5)*0.18)+0.2)*4</f>
        <v>3299.1600000000003</v>
      </c>
      <c r="BN9" s="10" t="s">
        <v>9</v>
      </c>
      <c r="BO9" s="10" t="s">
        <v>9</v>
      </c>
      <c r="BP9" s="87" t="s">
        <v>39</v>
      </c>
      <c r="BQ9" s="88"/>
      <c r="BR9" s="89"/>
      <c r="BS9" s="75"/>
      <c r="BT9" s="55" t="s">
        <v>38</v>
      </c>
      <c r="BU9" s="54">
        <f>((BW5+(INT((BX5*5)/2)-0.5)*0.18)-0.2)*4</f>
        <v>3392.8399999999997</v>
      </c>
      <c r="BV9" s="54">
        <f>((BW5+(INT((BX5*5)/2)-0.5)*0.18)+0.2)*4</f>
        <v>3394.44</v>
      </c>
      <c r="BW9" s="10" t="s">
        <v>9</v>
      </c>
      <c r="BX9" s="10" t="s">
        <v>9</v>
      </c>
      <c r="BY9" s="87" t="s">
        <v>39</v>
      </c>
      <c r="BZ9" s="88"/>
      <c r="CA9" s="89"/>
      <c r="CB9" s="75"/>
      <c r="CC9" s="55" t="s">
        <v>38</v>
      </c>
      <c r="CD9" s="54">
        <f>(CF5-CG5/2)*4</f>
        <v>3296</v>
      </c>
      <c r="CE9" s="54">
        <f>(CF5+CG5/2)*4</f>
        <v>3336</v>
      </c>
      <c r="CF9" s="10" t="s">
        <v>9</v>
      </c>
      <c r="CG9" s="10" t="s">
        <v>9</v>
      </c>
      <c r="CH9" s="87" t="s">
        <v>39</v>
      </c>
      <c r="CI9" s="88"/>
      <c r="CJ9" s="89"/>
      <c r="CK9" s="75"/>
      <c r="CL9" s="55" t="s">
        <v>38</v>
      </c>
      <c r="CM9" s="54">
        <f>(CO5-CP5/2)*4</f>
        <v>3356</v>
      </c>
      <c r="CN9" s="54">
        <f>(CO5+CP5/2)*4</f>
        <v>3396</v>
      </c>
      <c r="CO9" s="10" t="s">
        <v>9</v>
      </c>
      <c r="CP9" s="10" t="s">
        <v>9</v>
      </c>
      <c r="CQ9" s="87" t="s">
        <v>35</v>
      </c>
      <c r="CR9" s="88"/>
      <c r="CS9" s="89"/>
      <c r="CT9" s="75"/>
      <c r="CU9" s="55" t="s">
        <v>38</v>
      </c>
    </row>
    <row r="10" spans="1:99" ht="15">
      <c r="A10" s="54">
        <f>((C5-2.5*0.18)-0.2)*5</f>
        <v>4120.25</v>
      </c>
      <c r="B10" s="54">
        <f>((C5-2.5*0.18)+0.2)*5</f>
        <v>4122.25</v>
      </c>
      <c r="C10" s="10" t="s">
        <v>9</v>
      </c>
      <c r="D10" s="10" t="s">
        <v>9</v>
      </c>
      <c r="E10" s="87" t="s">
        <v>35</v>
      </c>
      <c r="F10" s="88"/>
      <c r="G10" s="89"/>
      <c r="H10" s="75"/>
      <c r="I10" s="55" t="s">
        <v>40</v>
      </c>
      <c r="J10" s="54">
        <f>((L5-2.5*0.18)-0.2)*5</f>
        <v>4238.2499999999991</v>
      </c>
      <c r="K10" s="54">
        <f>((L5-2.5*0.18)+0.2)*5</f>
        <v>4240.25</v>
      </c>
      <c r="L10" s="10" t="s">
        <v>9</v>
      </c>
      <c r="M10" s="10" t="s">
        <v>9</v>
      </c>
      <c r="N10" s="87" t="s">
        <v>35</v>
      </c>
      <c r="O10" s="88"/>
      <c r="P10" s="89"/>
      <c r="Q10" s="75"/>
      <c r="R10" s="55" t="s">
        <v>40</v>
      </c>
      <c r="S10" s="54">
        <f>((U5-INT((V5*5)/2)*0.18)-0.2)*5</f>
        <v>4120.7</v>
      </c>
      <c r="T10" s="54">
        <f>((U5-INT((V5*5)/2)*0.18)+0.2)*5</f>
        <v>4122.7000000000007</v>
      </c>
      <c r="U10" s="10" t="s">
        <v>9</v>
      </c>
      <c r="V10" s="10" t="s">
        <v>9</v>
      </c>
      <c r="W10" s="87" t="s">
        <v>35</v>
      </c>
      <c r="X10" s="88"/>
      <c r="Y10" s="89"/>
      <c r="Z10" s="75"/>
      <c r="AA10" s="55" t="s">
        <v>40</v>
      </c>
      <c r="AB10" s="54">
        <f>((AD5-INT((AE5*5)/2)*0.18)-0.2)*5</f>
        <v>4170.7</v>
      </c>
      <c r="AC10" s="54">
        <f>((AD5-INT((AE5*5)/2)*0.18)+0.2)*5</f>
        <v>4172.7000000000007</v>
      </c>
      <c r="AD10" s="10" t="s">
        <v>9</v>
      </c>
      <c r="AE10" s="10" t="s">
        <v>9</v>
      </c>
      <c r="AF10" s="87" t="s">
        <v>35</v>
      </c>
      <c r="AG10" s="88"/>
      <c r="AH10" s="89"/>
      <c r="AI10" s="75"/>
      <c r="AJ10" s="55" t="s">
        <v>40</v>
      </c>
      <c r="AK10" s="54">
        <f>((AM5+INT((AN5*5)/2)*0.18)-0.2)*5</f>
        <v>4242.2999999999993</v>
      </c>
      <c r="AL10" s="54">
        <f>((AM5+INT((AN5*5)/2)*0.18)+0.2)*5</f>
        <v>4244.3</v>
      </c>
      <c r="AM10" s="10" t="s">
        <v>9</v>
      </c>
      <c r="AN10" s="10" t="s">
        <v>9</v>
      </c>
      <c r="AO10" s="87" t="s">
        <v>39</v>
      </c>
      <c r="AP10" s="88"/>
      <c r="AQ10" s="89"/>
      <c r="AR10" s="75"/>
      <c r="AS10" s="55" t="s">
        <v>40</v>
      </c>
      <c r="AT10" s="54">
        <f>(AV5-AW5/2)*5</f>
        <v>4120</v>
      </c>
      <c r="AU10" s="54">
        <f>(AV5+AW5/2)*5</f>
        <v>4145</v>
      </c>
      <c r="AV10" s="10" t="s">
        <v>9</v>
      </c>
      <c r="AW10" s="10" t="s">
        <v>9</v>
      </c>
      <c r="AX10" s="87" t="s">
        <v>39</v>
      </c>
      <c r="AY10" s="88"/>
      <c r="AZ10" s="89"/>
      <c r="BA10" s="75"/>
      <c r="BB10" s="55" t="s">
        <v>40</v>
      </c>
      <c r="BC10" s="54">
        <f>(BE5-BF5/2)*5</f>
        <v>4220</v>
      </c>
      <c r="BD10" s="54">
        <f>(BE5+BF5/2)*5</f>
        <v>4245</v>
      </c>
      <c r="BE10" s="10" t="s">
        <v>9</v>
      </c>
      <c r="BF10" s="10" t="s">
        <v>9</v>
      </c>
      <c r="BG10" s="87" t="s">
        <v>39</v>
      </c>
      <c r="BH10" s="88"/>
      <c r="BI10" s="89"/>
      <c r="BJ10" s="75"/>
      <c r="BK10" s="55" t="s">
        <v>40</v>
      </c>
      <c r="BL10" s="54">
        <f>((BN5-(INT((BO5*5)/2)-0.5)*0.18)-0.2)*5</f>
        <v>4121.95</v>
      </c>
      <c r="BM10" s="54">
        <f>((BN5-(INT((BO5*5)/2)-0.5)*0.18)+0.2)*5</f>
        <v>4123.9500000000007</v>
      </c>
      <c r="BN10" s="10" t="s">
        <v>9</v>
      </c>
      <c r="BO10" s="10" t="s">
        <v>9</v>
      </c>
      <c r="BP10" s="87" t="s">
        <v>39</v>
      </c>
      <c r="BQ10" s="88"/>
      <c r="BR10" s="89"/>
      <c r="BS10" s="75"/>
      <c r="BT10" s="55" t="s">
        <v>40</v>
      </c>
      <c r="BU10" s="54">
        <f>((BW5+(INT((BX5*5)/2)-0.5)*0.18)-0.2)*5</f>
        <v>4241.0499999999993</v>
      </c>
      <c r="BV10" s="54">
        <f>((BW5+(INT((BX5*5)/2)-0.5)*0.18)+0.2)*5</f>
        <v>4243.05</v>
      </c>
      <c r="BW10" s="10" t="s">
        <v>9</v>
      </c>
      <c r="BX10" s="10" t="s">
        <v>9</v>
      </c>
      <c r="BY10" s="87" t="s">
        <v>39</v>
      </c>
      <c r="BZ10" s="88"/>
      <c r="CA10" s="89"/>
      <c r="CB10" s="75"/>
      <c r="CC10" s="55" t="s">
        <v>40</v>
      </c>
      <c r="CD10" s="54">
        <f>(CF5-CG5/2)*5</f>
        <v>4120</v>
      </c>
      <c r="CE10" s="54">
        <f>(CF5+CG5/2)*5</f>
        <v>4170</v>
      </c>
      <c r="CF10" s="10" t="s">
        <v>9</v>
      </c>
      <c r="CG10" s="10" t="s">
        <v>9</v>
      </c>
      <c r="CH10" s="87" t="s">
        <v>39</v>
      </c>
      <c r="CI10" s="88"/>
      <c r="CJ10" s="89"/>
      <c r="CK10" s="75"/>
      <c r="CL10" s="55" t="s">
        <v>40</v>
      </c>
      <c r="CM10" s="54">
        <f>(CO5-CP5/2)*5</f>
        <v>4195</v>
      </c>
      <c r="CN10" s="54">
        <f>(CO5+CP5/2)*5</f>
        <v>4245</v>
      </c>
      <c r="CO10" s="10" t="s">
        <v>9</v>
      </c>
      <c r="CP10" s="10" t="s">
        <v>9</v>
      </c>
      <c r="CQ10" s="87" t="s">
        <v>35</v>
      </c>
      <c r="CR10" s="88"/>
      <c r="CS10" s="89"/>
      <c r="CT10" s="75"/>
      <c r="CU10" s="55" t="s">
        <v>40</v>
      </c>
    </row>
    <row r="11" spans="1:99" ht="15">
      <c r="A11" s="54">
        <f>((C5-2.5*0.18)-0.2)*6</f>
        <v>4944.2999999999993</v>
      </c>
      <c r="B11" s="54">
        <f>((C5-2.5*0.18)+0.2)*6</f>
        <v>4946.7000000000007</v>
      </c>
      <c r="C11" s="10" t="s">
        <v>9</v>
      </c>
      <c r="D11" s="10" t="s">
        <v>9</v>
      </c>
      <c r="E11" s="90" t="s">
        <v>35</v>
      </c>
      <c r="F11" s="90"/>
      <c r="G11" s="90"/>
      <c r="H11" s="75"/>
      <c r="I11" s="55" t="s">
        <v>41</v>
      </c>
      <c r="J11" s="54">
        <f>((L5-2.5*0.18)-0.2)*6</f>
        <v>5085.8999999999996</v>
      </c>
      <c r="K11" s="54">
        <f>((L5-2.5*0.18)+0.2)*6</f>
        <v>5088.2999999999993</v>
      </c>
      <c r="L11" s="10" t="s">
        <v>9</v>
      </c>
      <c r="M11" s="10" t="s">
        <v>9</v>
      </c>
      <c r="N11" s="90" t="s">
        <v>35</v>
      </c>
      <c r="O11" s="90"/>
      <c r="P11" s="90"/>
      <c r="Q11" s="75"/>
      <c r="R11" s="55" t="s">
        <v>41</v>
      </c>
      <c r="S11" s="54">
        <f>((U5-INT((V5*5)/2)*0.18)-0.2)*6</f>
        <v>4944.84</v>
      </c>
      <c r="T11" s="54">
        <f>((U5-INT((V5*5)/2)*0.18)+0.2)*6</f>
        <v>4947.2400000000007</v>
      </c>
      <c r="U11" s="10" t="s">
        <v>9</v>
      </c>
      <c r="V11" s="10" t="s">
        <v>9</v>
      </c>
      <c r="W11" s="90" t="s">
        <v>35</v>
      </c>
      <c r="X11" s="90"/>
      <c r="Y11" s="90"/>
      <c r="Z11" s="75"/>
      <c r="AA11" s="55" t="s">
        <v>41</v>
      </c>
      <c r="AB11" s="54">
        <f>((AD5-INT((AE5*5)/2)*0.18)-0.2)*6</f>
        <v>5004.84</v>
      </c>
      <c r="AC11" s="54">
        <f>((AD5-INT((AE5*5)/2)*0.18)+0.2)*6</f>
        <v>5007.2400000000007</v>
      </c>
      <c r="AD11" s="10" t="s">
        <v>9</v>
      </c>
      <c r="AE11" s="10" t="s">
        <v>9</v>
      </c>
      <c r="AF11" s="90" t="s">
        <v>35</v>
      </c>
      <c r="AG11" s="90"/>
      <c r="AH11" s="90"/>
      <c r="AI11" s="75"/>
      <c r="AJ11" s="55" t="s">
        <v>41</v>
      </c>
      <c r="AK11" s="54">
        <f>((AM5+INT((AN5*5)/2)*0.18)-0.2)*6</f>
        <v>5090.7599999999993</v>
      </c>
      <c r="AL11" s="54">
        <f>((AM5+INT((AN5*5)/2)*0.18)+0.2)*6</f>
        <v>5093.16</v>
      </c>
      <c r="AM11" s="10" t="s">
        <v>9</v>
      </c>
      <c r="AN11" s="10" t="s">
        <v>9</v>
      </c>
      <c r="AO11" s="87" t="s">
        <v>39</v>
      </c>
      <c r="AP11" s="88"/>
      <c r="AQ11" s="89"/>
      <c r="AR11" s="75"/>
      <c r="AS11" s="55" t="s">
        <v>41</v>
      </c>
      <c r="AT11" s="54">
        <f>(AV5-AW5/2)*6</f>
        <v>4944</v>
      </c>
      <c r="AU11" s="54">
        <f>(AV5+AW5/2)*6</f>
        <v>4974</v>
      </c>
      <c r="AV11" s="10" t="s">
        <v>9</v>
      </c>
      <c r="AW11" s="10" t="s">
        <v>9</v>
      </c>
      <c r="AX11" s="87" t="s">
        <v>39</v>
      </c>
      <c r="AY11" s="88"/>
      <c r="AZ11" s="89"/>
      <c r="BA11" s="75"/>
      <c r="BB11" s="55" t="s">
        <v>41</v>
      </c>
      <c r="BC11" s="54">
        <f>(BE5-BF5/2)*6</f>
        <v>5064</v>
      </c>
      <c r="BD11" s="54">
        <f>(BE5+BF5/2)*6</f>
        <v>5094</v>
      </c>
      <c r="BE11" s="10" t="s">
        <v>9</v>
      </c>
      <c r="BF11" s="10" t="s">
        <v>9</v>
      </c>
      <c r="BG11" s="87" t="s">
        <v>39</v>
      </c>
      <c r="BH11" s="88"/>
      <c r="BI11" s="89"/>
      <c r="BJ11" s="75"/>
      <c r="BK11" s="55" t="s">
        <v>41</v>
      </c>
      <c r="BL11" s="54">
        <f>((BN5-(INT((BO5*5)/2)-0.5)*0.18)-0.2)*6</f>
        <v>4946.34</v>
      </c>
      <c r="BM11" s="54">
        <f>((BN5-(INT((BO5*5)/2)-0.5)*0.18)+0.2)*6</f>
        <v>4948.7400000000007</v>
      </c>
      <c r="BN11" s="10" t="s">
        <v>9</v>
      </c>
      <c r="BO11" s="10" t="s">
        <v>9</v>
      </c>
      <c r="BP11" s="87" t="s">
        <v>39</v>
      </c>
      <c r="BQ11" s="88"/>
      <c r="BR11" s="89"/>
      <c r="BS11" s="75"/>
      <c r="BT11" s="55" t="s">
        <v>41</v>
      </c>
      <c r="BU11" s="54">
        <f>((BW5+(INT((BX5*5)/2)-0.5)*0.18)-0.2)*6</f>
        <v>5089.2599999999993</v>
      </c>
      <c r="BV11" s="54">
        <f>((BW5+(INT((BX5*5)/2)-0.5)*0.18)+0.2)*6</f>
        <v>5091.66</v>
      </c>
      <c r="BW11" s="10" t="s">
        <v>9</v>
      </c>
      <c r="BX11" s="10" t="s">
        <v>9</v>
      </c>
      <c r="BY11" s="87" t="s">
        <v>39</v>
      </c>
      <c r="BZ11" s="88"/>
      <c r="CA11" s="89"/>
      <c r="CB11" s="75"/>
      <c r="CC11" s="55" t="s">
        <v>41</v>
      </c>
      <c r="CD11" s="54">
        <f>(CF5-CG5/2)*6</f>
        <v>4944</v>
      </c>
      <c r="CE11" s="54">
        <f>(CF5+CG5/2)*6</f>
        <v>5004</v>
      </c>
      <c r="CF11" s="10" t="s">
        <v>9</v>
      </c>
      <c r="CG11" s="10" t="s">
        <v>9</v>
      </c>
      <c r="CH11" s="87" t="s">
        <v>39</v>
      </c>
      <c r="CI11" s="88"/>
      <c r="CJ11" s="89"/>
      <c r="CK11" s="75"/>
      <c r="CL11" s="55" t="s">
        <v>41</v>
      </c>
      <c r="CM11" s="54">
        <f>(CO5-CP5/2)*6</f>
        <v>5034</v>
      </c>
      <c r="CN11" s="54">
        <f>(CO5+CP5/2)*6</f>
        <v>5094</v>
      </c>
      <c r="CO11" s="10" t="s">
        <v>9</v>
      </c>
      <c r="CP11" s="10" t="s">
        <v>9</v>
      </c>
      <c r="CQ11" s="87" t="s">
        <v>35</v>
      </c>
      <c r="CR11" s="88"/>
      <c r="CS11" s="89"/>
      <c r="CT11" s="75"/>
      <c r="CU11" s="55" t="s">
        <v>41</v>
      </c>
    </row>
    <row r="12" spans="1:99" ht="15">
      <c r="A12" s="54">
        <f>((C5-2.5*0.18)-0.2)*7</f>
        <v>5768.3499999999995</v>
      </c>
      <c r="B12" s="54">
        <f>((C5-2.5*0.18)+0.2)*7</f>
        <v>5771.1500000000005</v>
      </c>
      <c r="C12" s="10" t="s">
        <v>9</v>
      </c>
      <c r="D12" s="10" t="s">
        <v>9</v>
      </c>
      <c r="E12" s="90" t="s">
        <v>35</v>
      </c>
      <c r="F12" s="90"/>
      <c r="G12" s="90"/>
      <c r="H12" s="75"/>
      <c r="I12" s="55" t="s">
        <v>62</v>
      </c>
      <c r="J12" s="54">
        <f>((L5-2.5*0.18)-0.2)*7</f>
        <v>5933.5499999999993</v>
      </c>
      <c r="K12" s="54">
        <f>((L5-2.5*0.18)+0.2)*7</f>
        <v>5936.3499999999995</v>
      </c>
      <c r="L12" s="10" t="s">
        <v>63</v>
      </c>
      <c r="M12" s="10" t="s">
        <v>9</v>
      </c>
      <c r="N12" s="87" t="s">
        <v>39</v>
      </c>
      <c r="O12" s="88"/>
      <c r="P12" s="89"/>
      <c r="Q12" s="75"/>
      <c r="R12" s="55" t="s">
        <v>62</v>
      </c>
      <c r="S12" s="54">
        <f>((U5-INT((V5*5)/2)*0.18)-0.2)*7</f>
        <v>5768.98</v>
      </c>
      <c r="T12" s="54">
        <f>((U5-INT((V5*5)/2)*0.18)+0.2)*7</f>
        <v>5771.7800000000007</v>
      </c>
      <c r="U12" s="10" t="s">
        <v>63</v>
      </c>
      <c r="V12" s="10" t="s">
        <v>9</v>
      </c>
      <c r="W12" s="87" t="s">
        <v>39</v>
      </c>
      <c r="X12" s="88"/>
      <c r="Y12" s="89"/>
      <c r="Z12" s="75"/>
      <c r="AA12" s="55" t="s">
        <v>62</v>
      </c>
      <c r="AB12" s="54">
        <f>((AD5-INT((AE5*5)/2)*0.18)-0.2)*7</f>
        <v>5838.98</v>
      </c>
      <c r="AC12" s="54">
        <f>((AD5-INT((AE5*5)/2)*0.18)+0.2)*7</f>
        <v>5841.7800000000007</v>
      </c>
      <c r="AD12" s="10" t="s">
        <v>9</v>
      </c>
      <c r="AE12" s="10" t="s">
        <v>9</v>
      </c>
      <c r="AF12" s="90" t="s">
        <v>64</v>
      </c>
      <c r="AG12" s="90"/>
      <c r="AH12" s="90"/>
      <c r="AI12" s="75"/>
      <c r="AJ12" s="55" t="s">
        <v>65</v>
      </c>
      <c r="AK12" s="54">
        <f>((AM5+INT((AN5*5)/2)*0.18)-0.2)*7</f>
        <v>5939.2199999999993</v>
      </c>
      <c r="AL12" s="54">
        <f>((AM5+INT((AN5*5)/2)*0.18)+0.2)*7</f>
        <v>5942.02</v>
      </c>
      <c r="AM12" s="10" t="s">
        <v>9</v>
      </c>
      <c r="AN12" s="10" t="s">
        <v>9</v>
      </c>
      <c r="AO12" s="87" t="s">
        <v>39</v>
      </c>
      <c r="AP12" s="88"/>
      <c r="AQ12" s="89"/>
      <c r="AR12" s="75"/>
      <c r="AS12" s="55" t="s">
        <v>65</v>
      </c>
      <c r="AT12" s="54">
        <f>(AV5-AW5/2)*7</f>
        <v>5768</v>
      </c>
      <c r="AU12" s="54">
        <f>(AV5+AW5/2)*7</f>
        <v>5803</v>
      </c>
      <c r="AV12" s="10" t="s">
        <v>9</v>
      </c>
      <c r="AW12" s="10" t="s">
        <v>9</v>
      </c>
      <c r="AX12" s="87" t="s">
        <v>39</v>
      </c>
      <c r="AY12" s="88"/>
      <c r="AZ12" s="89"/>
      <c r="BA12" s="75"/>
      <c r="BB12" s="55" t="s">
        <v>65</v>
      </c>
      <c r="BC12" s="54">
        <f>(BE5-BF5/2)*7</f>
        <v>5908</v>
      </c>
      <c r="BD12" s="54">
        <f>(BE5+BF5/2)*7</f>
        <v>5943</v>
      </c>
      <c r="BE12" s="10" t="s">
        <v>9</v>
      </c>
      <c r="BF12" s="10" t="s">
        <v>9</v>
      </c>
      <c r="BG12" s="87" t="s">
        <v>64</v>
      </c>
      <c r="BH12" s="88"/>
      <c r="BI12" s="89"/>
      <c r="BJ12" s="75"/>
      <c r="BK12" s="55" t="s">
        <v>65</v>
      </c>
      <c r="BL12" s="54">
        <f>((BN5-(INT((BO5*5)/2)-0.5)*0.18)-0.2)*7</f>
        <v>5770.73</v>
      </c>
      <c r="BM12" s="54">
        <f>((BN5-(INT((BO5*5)/2)-0.5)*0.18)+0.2)*7</f>
        <v>5773.5300000000007</v>
      </c>
      <c r="BN12" s="10" t="s">
        <v>9</v>
      </c>
      <c r="BO12" s="10" t="s">
        <v>9</v>
      </c>
      <c r="BP12" s="87" t="s">
        <v>39</v>
      </c>
      <c r="BQ12" s="88"/>
      <c r="BR12" s="89"/>
      <c r="BS12" s="75"/>
      <c r="BT12" s="55" t="s">
        <v>65</v>
      </c>
      <c r="BU12" s="54">
        <f>((BW5+(INT((BX5*5)/2)-0.5)*0.18)-0.2)*7</f>
        <v>5937.4699999999993</v>
      </c>
      <c r="BV12" s="54">
        <f>((BW5+(INT((BX5*5)/2)-0.5)*0.18)+0.2)*7</f>
        <v>5940.27</v>
      </c>
      <c r="BW12" s="10" t="s">
        <v>9</v>
      </c>
      <c r="BX12" s="10" t="s">
        <v>9</v>
      </c>
      <c r="BY12" s="87" t="s">
        <v>39</v>
      </c>
      <c r="BZ12" s="88"/>
      <c r="CA12" s="89"/>
      <c r="CB12" s="75"/>
      <c r="CC12" s="55" t="s">
        <v>65</v>
      </c>
      <c r="CD12" s="54">
        <f>(CF5-CG5/2)*7</f>
        <v>5768</v>
      </c>
      <c r="CE12" s="54">
        <f>(CF5+CG5/2)*7</f>
        <v>5838</v>
      </c>
      <c r="CF12" s="10" t="s">
        <v>9</v>
      </c>
      <c r="CG12" s="10" t="s">
        <v>9</v>
      </c>
      <c r="CH12" s="87" t="s">
        <v>39</v>
      </c>
      <c r="CI12" s="88"/>
      <c r="CJ12" s="89"/>
      <c r="CK12" s="75"/>
      <c r="CL12" s="55" t="s">
        <v>65</v>
      </c>
      <c r="CM12" s="54">
        <f>(CO5-CP5/2)*7</f>
        <v>5873</v>
      </c>
      <c r="CN12" s="54">
        <f>(CO5+CP5/2)*7</f>
        <v>5943</v>
      </c>
      <c r="CO12" s="10" t="s">
        <v>9</v>
      </c>
      <c r="CP12" s="10" t="s">
        <v>9</v>
      </c>
      <c r="CQ12" s="87" t="s">
        <v>64</v>
      </c>
      <c r="CR12" s="88"/>
      <c r="CS12" s="89"/>
      <c r="CT12" s="75"/>
      <c r="CU12" s="55" t="s">
        <v>65</v>
      </c>
    </row>
    <row r="13" spans="1:99" ht="15">
      <c r="A13" s="54">
        <f>((C5-2.5*0.18)-0.2)*8</f>
        <v>6592.4</v>
      </c>
      <c r="B13" s="54">
        <f>((C5-2.5*0.18)+0.2)*8</f>
        <v>6595.6</v>
      </c>
      <c r="C13" s="10" t="s">
        <v>9</v>
      </c>
      <c r="D13" s="10" t="s">
        <v>9</v>
      </c>
      <c r="E13" s="90" t="s">
        <v>35</v>
      </c>
      <c r="F13" s="90"/>
      <c r="G13" s="90"/>
      <c r="H13" s="75"/>
      <c r="I13" s="55" t="s">
        <v>66</v>
      </c>
      <c r="J13" s="54">
        <f>((L5-2.5*0.18)-0.2)*8</f>
        <v>6781.1999999999989</v>
      </c>
      <c r="K13" s="54">
        <f>((L5-2.5*0.18)+0.2)*8</f>
        <v>6784.4</v>
      </c>
      <c r="L13" s="10" t="s">
        <v>9</v>
      </c>
      <c r="M13" s="10" t="s">
        <v>9</v>
      </c>
      <c r="N13" s="87" t="s">
        <v>39</v>
      </c>
      <c r="O13" s="88"/>
      <c r="P13" s="89"/>
      <c r="Q13" s="75"/>
      <c r="R13" s="55" t="s">
        <v>66</v>
      </c>
      <c r="S13" s="54">
        <f>((U5-INT((V5*5)/2)*0.18)-0.2)*8</f>
        <v>6593.12</v>
      </c>
      <c r="T13" s="54">
        <f>((U5-INT((V5*5)/2)*0.18)+0.2)*8</f>
        <v>6596.3200000000006</v>
      </c>
      <c r="U13" s="10" t="s">
        <v>9</v>
      </c>
      <c r="V13" s="10" t="s">
        <v>9</v>
      </c>
      <c r="W13" s="87" t="s">
        <v>39</v>
      </c>
      <c r="X13" s="88"/>
      <c r="Y13" s="89"/>
      <c r="Z13" s="75"/>
      <c r="AA13" s="55" t="s">
        <v>66</v>
      </c>
      <c r="AB13" s="54">
        <f>((AD5-INT((AE5*5)/2)*0.18)-0.2)*8</f>
        <v>6673.12</v>
      </c>
      <c r="AC13" s="54">
        <f>((AD5-INT((AE5*5)/2)*0.18)+0.2)*8</f>
        <v>6676.3200000000006</v>
      </c>
      <c r="AD13" s="10" t="s">
        <v>9</v>
      </c>
      <c r="AE13" s="10" t="s">
        <v>9</v>
      </c>
      <c r="AF13" s="90" t="s">
        <v>67</v>
      </c>
      <c r="AG13" s="90"/>
      <c r="AH13" s="90"/>
      <c r="AI13" s="75"/>
      <c r="AJ13" s="55" t="s">
        <v>68</v>
      </c>
      <c r="AK13" s="54">
        <f>((AM5+INT((AN5*5)/2)*0.18)-0.2)*8</f>
        <v>6787.6799999999994</v>
      </c>
      <c r="AL13" s="54">
        <f>((AM5+INT((AN5*5)/2)*0.18)+0.2)*8</f>
        <v>6790.88</v>
      </c>
      <c r="AM13" s="10" t="s">
        <v>9</v>
      </c>
      <c r="AN13" s="10" t="s">
        <v>9</v>
      </c>
      <c r="AO13" s="87" t="s">
        <v>39</v>
      </c>
      <c r="AP13" s="88"/>
      <c r="AQ13" s="89"/>
      <c r="AR13" s="75"/>
      <c r="AS13" s="55" t="s">
        <v>68</v>
      </c>
      <c r="AT13" s="54">
        <f>(AV5-AW5/2)*8</f>
        <v>6592</v>
      </c>
      <c r="AU13" s="54">
        <f>(AV5+AW5/2)*8</f>
        <v>6632</v>
      </c>
      <c r="AV13" s="10" t="s">
        <v>9</v>
      </c>
      <c r="AW13" s="10" t="s">
        <v>9</v>
      </c>
      <c r="AX13" s="87" t="s">
        <v>39</v>
      </c>
      <c r="AY13" s="88"/>
      <c r="AZ13" s="89"/>
      <c r="BA13" s="75"/>
      <c r="BB13" s="55" t="s">
        <v>68</v>
      </c>
      <c r="BC13" s="54">
        <f>(BE5-BF5/2)*8</f>
        <v>6752</v>
      </c>
      <c r="BD13" s="54">
        <f>(BE5+BF5/2)*8</f>
        <v>6792</v>
      </c>
      <c r="BE13" s="10" t="s">
        <v>9</v>
      </c>
      <c r="BF13" s="10" t="s">
        <v>9</v>
      </c>
      <c r="BG13" s="87" t="s">
        <v>67</v>
      </c>
      <c r="BH13" s="88"/>
      <c r="BI13" s="89"/>
      <c r="BJ13" s="75"/>
      <c r="BK13" s="55" t="s">
        <v>68</v>
      </c>
      <c r="BL13" s="54">
        <f>((BN5-(INT((BO5*5)/2)-0.5)*0.18)-0.2)*8</f>
        <v>6595.12</v>
      </c>
      <c r="BM13" s="54">
        <f>((BN5-(INT((BO5*5)/2)-0.5)*0.18)+0.2)*8</f>
        <v>6598.3200000000006</v>
      </c>
      <c r="BN13" s="10" t="s">
        <v>9</v>
      </c>
      <c r="BO13" s="10" t="s">
        <v>9</v>
      </c>
      <c r="BP13" s="87" t="s">
        <v>39</v>
      </c>
      <c r="BQ13" s="88"/>
      <c r="BR13" s="89"/>
      <c r="BS13" s="75"/>
      <c r="BT13" s="55" t="s">
        <v>68</v>
      </c>
      <c r="BU13" s="54">
        <f>((BW5+(INT((BX5*5)/2)-0.5)*0.18)-0.2)*8</f>
        <v>6785.6799999999994</v>
      </c>
      <c r="BV13" s="54">
        <f>((BW5+(INT((BX5*5)/2)-0.5)*0.18)+0.2)*8</f>
        <v>6788.88</v>
      </c>
      <c r="BW13" s="10" t="s">
        <v>9</v>
      </c>
      <c r="BX13" s="10" t="s">
        <v>9</v>
      </c>
      <c r="BY13" s="87" t="s">
        <v>39</v>
      </c>
      <c r="BZ13" s="88"/>
      <c r="CA13" s="89"/>
      <c r="CB13" s="75"/>
      <c r="CC13" s="55" t="s">
        <v>68</v>
      </c>
      <c r="CD13" s="54">
        <f>(CF5-CG5/2)*8</f>
        <v>6592</v>
      </c>
      <c r="CE13" s="54">
        <f>(CF5+CG5/2)*8</f>
        <v>6672</v>
      </c>
      <c r="CF13" s="10" t="s">
        <v>9</v>
      </c>
      <c r="CG13" s="10" t="s">
        <v>9</v>
      </c>
      <c r="CH13" s="87" t="s">
        <v>39</v>
      </c>
      <c r="CI13" s="88"/>
      <c r="CJ13" s="89"/>
      <c r="CK13" s="75"/>
      <c r="CL13" s="55" t="s">
        <v>68</v>
      </c>
      <c r="CM13" s="54">
        <f>(CO5-CP5/2)*8</f>
        <v>6712</v>
      </c>
      <c r="CN13" s="54">
        <f>(CO5+CP5/2)*8</f>
        <v>6792</v>
      </c>
      <c r="CO13" s="10" t="s">
        <v>9</v>
      </c>
      <c r="CP13" s="10" t="s">
        <v>9</v>
      </c>
      <c r="CQ13" s="87" t="s">
        <v>67</v>
      </c>
      <c r="CR13" s="88"/>
      <c r="CS13" s="89"/>
      <c r="CT13" s="75"/>
      <c r="CU13" s="55" t="s">
        <v>68</v>
      </c>
    </row>
    <row r="14" spans="1:99" ht="15">
      <c r="A14" s="54">
        <f>((C5-2.5*0.18)-0.2)*9</f>
        <v>7416.45</v>
      </c>
      <c r="B14" s="54">
        <f>((C5-2.5*0.18)+0.2)*9</f>
        <v>7420.05</v>
      </c>
      <c r="C14" s="10" t="s">
        <v>9</v>
      </c>
      <c r="D14" s="10" t="s">
        <v>9</v>
      </c>
      <c r="E14" s="90" t="s">
        <v>35</v>
      </c>
      <c r="F14" s="90"/>
      <c r="G14" s="90"/>
      <c r="H14" s="75"/>
      <c r="I14" s="55" t="s">
        <v>69</v>
      </c>
      <c r="J14" s="54">
        <f>((L5-2.5*0.18)-0.2)*9</f>
        <v>7628.8499999999985</v>
      </c>
      <c r="K14" s="54">
        <f>((L5-2.5*0.18)+0.2)*9</f>
        <v>7632.45</v>
      </c>
      <c r="L14" s="10" t="s">
        <v>9</v>
      </c>
      <c r="M14" s="10" t="s">
        <v>9</v>
      </c>
      <c r="N14" s="87" t="s">
        <v>39</v>
      </c>
      <c r="O14" s="88"/>
      <c r="P14" s="89"/>
      <c r="Q14" s="75"/>
      <c r="R14" s="55" t="s">
        <v>69</v>
      </c>
      <c r="S14" s="54">
        <f>((U5-INT((V5*5)/2)*0.18)-0.2)*9</f>
        <v>7417.26</v>
      </c>
      <c r="T14" s="54">
        <f>((U5-INT((V5*5)/2)*0.18)+0.2)*9</f>
        <v>7420.8600000000006</v>
      </c>
      <c r="U14" s="10" t="s">
        <v>9</v>
      </c>
      <c r="V14" s="10" t="s">
        <v>9</v>
      </c>
      <c r="W14" s="87" t="s">
        <v>39</v>
      </c>
      <c r="X14" s="88"/>
      <c r="Y14" s="89"/>
      <c r="Z14" s="75"/>
      <c r="AA14" s="55" t="s">
        <v>69</v>
      </c>
      <c r="AB14" s="54">
        <f>((AD5-INT((AE5*5)/2)*0.18)-0.2)*9</f>
        <v>7507.26</v>
      </c>
      <c r="AC14" s="54">
        <f>((AD5-INT((AE5*5)/2)*0.18)+0.2)*9</f>
        <v>7510.8600000000006</v>
      </c>
      <c r="AD14" s="10" t="s">
        <v>9</v>
      </c>
      <c r="AE14" s="10" t="s">
        <v>9</v>
      </c>
      <c r="AF14" s="90" t="s">
        <v>70</v>
      </c>
      <c r="AG14" s="90"/>
      <c r="AH14" s="90"/>
      <c r="AI14" s="75"/>
      <c r="AJ14" s="55" t="s">
        <v>71</v>
      </c>
      <c r="AK14" s="54">
        <f>((AM5+INT((AN5*5)/2)*0.18)-0.2)*9</f>
        <v>7636.1399999999994</v>
      </c>
      <c r="AL14" s="54">
        <f>((AM5+INT((AN5*5)/2)*0.18)+0.2)*9</f>
        <v>7639.74</v>
      </c>
      <c r="AM14" s="10" t="s">
        <v>9</v>
      </c>
      <c r="AN14" s="10" t="s">
        <v>9</v>
      </c>
      <c r="AO14" s="87" t="s">
        <v>39</v>
      </c>
      <c r="AP14" s="88"/>
      <c r="AQ14" s="89"/>
      <c r="AR14" s="75"/>
      <c r="AS14" s="55" t="s">
        <v>71</v>
      </c>
      <c r="AT14" s="54">
        <f>(AV5-AW5/2)*9</f>
        <v>7416</v>
      </c>
      <c r="AU14" s="54">
        <f>(AV5+AW5/2)*9</f>
        <v>7461</v>
      </c>
      <c r="AV14" s="10" t="s">
        <v>9</v>
      </c>
      <c r="AW14" s="10" t="s">
        <v>9</v>
      </c>
      <c r="AX14" s="87" t="s">
        <v>39</v>
      </c>
      <c r="AY14" s="88"/>
      <c r="AZ14" s="89"/>
      <c r="BA14" s="75"/>
      <c r="BB14" s="55" t="s">
        <v>71</v>
      </c>
      <c r="BC14" s="54">
        <f>(BE5-BF5/2)*9</f>
        <v>7596</v>
      </c>
      <c r="BD14" s="54">
        <f>(BE5+BF5/2)*9</f>
        <v>7641</v>
      </c>
      <c r="BE14" s="10" t="s">
        <v>9</v>
      </c>
      <c r="BF14" s="10" t="s">
        <v>9</v>
      </c>
      <c r="BG14" s="87" t="s">
        <v>70</v>
      </c>
      <c r="BH14" s="88"/>
      <c r="BI14" s="89"/>
      <c r="BJ14" s="75"/>
      <c r="BK14" s="55" t="s">
        <v>71</v>
      </c>
      <c r="BL14" s="54">
        <f>((BN5-(INT((BO5*5)/2)-0.5)*0.18)-0.2)*9</f>
        <v>7419.51</v>
      </c>
      <c r="BM14" s="54">
        <f>((BN5-(INT((BO5*5)/2)-0.5)*0.18)+0.2)*9</f>
        <v>7423.1100000000006</v>
      </c>
      <c r="BN14" s="10" t="s">
        <v>9</v>
      </c>
      <c r="BO14" s="10" t="s">
        <v>9</v>
      </c>
      <c r="BP14" s="87" t="s">
        <v>39</v>
      </c>
      <c r="BQ14" s="88"/>
      <c r="BR14" s="89"/>
      <c r="BS14" s="75"/>
      <c r="BT14" s="55" t="s">
        <v>71</v>
      </c>
      <c r="BU14" s="54">
        <f>((BW5+(INT((BX5*5)/2)-0.5)*0.18)-0.2)*9</f>
        <v>7633.8899999999994</v>
      </c>
      <c r="BV14" s="54">
        <f>((BW5+(INT((BX5*5)/2)-0.5)*0.18)+0.2)*9</f>
        <v>7637.49</v>
      </c>
      <c r="BW14" s="10" t="s">
        <v>9</v>
      </c>
      <c r="BX14" s="10" t="s">
        <v>9</v>
      </c>
      <c r="BY14" s="87" t="s">
        <v>39</v>
      </c>
      <c r="BZ14" s="88"/>
      <c r="CA14" s="89"/>
      <c r="CB14" s="75"/>
      <c r="CC14" s="55" t="s">
        <v>71</v>
      </c>
      <c r="CD14" s="54">
        <f>(CF5-CG5/2)*9</f>
        <v>7416</v>
      </c>
      <c r="CE14" s="54">
        <f>(CF5+CG5/2)*9</f>
        <v>7506</v>
      </c>
      <c r="CF14" s="10" t="s">
        <v>9</v>
      </c>
      <c r="CG14" s="10" t="s">
        <v>9</v>
      </c>
      <c r="CH14" s="87" t="s">
        <v>39</v>
      </c>
      <c r="CI14" s="88"/>
      <c r="CJ14" s="89"/>
      <c r="CK14" s="75"/>
      <c r="CL14" s="55" t="s">
        <v>71</v>
      </c>
      <c r="CM14" s="54">
        <f>(CO5-CP5/2)*9</f>
        <v>7551</v>
      </c>
      <c r="CN14" s="54">
        <f>(CO5+CP5/2)*9</f>
        <v>7641</v>
      </c>
      <c r="CO14" s="10" t="s">
        <v>9</v>
      </c>
      <c r="CP14" s="10" t="s">
        <v>9</v>
      </c>
      <c r="CQ14" s="87" t="s">
        <v>70</v>
      </c>
      <c r="CR14" s="88"/>
      <c r="CS14" s="89"/>
      <c r="CT14" s="75"/>
      <c r="CU14" s="55" t="s">
        <v>71</v>
      </c>
    </row>
    <row r="15" spans="1:99" ht="15">
      <c r="A15" s="54">
        <f>((C5-2.5*0.18)-0.2)*10</f>
        <v>8240.5</v>
      </c>
      <c r="B15" s="54">
        <f>((C5-2.5*0.18)+0.2)*10</f>
        <v>8244.5</v>
      </c>
      <c r="C15" s="10" t="s">
        <v>9</v>
      </c>
      <c r="D15" s="10" t="s">
        <v>9</v>
      </c>
      <c r="E15" s="90" t="s">
        <v>35</v>
      </c>
      <c r="F15" s="90"/>
      <c r="G15" s="90"/>
      <c r="H15" s="75"/>
      <c r="I15" s="55" t="s">
        <v>72</v>
      </c>
      <c r="J15" s="54">
        <f>((L5-2.5*0.18)-0.2)*10</f>
        <v>8476.4999999999982</v>
      </c>
      <c r="K15" s="54">
        <f>((L5-2.5*0.18)+0.2)*10</f>
        <v>8480.5</v>
      </c>
      <c r="L15" s="10" t="s">
        <v>9</v>
      </c>
      <c r="M15" s="10" t="s">
        <v>9</v>
      </c>
      <c r="N15" s="87" t="s">
        <v>39</v>
      </c>
      <c r="O15" s="88"/>
      <c r="P15" s="89"/>
      <c r="Q15" s="75"/>
      <c r="R15" s="55" t="s">
        <v>72</v>
      </c>
      <c r="S15" s="54">
        <f>((U5-INT((V5*5)/2)*0.18)-0.2)*10</f>
        <v>8241.4</v>
      </c>
      <c r="T15" s="54">
        <f>((U5-INT((V5*5)/2)*0.18)+0.2)*10</f>
        <v>8245.4000000000015</v>
      </c>
      <c r="U15" s="10" t="s">
        <v>9</v>
      </c>
      <c r="V15" s="10" t="s">
        <v>9</v>
      </c>
      <c r="W15" s="87" t="s">
        <v>39</v>
      </c>
      <c r="X15" s="88"/>
      <c r="Y15" s="89"/>
      <c r="Z15" s="75"/>
      <c r="AA15" s="55" t="s">
        <v>72</v>
      </c>
      <c r="AB15" s="54">
        <f>((AD5-INT((AE5*5)/2)*0.18)-0.2)*10</f>
        <v>8341.4</v>
      </c>
      <c r="AC15" s="54">
        <f>((AD5-INT((AE5*5)/2)*0.18)+0.2)*10</f>
        <v>8345.4000000000015</v>
      </c>
      <c r="AD15" s="10" t="s">
        <v>9</v>
      </c>
      <c r="AE15" s="10" t="s">
        <v>9</v>
      </c>
      <c r="AF15" s="90" t="s">
        <v>73</v>
      </c>
      <c r="AG15" s="90"/>
      <c r="AH15" s="90"/>
      <c r="AI15" s="75"/>
      <c r="AJ15" s="55" t="s">
        <v>74</v>
      </c>
      <c r="AK15" s="54">
        <f>((AM5+INT((AN5*5)/2)*0.18)-0.2)*10</f>
        <v>8484.5999999999985</v>
      </c>
      <c r="AL15" s="54">
        <f>((AM5+INT((AN5*5)/2)*0.18)+0.2)*10</f>
        <v>8488.6</v>
      </c>
      <c r="AM15" s="10" t="s">
        <v>9</v>
      </c>
      <c r="AN15" s="10" t="s">
        <v>9</v>
      </c>
      <c r="AO15" s="87" t="s">
        <v>39</v>
      </c>
      <c r="AP15" s="88"/>
      <c r="AQ15" s="89"/>
      <c r="AR15" s="75"/>
      <c r="AS15" s="55" t="s">
        <v>74</v>
      </c>
      <c r="AT15" s="54">
        <f>(AV5-AW5/2)*10</f>
        <v>8240</v>
      </c>
      <c r="AU15" s="54">
        <f>(AV5+AW5/2)*10</f>
        <v>8290</v>
      </c>
      <c r="AV15" s="10" t="s">
        <v>9</v>
      </c>
      <c r="AW15" s="10" t="s">
        <v>9</v>
      </c>
      <c r="AX15" s="87" t="s">
        <v>39</v>
      </c>
      <c r="AY15" s="88"/>
      <c r="AZ15" s="89"/>
      <c r="BA15" s="75"/>
      <c r="BB15" s="55" t="s">
        <v>74</v>
      </c>
      <c r="BC15" s="54">
        <f>(BE5-BF5/2)*10</f>
        <v>8440</v>
      </c>
      <c r="BD15" s="54">
        <f>(BE5+BF5/2)*10</f>
        <v>8490</v>
      </c>
      <c r="BE15" s="10" t="s">
        <v>9</v>
      </c>
      <c r="BF15" s="10" t="s">
        <v>9</v>
      </c>
      <c r="BG15" s="87" t="s">
        <v>73</v>
      </c>
      <c r="BH15" s="88"/>
      <c r="BI15" s="89"/>
      <c r="BJ15" s="75"/>
      <c r="BK15" s="55" t="s">
        <v>74</v>
      </c>
      <c r="BL15" s="54">
        <f>((BN5-(INT((BO5*5)/2)-0.5)*0.18)-0.2)*10</f>
        <v>8243.9</v>
      </c>
      <c r="BM15" s="54">
        <f>((BN5-(INT((BO5*5)/2)-0.5)*0.18)+0.2)*10</f>
        <v>8247.9000000000015</v>
      </c>
      <c r="BN15" s="10" t="s">
        <v>9</v>
      </c>
      <c r="BO15" s="10" t="s">
        <v>9</v>
      </c>
      <c r="BP15" s="87" t="s">
        <v>39</v>
      </c>
      <c r="BQ15" s="88"/>
      <c r="BR15" s="89"/>
      <c r="BS15" s="75"/>
      <c r="BT15" s="55" t="s">
        <v>74</v>
      </c>
      <c r="BU15" s="54">
        <f>((BW5+(INT((BX5*5)/2)-0.5)*0.18)-0.2)*10</f>
        <v>8482.0999999999985</v>
      </c>
      <c r="BV15" s="54">
        <f>((BW5+(INT((BX5*5)/2)-0.5)*0.18)+0.2)*10</f>
        <v>8486.1</v>
      </c>
      <c r="BW15" s="10" t="s">
        <v>9</v>
      </c>
      <c r="BX15" s="10" t="s">
        <v>9</v>
      </c>
      <c r="BY15" s="87" t="s">
        <v>39</v>
      </c>
      <c r="BZ15" s="88"/>
      <c r="CA15" s="89"/>
      <c r="CB15" s="75"/>
      <c r="CC15" s="55" t="s">
        <v>74</v>
      </c>
      <c r="CD15" s="54">
        <f>(CF5-CG5/2)*10</f>
        <v>8240</v>
      </c>
      <c r="CE15" s="54">
        <f>(CF5+CG5/2)*10</f>
        <v>8340</v>
      </c>
      <c r="CF15" s="10" t="s">
        <v>9</v>
      </c>
      <c r="CG15" s="10" t="s">
        <v>9</v>
      </c>
      <c r="CH15" s="87" t="s">
        <v>39</v>
      </c>
      <c r="CI15" s="88"/>
      <c r="CJ15" s="89"/>
      <c r="CK15" s="75"/>
      <c r="CL15" s="55" t="s">
        <v>74</v>
      </c>
      <c r="CM15" s="54">
        <f>(CO5-CP5/2)*10</f>
        <v>8390</v>
      </c>
      <c r="CN15" s="54">
        <f>(CO5+CP5/2)*10</f>
        <v>8490</v>
      </c>
      <c r="CO15" s="10" t="s">
        <v>9</v>
      </c>
      <c r="CP15" s="10" t="s">
        <v>9</v>
      </c>
      <c r="CQ15" s="87" t="s">
        <v>73</v>
      </c>
      <c r="CR15" s="88"/>
      <c r="CS15" s="89"/>
      <c r="CT15" s="75"/>
      <c r="CU15" s="55" t="s">
        <v>74</v>
      </c>
    </row>
    <row r="16" spans="1:99" ht="15">
      <c r="A16" s="54">
        <f>((C5-2.5*0.18)-0.2)*11</f>
        <v>9064.5499999999993</v>
      </c>
      <c r="B16" s="54">
        <f>((C5-2.5*0.18)+0.2)*11</f>
        <v>9068.9500000000007</v>
      </c>
      <c r="C16" s="10" t="s">
        <v>9</v>
      </c>
      <c r="D16" s="10" t="s">
        <v>9</v>
      </c>
      <c r="E16" s="90" t="s">
        <v>35</v>
      </c>
      <c r="F16" s="90"/>
      <c r="G16" s="90"/>
      <c r="H16" s="75"/>
      <c r="I16" s="55" t="s">
        <v>75</v>
      </c>
      <c r="J16" s="54">
        <f>((L5-2.5*0.18)-0.2)*11</f>
        <v>9324.1499999999978</v>
      </c>
      <c r="K16" s="54">
        <f>((L5-2.5*0.18)+0.2)*11</f>
        <v>9328.5499999999993</v>
      </c>
      <c r="L16" s="10" t="s">
        <v>9</v>
      </c>
      <c r="M16" s="10" t="s">
        <v>9</v>
      </c>
      <c r="N16" s="87" t="s">
        <v>39</v>
      </c>
      <c r="O16" s="88"/>
      <c r="P16" s="89"/>
      <c r="Q16" s="75"/>
      <c r="R16" s="55" t="s">
        <v>75</v>
      </c>
      <c r="S16" s="54">
        <f>((U5-INT((V5*5)/2)*0.18)-0.2)*11</f>
        <v>9065.5399999999991</v>
      </c>
      <c r="T16" s="54">
        <f>((U5-INT((V5*5)/2)*0.18)+0.2)*12</f>
        <v>9894.4800000000014</v>
      </c>
      <c r="U16" s="10" t="s">
        <v>9</v>
      </c>
      <c r="V16" s="10" t="s">
        <v>9</v>
      </c>
      <c r="W16" s="87" t="s">
        <v>39</v>
      </c>
      <c r="X16" s="88"/>
      <c r="Y16" s="89"/>
      <c r="Z16" s="75"/>
      <c r="AA16" s="55" t="s">
        <v>75</v>
      </c>
      <c r="AB16" s="54">
        <f>((AD5-INT((AE5*5)/2)*0.18)-0.2)*11</f>
        <v>9175.5399999999991</v>
      </c>
      <c r="AC16" s="54">
        <f>((AD5-INT((AE5*5)/2)*0.18)+0.2)*11</f>
        <v>9179.94</v>
      </c>
      <c r="AD16" s="10" t="s">
        <v>9</v>
      </c>
      <c r="AE16" s="10" t="s">
        <v>9</v>
      </c>
      <c r="AF16" s="90" t="s">
        <v>76</v>
      </c>
      <c r="AG16" s="90"/>
      <c r="AH16" s="90"/>
      <c r="AI16" s="75"/>
      <c r="AJ16" s="55" t="s">
        <v>77</v>
      </c>
      <c r="AK16" s="54">
        <f>((AM5+INT((AN5*5)/2)*0.18)-0.2)*11</f>
        <v>9333.06</v>
      </c>
      <c r="AL16" s="54">
        <f>((AM5+INT((AN5*5)/2)*0.18)+0.2)*11</f>
        <v>9337.4600000000009</v>
      </c>
      <c r="AM16" s="10" t="s">
        <v>9</v>
      </c>
      <c r="AN16" s="10" t="s">
        <v>9</v>
      </c>
      <c r="AO16" s="87" t="s">
        <v>39</v>
      </c>
      <c r="AP16" s="88"/>
      <c r="AQ16" s="89"/>
      <c r="AR16" s="75"/>
      <c r="AS16" s="55" t="s">
        <v>77</v>
      </c>
      <c r="AT16" s="54">
        <f>(AV5-AW5/2)*11</f>
        <v>9064</v>
      </c>
      <c r="AU16" s="54">
        <f>(AV5+AW5/2)*11</f>
        <v>9119</v>
      </c>
      <c r="AV16" s="10" t="s">
        <v>9</v>
      </c>
      <c r="AW16" s="10" t="s">
        <v>9</v>
      </c>
      <c r="AX16" s="87" t="s">
        <v>39</v>
      </c>
      <c r="AY16" s="88"/>
      <c r="AZ16" s="89"/>
      <c r="BA16" s="75"/>
      <c r="BB16" s="55" t="s">
        <v>77</v>
      </c>
      <c r="BC16" s="54">
        <f>(BE5-BF5/2)*11</f>
        <v>9284</v>
      </c>
      <c r="BD16" s="54">
        <f>(BE5+BF5/2)*11</f>
        <v>9339</v>
      </c>
      <c r="BE16" s="10" t="s">
        <v>9</v>
      </c>
      <c r="BF16" s="10" t="s">
        <v>9</v>
      </c>
      <c r="BG16" s="87" t="s">
        <v>76</v>
      </c>
      <c r="BH16" s="88"/>
      <c r="BI16" s="89"/>
      <c r="BJ16" s="75"/>
      <c r="BK16" s="55" t="s">
        <v>77</v>
      </c>
      <c r="BL16" s="54">
        <f>((BN5-(INT((BO5*5)/2)-0.5)*0.18)-0.2)*11</f>
        <v>9068.2899999999991</v>
      </c>
      <c r="BM16" s="54">
        <f>((BN5-(INT((BO5*5)/2)-0.5)*0.18)+0.2)*11</f>
        <v>9072.69</v>
      </c>
      <c r="BN16" s="10" t="s">
        <v>9</v>
      </c>
      <c r="BO16" s="10" t="s">
        <v>9</v>
      </c>
      <c r="BP16" s="87" t="s">
        <v>39</v>
      </c>
      <c r="BQ16" s="88"/>
      <c r="BR16" s="89"/>
      <c r="BS16" s="75"/>
      <c r="BT16" s="55" t="s">
        <v>77</v>
      </c>
      <c r="BU16" s="54">
        <f>((BW5+(INT((BX5*5)/2)-0.5)*0.18)-0.2)*11</f>
        <v>9330.31</v>
      </c>
      <c r="BV16" s="54">
        <f>((BW5+(INT((BX5*5)/2)-0.5)*0.18)+0.2)*11</f>
        <v>9334.7100000000009</v>
      </c>
      <c r="BW16" s="10" t="s">
        <v>9</v>
      </c>
      <c r="BX16" s="10" t="s">
        <v>9</v>
      </c>
      <c r="BY16" s="87" t="s">
        <v>39</v>
      </c>
      <c r="BZ16" s="88"/>
      <c r="CA16" s="89"/>
      <c r="CB16" s="75"/>
      <c r="CC16" s="55" t="s">
        <v>77</v>
      </c>
      <c r="CD16" s="54">
        <f>(CF5-CG5/2)*11</f>
        <v>9064</v>
      </c>
      <c r="CE16" s="54">
        <f>(CF5+CG5/2)*11</f>
        <v>9174</v>
      </c>
      <c r="CF16" s="10" t="s">
        <v>9</v>
      </c>
      <c r="CG16" s="10" t="s">
        <v>9</v>
      </c>
      <c r="CH16" s="87" t="s">
        <v>39</v>
      </c>
      <c r="CI16" s="88"/>
      <c r="CJ16" s="89"/>
      <c r="CK16" s="75"/>
      <c r="CL16" s="55" t="s">
        <v>77</v>
      </c>
      <c r="CM16" s="54">
        <f>(CO5-CP5/2)*11</f>
        <v>9229</v>
      </c>
      <c r="CN16" s="54">
        <f>(CO5+CP5/2)*11</f>
        <v>9339</v>
      </c>
      <c r="CO16" s="10" t="s">
        <v>9</v>
      </c>
      <c r="CP16" s="10" t="s">
        <v>9</v>
      </c>
      <c r="CQ16" s="87" t="s">
        <v>76</v>
      </c>
      <c r="CR16" s="88"/>
      <c r="CS16" s="89"/>
      <c r="CT16" s="75"/>
      <c r="CU16" s="55" t="s">
        <v>77</v>
      </c>
    </row>
    <row r="17" spans="1:99" ht="15">
      <c r="A17" s="54">
        <f>((C5-2.5*0.18)-0.2)*12</f>
        <v>9888.5999999999985</v>
      </c>
      <c r="B17" s="54">
        <f>((C5-2.5*0.18)+0.2)*12</f>
        <v>9893.4000000000015</v>
      </c>
      <c r="C17" s="10" t="s">
        <v>9</v>
      </c>
      <c r="D17" s="10" t="s">
        <v>9</v>
      </c>
      <c r="E17" s="90" t="s">
        <v>35</v>
      </c>
      <c r="F17" s="90"/>
      <c r="G17" s="90"/>
      <c r="H17" s="75"/>
      <c r="I17" s="55" t="s">
        <v>78</v>
      </c>
      <c r="J17" s="54">
        <f>((L5-2.5*0.18)-0.2)*12</f>
        <v>10171.799999999999</v>
      </c>
      <c r="K17" s="54">
        <f>((L5-2.5*0.18)+0.2)*12</f>
        <v>10176.599999999999</v>
      </c>
      <c r="L17" s="10" t="s">
        <v>9</v>
      </c>
      <c r="M17" s="10" t="s">
        <v>9</v>
      </c>
      <c r="N17" s="87" t="s">
        <v>39</v>
      </c>
      <c r="O17" s="88"/>
      <c r="P17" s="89"/>
      <c r="Q17" s="75"/>
      <c r="R17" s="55" t="s">
        <v>78</v>
      </c>
      <c r="S17" s="54">
        <f>((U5-INT((V5*5)/2)*0.18)-0.2)*13</f>
        <v>10713.82</v>
      </c>
      <c r="T17" s="54">
        <f>((U5-INT((V5*5)/2)*0.18)+0.2)*14</f>
        <v>11543.560000000001</v>
      </c>
      <c r="U17" s="10" t="s">
        <v>9</v>
      </c>
      <c r="V17" s="10" t="s">
        <v>9</v>
      </c>
      <c r="W17" s="87" t="s">
        <v>39</v>
      </c>
      <c r="X17" s="88"/>
      <c r="Y17" s="89"/>
      <c r="Z17" s="75"/>
      <c r="AA17" s="55" t="s">
        <v>78</v>
      </c>
      <c r="AB17" s="54">
        <f>((AD5-INT((AE5*5)/2)*0.18)-0.2)*12</f>
        <v>10009.68</v>
      </c>
      <c r="AC17" s="54">
        <f>((AD5-INT((AE5*5)/2)*0.18)+0.2)*12</f>
        <v>10014.480000000001</v>
      </c>
      <c r="AD17" s="10" t="s">
        <v>9</v>
      </c>
      <c r="AE17" s="10" t="s">
        <v>9</v>
      </c>
      <c r="AF17" s="90" t="s">
        <v>79</v>
      </c>
      <c r="AG17" s="90"/>
      <c r="AH17" s="90"/>
      <c r="AI17" s="75"/>
      <c r="AJ17" s="55" t="s">
        <v>80</v>
      </c>
      <c r="AK17" s="54">
        <f>((AM5+INT((AN5*5)/2)*0.18)-0.2)*12</f>
        <v>10181.519999999999</v>
      </c>
      <c r="AL17" s="54">
        <f>((AM5+INT((AN5*5)/2)*0.18)+0.2)*12</f>
        <v>10186.32</v>
      </c>
      <c r="AM17" s="10" t="s">
        <v>9</v>
      </c>
      <c r="AN17" s="10" t="s">
        <v>9</v>
      </c>
      <c r="AO17" s="87" t="s">
        <v>39</v>
      </c>
      <c r="AP17" s="88"/>
      <c r="AQ17" s="89"/>
      <c r="AR17" s="75"/>
      <c r="AS17" s="55" t="s">
        <v>80</v>
      </c>
      <c r="AT17" s="54">
        <f>(AV5-AW5/2)*12</f>
        <v>9888</v>
      </c>
      <c r="AU17" s="54">
        <f>(AV5+AW5/2)*12</f>
        <v>9948</v>
      </c>
      <c r="AV17" s="10" t="s">
        <v>9</v>
      </c>
      <c r="AW17" s="10" t="s">
        <v>9</v>
      </c>
      <c r="AX17" s="87" t="s">
        <v>39</v>
      </c>
      <c r="AY17" s="88"/>
      <c r="AZ17" s="89"/>
      <c r="BA17" s="75"/>
      <c r="BB17" s="55" t="s">
        <v>80</v>
      </c>
      <c r="BC17" s="54">
        <f>(BE5-BF5/2)*12</f>
        <v>10128</v>
      </c>
      <c r="BD17" s="54">
        <f>(BE5+BF5/2)*12</f>
        <v>10188</v>
      </c>
      <c r="BE17" s="10" t="s">
        <v>9</v>
      </c>
      <c r="BF17" s="10" t="s">
        <v>9</v>
      </c>
      <c r="BG17" s="87" t="s">
        <v>79</v>
      </c>
      <c r="BH17" s="88"/>
      <c r="BI17" s="89"/>
      <c r="BJ17" s="75"/>
      <c r="BK17" s="55" t="s">
        <v>80</v>
      </c>
      <c r="BL17" s="54">
        <f>((BN5-(INT((BO5*5)/2)-0.5)*0.18)-0.2)*12</f>
        <v>9892.68</v>
      </c>
      <c r="BM17" s="54">
        <f>((BN5-(INT((BO5*5)/2)-0.5)*0.18)+0.2)*12</f>
        <v>9897.4800000000014</v>
      </c>
      <c r="BN17" s="10" t="s">
        <v>9</v>
      </c>
      <c r="BO17" s="10" t="s">
        <v>9</v>
      </c>
      <c r="BP17" s="87" t="s">
        <v>39</v>
      </c>
      <c r="BQ17" s="88"/>
      <c r="BR17" s="89"/>
      <c r="BS17" s="75"/>
      <c r="BT17" s="55" t="s">
        <v>80</v>
      </c>
      <c r="BU17" s="54">
        <f>((BW5+(INT((BX5*5)/2)-0.5)*0.18)-0.2)*12</f>
        <v>10178.519999999999</v>
      </c>
      <c r="BV17" s="54">
        <f>((BW5+(INT((BX5*5)/2)-0.5)*0.18)+0.2)*12</f>
        <v>10183.32</v>
      </c>
      <c r="BW17" s="10" t="s">
        <v>9</v>
      </c>
      <c r="BX17" s="10" t="s">
        <v>9</v>
      </c>
      <c r="BY17" s="87" t="s">
        <v>39</v>
      </c>
      <c r="BZ17" s="88"/>
      <c r="CA17" s="89"/>
      <c r="CB17" s="75"/>
      <c r="CC17" s="55" t="s">
        <v>80</v>
      </c>
      <c r="CD17" s="54">
        <f>(CF5-CG5/2)*12</f>
        <v>9888</v>
      </c>
      <c r="CE17" s="54">
        <f>(CF5+CG5/2)*12</f>
        <v>10008</v>
      </c>
      <c r="CF17" s="10" t="s">
        <v>9</v>
      </c>
      <c r="CG17" s="10" t="s">
        <v>9</v>
      </c>
      <c r="CH17" s="87" t="s">
        <v>39</v>
      </c>
      <c r="CI17" s="88"/>
      <c r="CJ17" s="89"/>
      <c r="CK17" s="75"/>
      <c r="CL17" s="55" t="s">
        <v>80</v>
      </c>
      <c r="CM17" s="54">
        <f>(CO5-CP5/2)*12</f>
        <v>10068</v>
      </c>
      <c r="CN17" s="54">
        <f>(CO5+CP5/2)*12</f>
        <v>10188</v>
      </c>
      <c r="CO17" s="10" t="s">
        <v>9</v>
      </c>
      <c r="CP17" s="10" t="s">
        <v>9</v>
      </c>
      <c r="CQ17" s="87" t="s">
        <v>79</v>
      </c>
      <c r="CR17" s="88"/>
      <c r="CS17" s="89"/>
      <c r="CT17" s="75"/>
      <c r="CU17" s="55" t="s">
        <v>80</v>
      </c>
    </row>
    <row r="18" spans="1:99" ht="15">
      <c r="A18" s="54">
        <f>((C5-2.5*0.18)-0.2)*13</f>
        <v>10712.65</v>
      </c>
      <c r="B18" s="54">
        <f>((C5-2.5*0.18)+0.2)*13</f>
        <v>10717.85</v>
      </c>
      <c r="C18" s="10" t="s">
        <v>9</v>
      </c>
      <c r="D18" s="10" t="s">
        <v>9</v>
      </c>
      <c r="E18" s="90" t="s">
        <v>35</v>
      </c>
      <c r="F18" s="90"/>
      <c r="G18" s="90"/>
      <c r="H18" s="75"/>
      <c r="I18" s="55" t="s">
        <v>81</v>
      </c>
      <c r="J18" s="54">
        <f>((L5-2.5*0.18)-0.2)*13</f>
        <v>11019.449999999999</v>
      </c>
      <c r="K18" s="54">
        <f>((L5-2.5*0.18)+0.2)*13</f>
        <v>11024.65</v>
      </c>
      <c r="L18" s="10" t="s">
        <v>9</v>
      </c>
      <c r="M18" s="10" t="s">
        <v>9</v>
      </c>
      <c r="N18" s="87" t="s">
        <v>39</v>
      </c>
      <c r="O18" s="88"/>
      <c r="P18" s="89"/>
      <c r="Q18" s="75"/>
      <c r="R18" s="55" t="s">
        <v>81</v>
      </c>
      <c r="S18" s="54">
        <f>((U5-INT((V5*5)/2)*0.18)-0.2)*13</f>
        <v>10713.82</v>
      </c>
      <c r="T18" s="54">
        <f>((U5-INT((V5*5)/2)*0.18)+0.2)*13</f>
        <v>10719.02</v>
      </c>
      <c r="U18" s="10" t="s">
        <v>9</v>
      </c>
      <c r="V18" s="10" t="s">
        <v>9</v>
      </c>
      <c r="W18" s="87" t="s">
        <v>39</v>
      </c>
      <c r="X18" s="88"/>
      <c r="Y18" s="89"/>
      <c r="Z18" s="75"/>
      <c r="AA18" s="55" t="s">
        <v>81</v>
      </c>
      <c r="AB18" s="54">
        <f>((AD5-INT((AE5*5)/2)*0.18)-0.2)*13</f>
        <v>10843.82</v>
      </c>
      <c r="AC18" s="54">
        <f>((AD5-INT((AE5*5)/2)*0.18)+0.2)*13</f>
        <v>10849.02</v>
      </c>
      <c r="AD18" s="10" t="s">
        <v>9</v>
      </c>
      <c r="AE18" s="10" t="s">
        <v>9</v>
      </c>
      <c r="AF18" s="90" t="s">
        <v>82</v>
      </c>
      <c r="AG18" s="90"/>
      <c r="AH18" s="90"/>
      <c r="AI18" s="75"/>
      <c r="AJ18" s="55" t="s">
        <v>83</v>
      </c>
      <c r="AK18" s="54">
        <f>((AM5+INT((AN5*5)/2)*0.18)-0.2)*13</f>
        <v>11029.98</v>
      </c>
      <c r="AL18" s="54">
        <f>((AM5+INT((AN5*5)/2)*0.18)+0.2)*13</f>
        <v>11035.18</v>
      </c>
      <c r="AM18" s="10" t="s">
        <v>9</v>
      </c>
      <c r="AN18" s="10" t="s">
        <v>9</v>
      </c>
      <c r="AO18" s="87" t="s">
        <v>39</v>
      </c>
      <c r="AP18" s="88"/>
      <c r="AQ18" s="89"/>
      <c r="AR18" s="75"/>
      <c r="AS18" s="55" t="s">
        <v>83</v>
      </c>
      <c r="AT18" s="54">
        <f>(AV5-AW5/2)*13</f>
        <v>10712</v>
      </c>
      <c r="AU18" s="54">
        <f>(AV5+AW5/2)*13</f>
        <v>10777</v>
      </c>
      <c r="AV18" s="10" t="s">
        <v>9</v>
      </c>
      <c r="AW18" s="10" t="s">
        <v>9</v>
      </c>
      <c r="AX18" s="87" t="s">
        <v>39</v>
      </c>
      <c r="AY18" s="88"/>
      <c r="AZ18" s="89"/>
      <c r="BA18" s="75"/>
      <c r="BB18" s="55" t="s">
        <v>83</v>
      </c>
      <c r="BC18" s="54">
        <f>(BE5-BF5/2)*13</f>
        <v>10972</v>
      </c>
      <c r="BD18" s="54">
        <f>(BE5+BF5/2)*13</f>
        <v>11037</v>
      </c>
      <c r="BE18" s="10" t="s">
        <v>9</v>
      </c>
      <c r="BF18" s="10" t="s">
        <v>9</v>
      </c>
      <c r="BG18" s="87" t="s">
        <v>82</v>
      </c>
      <c r="BH18" s="88"/>
      <c r="BI18" s="89"/>
      <c r="BJ18" s="75"/>
      <c r="BK18" s="55" t="s">
        <v>83</v>
      </c>
      <c r="BL18" s="54">
        <f>((BN5-(INT((BO5*5)/2)-0.5)*0.18)-0.2)*13</f>
        <v>10717.07</v>
      </c>
      <c r="BM18" s="54">
        <f>((BN5-(INT((BO5*5)/2)-0.5)*0.18)+0.2)*13</f>
        <v>10722.27</v>
      </c>
      <c r="BN18" s="10" t="s">
        <v>9</v>
      </c>
      <c r="BO18" s="10" t="s">
        <v>9</v>
      </c>
      <c r="BP18" s="87" t="s">
        <v>39</v>
      </c>
      <c r="BQ18" s="88"/>
      <c r="BR18" s="89"/>
      <c r="BS18" s="75"/>
      <c r="BT18" s="55" t="s">
        <v>83</v>
      </c>
      <c r="BU18" s="54">
        <f>((BW5+(INT((BX5*5)/2)-0.5)*0.18)-0.2)*13</f>
        <v>11026.73</v>
      </c>
      <c r="BV18" s="54">
        <f>((BW5+(INT((BX5*5)/2)-0.5)*0.18)+0.2)*13</f>
        <v>11031.93</v>
      </c>
      <c r="BW18" s="10" t="s">
        <v>9</v>
      </c>
      <c r="BX18" s="10" t="s">
        <v>9</v>
      </c>
      <c r="BY18" s="87" t="s">
        <v>39</v>
      </c>
      <c r="BZ18" s="88"/>
      <c r="CA18" s="89"/>
      <c r="CB18" s="75"/>
      <c r="CC18" s="55" t="s">
        <v>83</v>
      </c>
      <c r="CD18" s="54">
        <f>(CF5-CG5/2)*13</f>
        <v>10712</v>
      </c>
      <c r="CE18" s="54">
        <f>(CF5+CG5/2)*13</f>
        <v>10842</v>
      </c>
      <c r="CF18" s="10" t="s">
        <v>9</v>
      </c>
      <c r="CG18" s="10" t="s">
        <v>9</v>
      </c>
      <c r="CH18" s="87" t="s">
        <v>39</v>
      </c>
      <c r="CI18" s="88"/>
      <c r="CJ18" s="89"/>
      <c r="CK18" s="75"/>
      <c r="CL18" s="55" t="s">
        <v>83</v>
      </c>
      <c r="CM18" s="54">
        <f>(CO5-CP5/2)*13</f>
        <v>10907</v>
      </c>
      <c r="CN18" s="54">
        <f>(CO5+CP5/2)*13</f>
        <v>11037</v>
      </c>
      <c r="CO18" s="10" t="s">
        <v>9</v>
      </c>
      <c r="CP18" s="10" t="s">
        <v>9</v>
      </c>
      <c r="CQ18" s="87" t="s">
        <v>82</v>
      </c>
      <c r="CR18" s="88"/>
      <c r="CS18" s="89"/>
      <c r="CT18" s="75"/>
      <c r="CU18" s="55" t="s">
        <v>83</v>
      </c>
    </row>
    <row r="19" spans="1:99" ht="15">
      <c r="A19" s="54">
        <f>((C5-2.5*0.18)-0.2)*14</f>
        <v>11536.699999999999</v>
      </c>
      <c r="B19" s="54">
        <f>((C5-2.5*0.18)+0.2)*14</f>
        <v>11542.300000000001</v>
      </c>
      <c r="C19" s="10" t="s">
        <v>9</v>
      </c>
      <c r="D19" s="10" t="s">
        <v>9</v>
      </c>
      <c r="E19" s="90" t="s">
        <v>35</v>
      </c>
      <c r="F19" s="90"/>
      <c r="G19" s="90"/>
      <c r="H19" s="75"/>
      <c r="I19" s="55" t="s">
        <v>84</v>
      </c>
      <c r="J19" s="54">
        <f>((L5-2.5*0.18)-0.2)*14</f>
        <v>11867.099999999999</v>
      </c>
      <c r="K19" s="54">
        <f>((L5-2.5*0.18)+0.2)*14</f>
        <v>11872.699999999999</v>
      </c>
      <c r="L19" s="10" t="s">
        <v>9</v>
      </c>
      <c r="M19" s="10" t="s">
        <v>9</v>
      </c>
      <c r="N19" s="87" t="s">
        <v>39</v>
      </c>
      <c r="O19" s="88"/>
      <c r="P19" s="89"/>
      <c r="Q19" s="75"/>
      <c r="R19" s="55" t="s">
        <v>84</v>
      </c>
      <c r="S19" s="54">
        <f>((U5-INT((V5*5)/2)*0.18)-0.2)*14</f>
        <v>11537.96</v>
      </c>
      <c r="T19" s="54">
        <f>((U5-INT((V5*5)/2)*0.18)+0.2)*14</f>
        <v>11543.560000000001</v>
      </c>
      <c r="U19" s="10" t="s">
        <v>9</v>
      </c>
      <c r="V19" s="10" t="s">
        <v>9</v>
      </c>
      <c r="W19" s="87" t="s">
        <v>39</v>
      </c>
      <c r="X19" s="88"/>
      <c r="Y19" s="89"/>
      <c r="Z19" s="75"/>
      <c r="AA19" s="55" t="s">
        <v>84</v>
      </c>
      <c r="AB19" s="54">
        <f>((AD5-INT((AE5*5)/2)*0.18)-0.2)*14</f>
        <v>11677.96</v>
      </c>
      <c r="AC19" s="54">
        <f>((AD5-INT((AE5*5)/2)*0.18)+0.2)*14</f>
        <v>11683.560000000001</v>
      </c>
      <c r="AD19" s="10" t="s">
        <v>9</v>
      </c>
      <c r="AE19" s="10" t="s">
        <v>9</v>
      </c>
      <c r="AF19" s="90" t="s">
        <v>85</v>
      </c>
      <c r="AG19" s="90"/>
      <c r="AH19" s="90"/>
      <c r="AI19" s="75"/>
      <c r="AJ19" s="55" t="s">
        <v>86</v>
      </c>
      <c r="AK19" s="54">
        <f>((AM5+INT((AN5*5)/2)*0.18)-0.2)*14</f>
        <v>11878.439999999999</v>
      </c>
      <c r="AL19" s="54">
        <f>((AM5+INT((AN5*5)/2)*0.18)+0.2)*14</f>
        <v>11884.04</v>
      </c>
      <c r="AM19" s="10" t="s">
        <v>9</v>
      </c>
      <c r="AN19" s="10" t="s">
        <v>9</v>
      </c>
      <c r="AO19" s="87" t="s">
        <v>39</v>
      </c>
      <c r="AP19" s="88"/>
      <c r="AQ19" s="89"/>
      <c r="AR19" s="75"/>
      <c r="AS19" s="55" t="s">
        <v>86</v>
      </c>
      <c r="AT19" s="54">
        <f>(AV5-AW5/2)*14</f>
        <v>11536</v>
      </c>
      <c r="AU19" s="54">
        <f>(AV5+AW5/2)*14</f>
        <v>11606</v>
      </c>
      <c r="AV19" s="10" t="s">
        <v>9</v>
      </c>
      <c r="AW19" s="10" t="s">
        <v>9</v>
      </c>
      <c r="AX19" s="87" t="s">
        <v>39</v>
      </c>
      <c r="AY19" s="88"/>
      <c r="AZ19" s="89"/>
      <c r="BA19" s="75"/>
      <c r="BB19" s="55" t="s">
        <v>86</v>
      </c>
      <c r="BC19" s="54">
        <f>(BE5-BF5/2)*14</f>
        <v>11816</v>
      </c>
      <c r="BD19" s="54">
        <f>(BE5+BF5/2)*14</f>
        <v>11886</v>
      </c>
      <c r="BE19" s="10" t="s">
        <v>9</v>
      </c>
      <c r="BF19" s="10" t="s">
        <v>9</v>
      </c>
      <c r="BG19" s="87" t="s">
        <v>85</v>
      </c>
      <c r="BH19" s="88"/>
      <c r="BI19" s="89"/>
      <c r="BJ19" s="75"/>
      <c r="BK19" s="55" t="s">
        <v>86</v>
      </c>
      <c r="BL19" s="54">
        <f>((BN5-(INT((BO5*5)/2)-0.5)*0.18)-0.2)*14</f>
        <v>11541.46</v>
      </c>
      <c r="BM19" s="54">
        <f>((BN5-(INT((BO5*5)/2)-0.5)*0.18)+0.2)*14</f>
        <v>11547.060000000001</v>
      </c>
      <c r="BN19" s="10" t="s">
        <v>9</v>
      </c>
      <c r="BO19" s="10" t="s">
        <v>9</v>
      </c>
      <c r="BP19" s="87" t="s">
        <v>39</v>
      </c>
      <c r="BQ19" s="88"/>
      <c r="BR19" s="89"/>
      <c r="BS19" s="75"/>
      <c r="BT19" s="55" t="s">
        <v>86</v>
      </c>
      <c r="BU19" s="54">
        <f>((BW5+(INT((BX5*5)/2)-0.5)*0.18)-0.2)*14</f>
        <v>11874.939999999999</v>
      </c>
      <c r="BV19" s="54">
        <f>((BW5+(INT((BX5*5)/2)-0.5)*0.18)+0.2)*14</f>
        <v>11880.54</v>
      </c>
      <c r="BW19" s="10" t="s">
        <v>9</v>
      </c>
      <c r="BX19" s="10" t="s">
        <v>9</v>
      </c>
      <c r="BY19" s="87" t="s">
        <v>39</v>
      </c>
      <c r="BZ19" s="88"/>
      <c r="CA19" s="89"/>
      <c r="CB19" s="75"/>
      <c r="CC19" s="55" t="s">
        <v>86</v>
      </c>
      <c r="CD19" s="54">
        <f>(CF5-CG5/2)*14</f>
        <v>11536</v>
      </c>
      <c r="CE19" s="54">
        <f>(CF5+CG5/2)*14</f>
        <v>11676</v>
      </c>
      <c r="CF19" s="10" t="s">
        <v>9</v>
      </c>
      <c r="CG19" s="10" t="s">
        <v>9</v>
      </c>
      <c r="CH19" s="87" t="s">
        <v>39</v>
      </c>
      <c r="CI19" s="88"/>
      <c r="CJ19" s="89"/>
      <c r="CK19" s="75"/>
      <c r="CL19" s="55" t="s">
        <v>86</v>
      </c>
      <c r="CM19" s="54">
        <f>(CO5-CP5/2)*14</f>
        <v>11746</v>
      </c>
      <c r="CN19" s="54">
        <f>(CO5+CP5/2)*14</f>
        <v>11886</v>
      </c>
      <c r="CO19" s="10" t="s">
        <v>9</v>
      </c>
      <c r="CP19" s="10" t="s">
        <v>9</v>
      </c>
      <c r="CQ19" s="87" t="s">
        <v>85</v>
      </c>
      <c r="CR19" s="88"/>
      <c r="CS19" s="89"/>
      <c r="CT19" s="75"/>
      <c r="CU19" s="55" t="s">
        <v>86</v>
      </c>
    </row>
  </sheetData>
  <mergeCells count="165">
    <mergeCell ref="AO18:AQ18"/>
    <mergeCell ref="AX18:AZ18"/>
    <mergeCell ref="BG18:BI18"/>
    <mergeCell ref="BP18:BR18"/>
    <mergeCell ref="BY18:CA18"/>
    <mergeCell ref="CH18:CJ18"/>
    <mergeCell ref="CQ18:CS18"/>
    <mergeCell ref="AO19:AQ19"/>
    <mergeCell ref="AX19:AZ19"/>
    <mergeCell ref="BG19:BI19"/>
    <mergeCell ref="BP19:BR19"/>
    <mergeCell ref="BY19:CA19"/>
    <mergeCell ref="CH19:CJ19"/>
    <mergeCell ref="CQ19:CS19"/>
    <mergeCell ref="AO16:AQ16"/>
    <mergeCell ref="AX16:AZ16"/>
    <mergeCell ref="BG16:BI16"/>
    <mergeCell ref="BP16:BR16"/>
    <mergeCell ref="BY16:CA16"/>
    <mergeCell ref="CH16:CJ16"/>
    <mergeCell ref="CQ16:CS16"/>
    <mergeCell ref="AO17:AQ17"/>
    <mergeCell ref="AX17:AZ17"/>
    <mergeCell ref="BG17:BI17"/>
    <mergeCell ref="BP17:BR17"/>
    <mergeCell ref="BY17:CA17"/>
    <mergeCell ref="CH17:CJ17"/>
    <mergeCell ref="CQ17:CS17"/>
    <mergeCell ref="AO14:AQ14"/>
    <mergeCell ref="AX14:AZ14"/>
    <mergeCell ref="BG14:BI14"/>
    <mergeCell ref="BP14:BR14"/>
    <mergeCell ref="BY14:CA14"/>
    <mergeCell ref="CH14:CJ14"/>
    <mergeCell ref="CQ14:CS14"/>
    <mergeCell ref="AO15:AQ15"/>
    <mergeCell ref="AX15:AZ15"/>
    <mergeCell ref="BG15:BI15"/>
    <mergeCell ref="BP15:BR15"/>
    <mergeCell ref="BY15:CA15"/>
    <mergeCell ref="CH15:CJ15"/>
    <mergeCell ref="CQ15:CS15"/>
    <mergeCell ref="AO12:AQ12"/>
    <mergeCell ref="AX12:AZ12"/>
    <mergeCell ref="BG12:BI12"/>
    <mergeCell ref="BP12:BR12"/>
    <mergeCell ref="BY12:CA12"/>
    <mergeCell ref="CH12:CJ12"/>
    <mergeCell ref="CQ12:CS12"/>
    <mergeCell ref="AO13:AQ13"/>
    <mergeCell ref="AX13:AZ13"/>
    <mergeCell ref="BG13:BI13"/>
    <mergeCell ref="BP13:BR13"/>
    <mergeCell ref="BY13:CA13"/>
    <mergeCell ref="CH13:CJ13"/>
    <mergeCell ref="CQ13:CS13"/>
    <mergeCell ref="AO10:AQ10"/>
    <mergeCell ref="AX10:AZ10"/>
    <mergeCell ref="BG10:BI10"/>
    <mergeCell ref="BP10:BR10"/>
    <mergeCell ref="BY10:CA10"/>
    <mergeCell ref="CH10:CJ10"/>
    <mergeCell ref="CQ10:CS10"/>
    <mergeCell ref="AO11:AQ11"/>
    <mergeCell ref="AX11:AZ11"/>
    <mergeCell ref="BG11:BI11"/>
    <mergeCell ref="BP11:BR11"/>
    <mergeCell ref="BY11:CA11"/>
    <mergeCell ref="CH11:CJ11"/>
    <mergeCell ref="CQ11:CS11"/>
    <mergeCell ref="AO8:AQ8"/>
    <mergeCell ref="AX8:AZ8"/>
    <mergeCell ref="BG8:BI8"/>
    <mergeCell ref="BP8:BR8"/>
    <mergeCell ref="BY8:CA8"/>
    <mergeCell ref="CH8:CJ8"/>
    <mergeCell ref="CQ8:CS8"/>
    <mergeCell ref="AO9:AQ9"/>
    <mergeCell ref="AX9:AZ9"/>
    <mergeCell ref="BG9:BI9"/>
    <mergeCell ref="BP9:BR9"/>
    <mergeCell ref="BY9:CA9"/>
    <mergeCell ref="CH9:CJ9"/>
    <mergeCell ref="CQ9:CS9"/>
    <mergeCell ref="AO6:AQ6"/>
    <mergeCell ref="AX6:AZ6"/>
    <mergeCell ref="BG6:BI6"/>
    <mergeCell ref="BP6:BR6"/>
    <mergeCell ref="BY6:CA6"/>
    <mergeCell ref="CH6:CJ6"/>
    <mergeCell ref="CQ6:CS6"/>
    <mergeCell ref="AO7:AQ7"/>
    <mergeCell ref="AX7:AZ7"/>
    <mergeCell ref="BG7:BI7"/>
    <mergeCell ref="BP7:BR7"/>
    <mergeCell ref="BY7:CA7"/>
    <mergeCell ref="CH7:CJ7"/>
    <mergeCell ref="CQ7:CS7"/>
    <mergeCell ref="E19:G19"/>
    <mergeCell ref="N19:P19"/>
    <mergeCell ref="W19:Y19"/>
    <mergeCell ref="E17:G17"/>
    <mergeCell ref="N17:P17"/>
    <mergeCell ref="W17:Y17"/>
    <mergeCell ref="E18:G18"/>
    <mergeCell ref="N18:P18"/>
    <mergeCell ref="W18:Y18"/>
    <mergeCell ref="W15:Y15"/>
    <mergeCell ref="E16:G16"/>
    <mergeCell ref="N16:P16"/>
    <mergeCell ref="W16:Y16"/>
    <mergeCell ref="E13:G13"/>
    <mergeCell ref="N13:P13"/>
    <mergeCell ref="W13:Y13"/>
    <mergeCell ref="E14:G14"/>
    <mergeCell ref="N14:P14"/>
    <mergeCell ref="W14:Y14"/>
    <mergeCell ref="B1:K1"/>
    <mergeCell ref="B2:J2"/>
    <mergeCell ref="B3:J3"/>
    <mergeCell ref="I4:I5"/>
    <mergeCell ref="R4:R5"/>
    <mergeCell ref="AA4:AA5"/>
    <mergeCell ref="AF13:AH13"/>
    <mergeCell ref="AF14:AH14"/>
    <mergeCell ref="AF15:AH15"/>
    <mergeCell ref="N7:P7"/>
    <mergeCell ref="W7:Y7"/>
    <mergeCell ref="E8:G8"/>
    <mergeCell ref="N8:P8"/>
    <mergeCell ref="W8:Y8"/>
    <mergeCell ref="A6:B6"/>
    <mergeCell ref="E6:G6"/>
    <mergeCell ref="J6:K6"/>
    <mergeCell ref="N6:P6"/>
    <mergeCell ref="S6:T6"/>
    <mergeCell ref="W6:Y6"/>
    <mergeCell ref="E11:G11"/>
    <mergeCell ref="N11:P11"/>
    <mergeCell ref="W11:Y11"/>
    <mergeCell ref="E12:G12"/>
    <mergeCell ref="AF16:AH16"/>
    <mergeCell ref="AF17:AH17"/>
    <mergeCell ref="AF18:AH18"/>
    <mergeCell ref="AF19:AH19"/>
    <mergeCell ref="E7:G7"/>
    <mergeCell ref="AJ4:AJ5"/>
    <mergeCell ref="AB6:AC6"/>
    <mergeCell ref="AF6:AH6"/>
    <mergeCell ref="AF7:AH7"/>
    <mergeCell ref="AF8:AH8"/>
    <mergeCell ref="AF9:AH9"/>
    <mergeCell ref="AF10:AH10"/>
    <mergeCell ref="AF11:AH11"/>
    <mergeCell ref="AF12:AH12"/>
    <mergeCell ref="N12:P12"/>
    <mergeCell ref="W12:Y12"/>
    <mergeCell ref="E9:G9"/>
    <mergeCell ref="N9:P9"/>
    <mergeCell ref="W9:Y9"/>
    <mergeCell ref="E10:G10"/>
    <mergeCell ref="N10:P10"/>
    <mergeCell ref="W10:Y10"/>
    <mergeCell ref="E15:G15"/>
    <mergeCell ref="N15:P15"/>
  </mergeCells>
  <phoneticPr fontId="18" type="noConversion"/>
  <conditionalFormatting sqref="CB11:CB19">
    <cfRule type="containsBlanks" priority="79" stopIfTrue="1">
      <formula>LEN(TRIM(CB11))=0</formula>
    </cfRule>
    <cfRule type="cellIs" dxfId="2423" priority="80" stopIfTrue="1" operator="greaterThan">
      <formula>-30</formula>
    </cfRule>
    <cfRule type="cellIs" dxfId="2422" priority="81" stopIfTrue="1" operator="between">
      <formula>-33</formula>
      <formula>-30</formula>
    </cfRule>
  </conditionalFormatting>
  <conditionalFormatting sqref="Z10">
    <cfRule type="containsBlanks" priority="76" stopIfTrue="1">
      <formula>LEN(TRIM(Z10))=0</formula>
    </cfRule>
    <cfRule type="cellIs" dxfId="2421" priority="77" stopIfTrue="1" operator="greaterThan">
      <formula>-30</formula>
    </cfRule>
    <cfRule type="cellIs" dxfId="2420" priority="78" stopIfTrue="1" operator="between">
      <formula>-33</formula>
      <formula>-30</formula>
    </cfRule>
  </conditionalFormatting>
  <conditionalFormatting sqref="Z11">
    <cfRule type="containsBlanks" priority="73" stopIfTrue="1">
      <formula>LEN(TRIM(Z11))=0</formula>
    </cfRule>
    <cfRule type="cellIs" dxfId="2419" priority="74" stopIfTrue="1" operator="greaterThan">
      <formula>-30</formula>
    </cfRule>
    <cfRule type="cellIs" dxfId="2418" priority="75" stopIfTrue="1" operator="between">
      <formula>-33</formula>
      <formula>-30</formula>
    </cfRule>
  </conditionalFormatting>
  <conditionalFormatting sqref="AI10">
    <cfRule type="containsBlanks" priority="70" stopIfTrue="1">
      <formula>LEN(TRIM(AI10))=0</formula>
    </cfRule>
    <cfRule type="cellIs" dxfId="2417" priority="71" stopIfTrue="1" operator="greaterThan">
      <formula>-30</formula>
    </cfRule>
    <cfRule type="cellIs" dxfId="2416" priority="72" stopIfTrue="1" operator="between">
      <formula>-33</formula>
      <formula>-30</formula>
    </cfRule>
  </conditionalFormatting>
  <conditionalFormatting sqref="AI11:AI19">
    <cfRule type="containsBlanks" priority="67" stopIfTrue="1">
      <formula>LEN(TRIM(AI11))=0</formula>
    </cfRule>
    <cfRule type="cellIs" dxfId="2415" priority="68" stopIfTrue="1" operator="greaterThan">
      <formula>-30</formula>
    </cfRule>
    <cfRule type="cellIs" dxfId="2414" priority="69" stopIfTrue="1" operator="between">
      <formula>-33</formula>
      <formula>-30</formula>
    </cfRule>
  </conditionalFormatting>
  <conditionalFormatting sqref="AR10">
    <cfRule type="containsBlanks" priority="64" stopIfTrue="1">
      <formula>LEN(TRIM(AR10))=0</formula>
    </cfRule>
    <cfRule type="cellIs" dxfId="2413" priority="65" stopIfTrue="1" operator="greaterThan">
      <formula>-30</formula>
    </cfRule>
    <cfRule type="cellIs" dxfId="2412" priority="66" stopIfTrue="1" operator="between">
      <formula>-33</formula>
      <formula>-30</formula>
    </cfRule>
  </conditionalFormatting>
  <conditionalFormatting sqref="AR11:AR19">
    <cfRule type="containsBlanks" priority="61" stopIfTrue="1">
      <formula>LEN(TRIM(AR11))=0</formula>
    </cfRule>
    <cfRule type="cellIs" dxfId="2411" priority="62" stopIfTrue="1" operator="greaterThan">
      <formula>-30</formula>
    </cfRule>
    <cfRule type="cellIs" dxfId="2410" priority="63" stopIfTrue="1" operator="between">
      <formula>-33</formula>
      <formula>-30</formula>
    </cfRule>
  </conditionalFormatting>
  <conditionalFormatting sqref="BA10">
    <cfRule type="containsBlanks" priority="58" stopIfTrue="1">
      <formula>LEN(TRIM(BA10))=0</formula>
    </cfRule>
    <cfRule type="cellIs" dxfId="2409" priority="59" stopIfTrue="1" operator="greaterThan">
      <formula>-30</formula>
    </cfRule>
    <cfRule type="cellIs" dxfId="2408" priority="60" stopIfTrue="1" operator="between">
      <formula>-33</formula>
      <formula>-30</formula>
    </cfRule>
  </conditionalFormatting>
  <conditionalFormatting sqref="BA11:BA19">
    <cfRule type="containsBlanks" priority="55" stopIfTrue="1">
      <formula>LEN(TRIM(BA11))=0</formula>
    </cfRule>
    <cfRule type="cellIs" dxfId="2407" priority="56" stopIfTrue="1" operator="greaterThan">
      <formula>-30</formula>
    </cfRule>
    <cfRule type="cellIs" dxfId="2406" priority="57" stopIfTrue="1" operator="between">
      <formula>-33</formula>
      <formula>-30</formula>
    </cfRule>
  </conditionalFormatting>
  <conditionalFormatting sqref="BJ10">
    <cfRule type="containsBlanks" priority="52" stopIfTrue="1">
      <formula>LEN(TRIM(BJ10))=0</formula>
    </cfRule>
    <cfRule type="cellIs" dxfId="2405" priority="53" stopIfTrue="1" operator="greaterThan">
      <formula>-30</formula>
    </cfRule>
    <cfRule type="cellIs" dxfId="2404" priority="54" stopIfTrue="1" operator="between">
      <formula>-33</formula>
      <formula>-30</formula>
    </cfRule>
  </conditionalFormatting>
  <conditionalFormatting sqref="BJ11:BJ19">
    <cfRule type="containsBlanks" priority="49" stopIfTrue="1">
      <formula>LEN(TRIM(BJ11))=0</formula>
    </cfRule>
    <cfRule type="cellIs" dxfId="2403" priority="50" stopIfTrue="1" operator="greaterThan">
      <formula>-30</formula>
    </cfRule>
    <cfRule type="cellIs" dxfId="2402" priority="51" stopIfTrue="1" operator="between">
      <formula>-33</formula>
      <formula>-30</formula>
    </cfRule>
  </conditionalFormatting>
  <conditionalFormatting sqref="BS10">
    <cfRule type="containsBlanks" priority="46" stopIfTrue="1">
      <formula>LEN(TRIM(BS10))=0</formula>
    </cfRule>
    <cfRule type="cellIs" dxfId="2401" priority="47" stopIfTrue="1" operator="greaterThan">
      <formula>-30</formula>
    </cfRule>
    <cfRule type="cellIs" dxfId="2400" priority="48" stopIfTrue="1" operator="between">
      <formula>-33</formula>
      <formula>-30</formula>
    </cfRule>
  </conditionalFormatting>
  <conditionalFormatting sqref="BS11:BS19">
    <cfRule type="containsBlanks" priority="43" stopIfTrue="1">
      <formula>LEN(TRIM(BS11))=0</formula>
    </cfRule>
    <cfRule type="cellIs" dxfId="2399" priority="44" stopIfTrue="1" operator="greaterThan">
      <formula>-30</formula>
    </cfRule>
    <cfRule type="cellIs" dxfId="2398" priority="45" stopIfTrue="1" operator="between">
      <formula>-33</formula>
      <formula>-30</formula>
    </cfRule>
  </conditionalFormatting>
  <conditionalFormatting sqref="CB10">
    <cfRule type="containsBlanks" priority="40" stopIfTrue="1">
      <formula>LEN(TRIM(CB10))=0</formula>
    </cfRule>
    <cfRule type="cellIs" dxfId="2397" priority="41" stopIfTrue="1" operator="greaterThan">
      <formula>-30</formula>
    </cfRule>
    <cfRule type="cellIs" dxfId="2396" priority="42" stopIfTrue="1" operator="between">
      <formula>-33</formula>
      <formula>-30</formula>
    </cfRule>
  </conditionalFormatting>
  <conditionalFormatting sqref="CB11:CB19">
    <cfRule type="containsBlanks" priority="37" stopIfTrue="1">
      <formula>LEN(TRIM(CB11))=0</formula>
    </cfRule>
    <cfRule type="cellIs" dxfId="2395" priority="38" stopIfTrue="1" operator="greaterThan">
      <formula>-30</formula>
    </cfRule>
    <cfRule type="cellIs" dxfId="2394" priority="39" stopIfTrue="1" operator="between">
      <formula>-33</formula>
      <formula>-30</formula>
    </cfRule>
  </conditionalFormatting>
  <conditionalFormatting sqref="CK10">
    <cfRule type="containsBlanks" priority="34" stopIfTrue="1">
      <formula>LEN(TRIM(CK10))=0</formula>
    </cfRule>
    <cfRule type="cellIs" dxfId="2393" priority="35" stopIfTrue="1" operator="greaterThan">
      <formula>-30</formula>
    </cfRule>
    <cfRule type="cellIs" dxfId="2392" priority="36" stopIfTrue="1" operator="between">
      <formula>-33</formula>
      <formula>-30</formula>
    </cfRule>
  </conditionalFormatting>
  <conditionalFormatting sqref="CK11:CK19">
    <cfRule type="containsBlanks" priority="31" stopIfTrue="1">
      <formula>LEN(TRIM(CK11))=0</formula>
    </cfRule>
    <cfRule type="cellIs" dxfId="2391" priority="32" stopIfTrue="1" operator="greaterThan">
      <formula>-30</formula>
    </cfRule>
    <cfRule type="cellIs" dxfId="2390" priority="33" stopIfTrue="1" operator="between">
      <formula>-33</formula>
      <formula>-30</formula>
    </cfRule>
  </conditionalFormatting>
  <conditionalFormatting sqref="CT10">
    <cfRule type="containsBlanks" priority="28" stopIfTrue="1">
      <formula>LEN(TRIM(CT10))=0</formula>
    </cfRule>
    <cfRule type="cellIs" dxfId="2389" priority="29" stopIfTrue="1" operator="greaterThan">
      <formula>-30</formula>
    </cfRule>
    <cfRule type="cellIs" dxfId="2388" priority="30" stopIfTrue="1" operator="between">
      <formula>-33</formula>
      <formula>-30</formula>
    </cfRule>
  </conditionalFormatting>
  <conditionalFormatting sqref="CT11:CT19">
    <cfRule type="containsBlanks" priority="25" stopIfTrue="1">
      <formula>LEN(TRIM(CT11))=0</formula>
    </cfRule>
    <cfRule type="cellIs" dxfId="2387" priority="26" stopIfTrue="1" operator="greaterThan">
      <formula>-30</formula>
    </cfRule>
    <cfRule type="cellIs" dxfId="2386" priority="27" stopIfTrue="1" operator="between">
      <formula>-33</formula>
      <formula>-30</formula>
    </cfRule>
  </conditionalFormatting>
  <conditionalFormatting sqref="H12">
    <cfRule type="containsBlanks" priority="22" stopIfTrue="1">
      <formula>LEN(TRIM(H12))=0</formula>
    </cfRule>
    <cfRule type="cellIs" dxfId="2385" priority="23" stopIfTrue="1" operator="greaterThan">
      <formula>-30</formula>
    </cfRule>
    <cfRule type="cellIs" dxfId="2384" priority="24" stopIfTrue="1" operator="between">
      <formula>-33</formula>
      <formula>-30</formula>
    </cfRule>
  </conditionalFormatting>
  <conditionalFormatting sqref="H13">
    <cfRule type="containsBlanks" priority="19" stopIfTrue="1">
      <formula>LEN(TRIM(H13))=0</formula>
    </cfRule>
    <cfRule type="cellIs" dxfId="2383" priority="20" stopIfTrue="1" operator="greaterThan">
      <formula>-30</formula>
    </cfRule>
    <cfRule type="cellIs" dxfId="2382" priority="21" stopIfTrue="1" operator="between">
      <formula>-33</formula>
      <formula>-30</formula>
    </cfRule>
  </conditionalFormatting>
  <conditionalFormatting sqref="H14">
    <cfRule type="containsBlanks" priority="16" stopIfTrue="1">
      <formula>LEN(TRIM(H14))=0</formula>
    </cfRule>
    <cfRule type="cellIs" dxfId="2381" priority="17" stopIfTrue="1" operator="greaterThan">
      <formula>-30</formula>
    </cfRule>
    <cfRule type="cellIs" dxfId="2380" priority="18" stopIfTrue="1" operator="between">
      <formula>-33</formula>
      <formula>-30</formula>
    </cfRule>
  </conditionalFormatting>
  <conditionalFormatting sqref="H15">
    <cfRule type="containsBlanks" priority="13" stopIfTrue="1">
      <formula>LEN(TRIM(H15))=0</formula>
    </cfRule>
    <cfRule type="cellIs" dxfId="2379" priority="14" stopIfTrue="1" operator="greaterThan">
      <formula>-30</formula>
    </cfRule>
    <cfRule type="cellIs" dxfId="2378" priority="15" stopIfTrue="1" operator="between">
      <formula>-33</formula>
      <formula>-30</formula>
    </cfRule>
  </conditionalFormatting>
  <conditionalFormatting sqref="H16">
    <cfRule type="containsBlanks" priority="10" stopIfTrue="1">
      <formula>LEN(TRIM(H16))=0</formula>
    </cfRule>
    <cfRule type="cellIs" dxfId="2377" priority="11" stopIfTrue="1" operator="greaterThan">
      <formula>-30</formula>
    </cfRule>
    <cfRule type="cellIs" dxfId="2376" priority="12" stopIfTrue="1" operator="between">
      <formula>-33</formula>
      <formula>-30</formula>
    </cfRule>
  </conditionalFormatting>
  <conditionalFormatting sqref="H17">
    <cfRule type="containsBlanks" priority="7" stopIfTrue="1">
      <formula>LEN(TRIM(H17))=0</formula>
    </cfRule>
    <cfRule type="cellIs" dxfId="2375" priority="8" stopIfTrue="1" operator="greaterThan">
      <formula>-30</formula>
    </cfRule>
    <cfRule type="cellIs" dxfId="2374" priority="9" stopIfTrue="1" operator="between">
      <formula>-33</formula>
      <formula>-30</formula>
    </cfRule>
  </conditionalFormatting>
  <conditionalFormatting sqref="H18">
    <cfRule type="containsBlanks" priority="4" stopIfTrue="1">
      <formula>LEN(TRIM(H18))=0</formula>
    </cfRule>
    <cfRule type="cellIs" dxfId="2373" priority="5" stopIfTrue="1" operator="greaterThan">
      <formula>-30</formula>
    </cfRule>
    <cfRule type="cellIs" dxfId="2372" priority="6" stopIfTrue="1" operator="between">
      <formula>-33</formula>
      <formula>-30</formula>
    </cfRule>
  </conditionalFormatting>
  <conditionalFormatting sqref="H19">
    <cfRule type="containsBlanks" priority="1" stopIfTrue="1">
      <formula>LEN(TRIM(H19))=0</formula>
    </cfRule>
    <cfRule type="cellIs" dxfId="2371" priority="2" stopIfTrue="1" operator="greaterThan">
      <formula>-30</formula>
    </cfRule>
    <cfRule type="cellIs" dxfId="2370" priority="3" stopIfTrue="1" operator="between">
      <formula>-33</formula>
      <formula>-30</formula>
    </cfRule>
  </conditionalFormatting>
  <conditionalFormatting sqref="H7">
    <cfRule type="containsBlanks" priority="292" stopIfTrue="1">
      <formula>LEN(TRIM(H7))=0</formula>
    </cfRule>
    <cfRule type="cellIs" dxfId="2369" priority="293" stopIfTrue="1" operator="greaterThan">
      <formula>-30</formula>
    </cfRule>
    <cfRule type="cellIs" dxfId="2368" priority="294" stopIfTrue="1" operator="between">
      <formula>-33</formula>
      <formula>-30</formula>
    </cfRule>
  </conditionalFormatting>
  <conditionalFormatting sqref="H8">
    <cfRule type="containsBlanks" priority="289" stopIfTrue="1">
      <formula>LEN(TRIM(H8))=0</formula>
    </cfRule>
    <cfRule type="cellIs" dxfId="2367" priority="290" stopIfTrue="1" operator="greaterThan">
      <formula>-30</formula>
    </cfRule>
    <cfRule type="cellIs" dxfId="2366" priority="291" stopIfTrue="1" operator="between">
      <formula>-33</formula>
      <formula>-30</formula>
    </cfRule>
  </conditionalFormatting>
  <conditionalFormatting sqref="H9">
    <cfRule type="containsBlanks" priority="286" stopIfTrue="1">
      <formula>LEN(TRIM(H9))=0</formula>
    </cfRule>
    <cfRule type="cellIs" dxfId="2365" priority="287" stopIfTrue="1" operator="greaterThan">
      <formula>-30</formula>
    </cfRule>
    <cfRule type="cellIs" dxfId="2364" priority="288" stopIfTrue="1" operator="between">
      <formula>-33</formula>
      <formula>-30</formula>
    </cfRule>
  </conditionalFormatting>
  <conditionalFormatting sqref="Q7">
    <cfRule type="containsBlanks" priority="283" stopIfTrue="1">
      <formula>LEN(TRIM(Q7))=0</formula>
    </cfRule>
    <cfRule type="cellIs" dxfId="2363" priority="284" stopIfTrue="1" operator="greaterThan">
      <formula>-30</formula>
    </cfRule>
    <cfRule type="cellIs" dxfId="2362" priority="285" stopIfTrue="1" operator="between">
      <formula>-33</formula>
      <formula>-30</formula>
    </cfRule>
  </conditionalFormatting>
  <conditionalFormatting sqref="Q8">
    <cfRule type="containsBlanks" priority="280" stopIfTrue="1">
      <formula>LEN(TRIM(Q8))=0</formula>
    </cfRule>
    <cfRule type="cellIs" dxfId="2361" priority="281" stopIfTrue="1" operator="greaterThan">
      <formula>-30</formula>
    </cfRule>
    <cfRule type="cellIs" dxfId="2360" priority="282" stopIfTrue="1" operator="between">
      <formula>-33</formula>
      <formula>-30</formula>
    </cfRule>
  </conditionalFormatting>
  <conditionalFormatting sqref="Q9">
    <cfRule type="containsBlanks" priority="277" stopIfTrue="1">
      <formula>LEN(TRIM(Q9))=0</formula>
    </cfRule>
    <cfRule type="cellIs" dxfId="2359" priority="278" stopIfTrue="1" operator="greaterThan">
      <formula>-30</formula>
    </cfRule>
    <cfRule type="cellIs" dxfId="2358" priority="279" stopIfTrue="1" operator="between">
      <formula>-33</formula>
      <formula>-30</formula>
    </cfRule>
  </conditionalFormatting>
  <conditionalFormatting sqref="Z7">
    <cfRule type="containsBlanks" priority="274" stopIfTrue="1">
      <formula>LEN(TRIM(Z7))=0</formula>
    </cfRule>
    <cfRule type="cellIs" dxfId="2357" priority="275" stopIfTrue="1" operator="greaterThan">
      <formula>-30</formula>
    </cfRule>
    <cfRule type="cellIs" dxfId="2356" priority="276" stopIfTrue="1" operator="between">
      <formula>-33</formula>
      <formula>-30</formula>
    </cfRule>
  </conditionalFormatting>
  <conditionalFormatting sqref="Z8">
    <cfRule type="containsBlanks" priority="271" stopIfTrue="1">
      <formula>LEN(TRIM(Z8))=0</formula>
    </cfRule>
    <cfRule type="cellIs" dxfId="2355" priority="272" stopIfTrue="1" operator="greaterThan">
      <formula>-30</formula>
    </cfRule>
    <cfRule type="cellIs" dxfId="2354" priority="273" stopIfTrue="1" operator="between">
      <formula>-33</formula>
      <formula>-30</formula>
    </cfRule>
  </conditionalFormatting>
  <conditionalFormatting sqref="Z9">
    <cfRule type="containsBlanks" priority="268" stopIfTrue="1">
      <formula>LEN(TRIM(Z9))=0</formula>
    </cfRule>
    <cfRule type="cellIs" dxfId="2353" priority="269" stopIfTrue="1" operator="greaterThan">
      <formula>-30</formula>
    </cfRule>
    <cfRule type="cellIs" dxfId="2352" priority="270" stopIfTrue="1" operator="between">
      <formula>-33</formula>
      <formula>-30</formula>
    </cfRule>
  </conditionalFormatting>
  <conditionalFormatting sqref="AI7">
    <cfRule type="containsBlanks" priority="265" stopIfTrue="1">
      <formula>LEN(TRIM(AI7))=0</formula>
    </cfRule>
    <cfRule type="cellIs" dxfId="2351" priority="266" stopIfTrue="1" operator="greaterThan">
      <formula>-30</formula>
    </cfRule>
    <cfRule type="cellIs" dxfId="2350" priority="267" stopIfTrue="1" operator="between">
      <formula>-33</formula>
      <formula>-30</formula>
    </cfRule>
  </conditionalFormatting>
  <conditionalFormatting sqref="AI8">
    <cfRule type="containsBlanks" priority="262" stopIfTrue="1">
      <formula>LEN(TRIM(AI8))=0</formula>
    </cfRule>
    <cfRule type="cellIs" dxfId="2349" priority="263" stopIfTrue="1" operator="greaterThan">
      <formula>-30</formula>
    </cfRule>
    <cfRule type="cellIs" dxfId="2348" priority="264" stopIfTrue="1" operator="between">
      <formula>-33</formula>
      <formula>-30</formula>
    </cfRule>
  </conditionalFormatting>
  <conditionalFormatting sqref="AI9">
    <cfRule type="containsBlanks" priority="259" stopIfTrue="1">
      <formula>LEN(TRIM(AI9))=0</formula>
    </cfRule>
    <cfRule type="cellIs" dxfId="2347" priority="260" stopIfTrue="1" operator="greaterThan">
      <formula>-30</formula>
    </cfRule>
    <cfRule type="cellIs" dxfId="2346" priority="261" stopIfTrue="1" operator="between">
      <formula>-33</formula>
      <formula>-30</formula>
    </cfRule>
  </conditionalFormatting>
  <conditionalFormatting sqref="AR7">
    <cfRule type="containsBlanks" priority="256" stopIfTrue="1">
      <formula>LEN(TRIM(AR7))=0</formula>
    </cfRule>
    <cfRule type="cellIs" dxfId="2345" priority="257" stopIfTrue="1" operator="greaterThan">
      <formula>-30</formula>
    </cfRule>
    <cfRule type="cellIs" dxfId="2344" priority="258" stopIfTrue="1" operator="between">
      <formula>-33</formula>
      <formula>-30</formula>
    </cfRule>
  </conditionalFormatting>
  <conditionalFormatting sqref="AR8">
    <cfRule type="containsBlanks" priority="253" stopIfTrue="1">
      <formula>LEN(TRIM(AR8))=0</formula>
    </cfRule>
    <cfRule type="cellIs" dxfId="2343" priority="254" stopIfTrue="1" operator="greaterThan">
      <formula>-30</formula>
    </cfRule>
    <cfRule type="cellIs" dxfId="2342" priority="255" stopIfTrue="1" operator="between">
      <formula>-33</formula>
      <formula>-30</formula>
    </cfRule>
  </conditionalFormatting>
  <conditionalFormatting sqref="AR9">
    <cfRule type="containsBlanks" priority="250" stopIfTrue="1">
      <formula>LEN(TRIM(AR9))=0</formula>
    </cfRule>
    <cfRule type="cellIs" dxfId="2341" priority="251" stopIfTrue="1" operator="greaterThan">
      <formula>-30</formula>
    </cfRule>
    <cfRule type="cellIs" dxfId="2340" priority="252" stopIfTrue="1" operator="between">
      <formula>-33</formula>
      <formula>-30</formula>
    </cfRule>
  </conditionalFormatting>
  <conditionalFormatting sqref="BA7">
    <cfRule type="containsBlanks" priority="247" stopIfTrue="1">
      <formula>LEN(TRIM(BA7))=0</formula>
    </cfRule>
    <cfRule type="cellIs" dxfId="2339" priority="248" stopIfTrue="1" operator="greaterThan">
      <formula>-30</formula>
    </cfRule>
    <cfRule type="cellIs" dxfId="2338" priority="249" stopIfTrue="1" operator="between">
      <formula>-33</formula>
      <formula>-30</formula>
    </cfRule>
  </conditionalFormatting>
  <conditionalFormatting sqref="BA8">
    <cfRule type="containsBlanks" priority="244" stopIfTrue="1">
      <formula>LEN(TRIM(BA8))=0</formula>
    </cfRule>
    <cfRule type="cellIs" dxfId="2337" priority="245" stopIfTrue="1" operator="greaterThan">
      <formula>-30</formula>
    </cfRule>
    <cfRule type="cellIs" dxfId="2336" priority="246" stopIfTrue="1" operator="between">
      <formula>-33</formula>
      <formula>-30</formula>
    </cfRule>
  </conditionalFormatting>
  <conditionalFormatting sqref="BA9">
    <cfRule type="containsBlanks" priority="241" stopIfTrue="1">
      <formula>LEN(TRIM(BA9))=0</formula>
    </cfRule>
    <cfRule type="cellIs" dxfId="2335" priority="242" stopIfTrue="1" operator="greaterThan">
      <formula>-30</formula>
    </cfRule>
    <cfRule type="cellIs" dxfId="2334" priority="243" stopIfTrue="1" operator="between">
      <formula>-33</formula>
      <formula>-30</formula>
    </cfRule>
  </conditionalFormatting>
  <conditionalFormatting sqref="BJ7">
    <cfRule type="containsBlanks" priority="238" stopIfTrue="1">
      <formula>LEN(TRIM(BJ7))=0</formula>
    </cfRule>
    <cfRule type="cellIs" dxfId="2333" priority="239" stopIfTrue="1" operator="greaterThan">
      <formula>-30</formula>
    </cfRule>
    <cfRule type="cellIs" dxfId="2332" priority="240" stopIfTrue="1" operator="between">
      <formula>-33</formula>
      <formula>-30</formula>
    </cfRule>
  </conditionalFormatting>
  <conditionalFormatting sqref="BJ8">
    <cfRule type="containsBlanks" priority="235" stopIfTrue="1">
      <formula>LEN(TRIM(BJ8))=0</formula>
    </cfRule>
    <cfRule type="cellIs" dxfId="2331" priority="236" stopIfTrue="1" operator="greaterThan">
      <formula>-30</formula>
    </cfRule>
    <cfRule type="cellIs" dxfId="2330" priority="237" stopIfTrue="1" operator="between">
      <formula>-33</formula>
      <formula>-30</formula>
    </cfRule>
  </conditionalFormatting>
  <conditionalFormatting sqref="BJ9">
    <cfRule type="containsBlanks" priority="232" stopIfTrue="1">
      <formula>LEN(TRIM(BJ9))=0</formula>
    </cfRule>
    <cfRule type="cellIs" dxfId="2329" priority="233" stopIfTrue="1" operator="greaterThan">
      <formula>-30</formula>
    </cfRule>
    <cfRule type="cellIs" dxfId="2328" priority="234" stopIfTrue="1" operator="between">
      <formula>-33</formula>
      <formula>-30</formula>
    </cfRule>
  </conditionalFormatting>
  <conditionalFormatting sqref="BS7">
    <cfRule type="containsBlanks" priority="229" stopIfTrue="1">
      <formula>LEN(TRIM(BS7))=0</formula>
    </cfRule>
    <cfRule type="cellIs" dxfId="2327" priority="230" stopIfTrue="1" operator="greaterThan">
      <formula>-30</formula>
    </cfRule>
    <cfRule type="cellIs" dxfId="2326" priority="231" stopIfTrue="1" operator="between">
      <formula>-33</formula>
      <formula>-30</formula>
    </cfRule>
  </conditionalFormatting>
  <conditionalFormatting sqref="BS8">
    <cfRule type="containsBlanks" priority="226" stopIfTrue="1">
      <formula>LEN(TRIM(BS8))=0</formula>
    </cfRule>
    <cfRule type="cellIs" dxfId="2325" priority="227" stopIfTrue="1" operator="greaterThan">
      <formula>-30</formula>
    </cfRule>
    <cfRule type="cellIs" dxfId="2324" priority="228" stopIfTrue="1" operator="between">
      <formula>-33</formula>
      <formula>-30</formula>
    </cfRule>
  </conditionalFormatting>
  <conditionalFormatting sqref="BS9">
    <cfRule type="containsBlanks" priority="223" stopIfTrue="1">
      <formula>LEN(TRIM(BS9))=0</formula>
    </cfRule>
    <cfRule type="cellIs" dxfId="2323" priority="224" stopIfTrue="1" operator="greaterThan">
      <formula>-30</formula>
    </cfRule>
    <cfRule type="cellIs" dxfId="2322" priority="225" stopIfTrue="1" operator="between">
      <formula>-33</formula>
      <formula>-30</formula>
    </cfRule>
  </conditionalFormatting>
  <conditionalFormatting sqref="CB7">
    <cfRule type="containsBlanks" priority="220" stopIfTrue="1">
      <formula>LEN(TRIM(CB7))=0</formula>
    </cfRule>
    <cfRule type="cellIs" dxfId="2321" priority="221" stopIfTrue="1" operator="greaterThan">
      <formula>-30</formula>
    </cfRule>
    <cfRule type="cellIs" dxfId="2320" priority="222" stopIfTrue="1" operator="between">
      <formula>-33</formula>
      <formula>-30</formula>
    </cfRule>
  </conditionalFormatting>
  <conditionalFormatting sqref="CB8">
    <cfRule type="containsBlanks" priority="217" stopIfTrue="1">
      <formula>LEN(TRIM(CB8))=0</formula>
    </cfRule>
    <cfRule type="cellIs" dxfId="2319" priority="218" stopIfTrue="1" operator="greaterThan">
      <formula>-30</formula>
    </cfRule>
    <cfRule type="cellIs" dxfId="2318" priority="219" stopIfTrue="1" operator="between">
      <formula>-33</formula>
      <formula>-30</formula>
    </cfRule>
  </conditionalFormatting>
  <conditionalFormatting sqref="CB9">
    <cfRule type="containsBlanks" priority="214" stopIfTrue="1">
      <formula>LEN(TRIM(CB9))=0</formula>
    </cfRule>
    <cfRule type="cellIs" dxfId="2317" priority="215" stopIfTrue="1" operator="greaterThan">
      <formula>-30</formula>
    </cfRule>
    <cfRule type="cellIs" dxfId="2316" priority="216" stopIfTrue="1" operator="between">
      <formula>-33</formula>
      <formula>-30</formula>
    </cfRule>
  </conditionalFormatting>
  <conditionalFormatting sqref="Z7">
    <cfRule type="containsBlanks" priority="211" stopIfTrue="1">
      <formula>LEN(TRIM(Z7))=0</formula>
    </cfRule>
    <cfRule type="cellIs" dxfId="2315" priority="212" stopIfTrue="1" operator="greaterThan">
      <formula>-30</formula>
    </cfRule>
    <cfRule type="cellIs" dxfId="2314" priority="213" stopIfTrue="1" operator="between">
      <formula>-33</formula>
      <formula>-30</formula>
    </cfRule>
  </conditionalFormatting>
  <conditionalFormatting sqref="Z8">
    <cfRule type="containsBlanks" priority="208" stopIfTrue="1">
      <formula>LEN(TRIM(Z8))=0</formula>
    </cfRule>
    <cfRule type="cellIs" dxfId="2313" priority="209" stopIfTrue="1" operator="greaterThan">
      <formula>-30</formula>
    </cfRule>
    <cfRule type="cellIs" dxfId="2312" priority="210" stopIfTrue="1" operator="between">
      <formula>-33</formula>
      <formula>-30</formula>
    </cfRule>
  </conditionalFormatting>
  <conditionalFormatting sqref="Z9">
    <cfRule type="containsBlanks" priority="205" stopIfTrue="1">
      <formula>LEN(TRIM(Z9))=0</formula>
    </cfRule>
    <cfRule type="cellIs" dxfId="2311" priority="206" stopIfTrue="1" operator="greaterThan">
      <formula>-30</formula>
    </cfRule>
    <cfRule type="cellIs" dxfId="2310" priority="207" stopIfTrue="1" operator="between">
      <formula>-33</formula>
      <formula>-30</formula>
    </cfRule>
  </conditionalFormatting>
  <conditionalFormatting sqref="AI7">
    <cfRule type="containsBlanks" priority="202" stopIfTrue="1">
      <formula>LEN(TRIM(AI7))=0</formula>
    </cfRule>
    <cfRule type="cellIs" dxfId="2309" priority="203" stopIfTrue="1" operator="greaterThan">
      <formula>-30</formula>
    </cfRule>
    <cfRule type="cellIs" dxfId="2308" priority="204" stopIfTrue="1" operator="between">
      <formula>-33</formula>
      <formula>-30</formula>
    </cfRule>
  </conditionalFormatting>
  <conditionalFormatting sqref="AI8">
    <cfRule type="containsBlanks" priority="199" stopIfTrue="1">
      <formula>LEN(TRIM(AI8))=0</formula>
    </cfRule>
    <cfRule type="cellIs" dxfId="2307" priority="200" stopIfTrue="1" operator="greaterThan">
      <formula>-30</formula>
    </cfRule>
    <cfRule type="cellIs" dxfId="2306" priority="201" stopIfTrue="1" operator="between">
      <formula>-33</formula>
      <formula>-30</formula>
    </cfRule>
  </conditionalFormatting>
  <conditionalFormatting sqref="AI9">
    <cfRule type="containsBlanks" priority="196" stopIfTrue="1">
      <formula>LEN(TRIM(AI9))=0</formula>
    </cfRule>
    <cfRule type="cellIs" dxfId="2305" priority="197" stopIfTrue="1" operator="greaterThan">
      <formula>-30</formula>
    </cfRule>
    <cfRule type="cellIs" dxfId="2304" priority="198" stopIfTrue="1" operator="between">
      <formula>-33</formula>
      <formula>-30</formula>
    </cfRule>
  </conditionalFormatting>
  <conditionalFormatting sqref="AR7">
    <cfRule type="containsBlanks" priority="193" stopIfTrue="1">
      <formula>LEN(TRIM(AR7))=0</formula>
    </cfRule>
    <cfRule type="cellIs" dxfId="2303" priority="194" stopIfTrue="1" operator="greaterThan">
      <formula>-30</formula>
    </cfRule>
    <cfRule type="cellIs" dxfId="2302" priority="195" stopIfTrue="1" operator="between">
      <formula>-33</formula>
      <formula>-30</formula>
    </cfRule>
  </conditionalFormatting>
  <conditionalFormatting sqref="AR8">
    <cfRule type="containsBlanks" priority="190" stopIfTrue="1">
      <formula>LEN(TRIM(AR8))=0</formula>
    </cfRule>
    <cfRule type="cellIs" dxfId="2301" priority="191" stopIfTrue="1" operator="greaterThan">
      <formula>-30</formula>
    </cfRule>
    <cfRule type="cellIs" dxfId="2300" priority="192" stopIfTrue="1" operator="between">
      <formula>-33</formula>
      <formula>-30</formula>
    </cfRule>
  </conditionalFormatting>
  <conditionalFormatting sqref="AR9">
    <cfRule type="containsBlanks" priority="187" stopIfTrue="1">
      <formula>LEN(TRIM(AR9))=0</formula>
    </cfRule>
    <cfRule type="cellIs" dxfId="2299" priority="188" stopIfTrue="1" operator="greaterThan">
      <formula>-30</formula>
    </cfRule>
    <cfRule type="cellIs" dxfId="2298" priority="189" stopIfTrue="1" operator="between">
      <formula>-33</formula>
      <formula>-30</formula>
    </cfRule>
  </conditionalFormatting>
  <conditionalFormatting sqref="BA7">
    <cfRule type="containsBlanks" priority="184" stopIfTrue="1">
      <formula>LEN(TRIM(BA7))=0</formula>
    </cfRule>
    <cfRule type="cellIs" dxfId="2297" priority="185" stopIfTrue="1" operator="greaterThan">
      <formula>-30</formula>
    </cfRule>
    <cfRule type="cellIs" dxfId="2296" priority="186" stopIfTrue="1" operator="between">
      <formula>-33</formula>
      <formula>-30</formula>
    </cfRule>
  </conditionalFormatting>
  <conditionalFormatting sqref="BA8">
    <cfRule type="containsBlanks" priority="181" stopIfTrue="1">
      <formula>LEN(TRIM(BA8))=0</formula>
    </cfRule>
    <cfRule type="cellIs" dxfId="2295" priority="182" stopIfTrue="1" operator="greaterThan">
      <formula>-30</formula>
    </cfRule>
    <cfRule type="cellIs" dxfId="2294" priority="183" stopIfTrue="1" operator="between">
      <formula>-33</formula>
      <formula>-30</formula>
    </cfRule>
  </conditionalFormatting>
  <conditionalFormatting sqref="BA9">
    <cfRule type="containsBlanks" priority="178" stopIfTrue="1">
      <formula>LEN(TRIM(BA9))=0</formula>
    </cfRule>
    <cfRule type="cellIs" dxfId="2293" priority="179" stopIfTrue="1" operator="greaterThan">
      <formula>-30</formula>
    </cfRule>
    <cfRule type="cellIs" dxfId="2292" priority="180" stopIfTrue="1" operator="between">
      <formula>-33</formula>
      <formula>-30</formula>
    </cfRule>
  </conditionalFormatting>
  <conditionalFormatting sqref="BJ7">
    <cfRule type="containsBlanks" priority="175" stopIfTrue="1">
      <formula>LEN(TRIM(BJ7))=0</formula>
    </cfRule>
    <cfRule type="cellIs" dxfId="2291" priority="176" stopIfTrue="1" operator="greaterThan">
      <formula>-30</formula>
    </cfRule>
    <cfRule type="cellIs" dxfId="2290" priority="177" stopIfTrue="1" operator="between">
      <formula>-33</formula>
      <formula>-30</formula>
    </cfRule>
  </conditionalFormatting>
  <conditionalFormatting sqref="BJ8">
    <cfRule type="containsBlanks" priority="172" stopIfTrue="1">
      <formula>LEN(TRIM(BJ8))=0</formula>
    </cfRule>
    <cfRule type="cellIs" dxfId="2289" priority="173" stopIfTrue="1" operator="greaterThan">
      <formula>-30</formula>
    </cfRule>
    <cfRule type="cellIs" dxfId="2288" priority="174" stopIfTrue="1" operator="between">
      <formula>-33</formula>
      <formula>-30</formula>
    </cfRule>
  </conditionalFormatting>
  <conditionalFormatting sqref="BJ9">
    <cfRule type="containsBlanks" priority="169" stopIfTrue="1">
      <formula>LEN(TRIM(BJ9))=0</formula>
    </cfRule>
    <cfRule type="cellIs" dxfId="2287" priority="170" stopIfTrue="1" operator="greaterThan">
      <formula>-30</formula>
    </cfRule>
    <cfRule type="cellIs" dxfId="2286" priority="171" stopIfTrue="1" operator="between">
      <formula>-33</formula>
      <formula>-30</formula>
    </cfRule>
  </conditionalFormatting>
  <conditionalFormatting sqref="BS7">
    <cfRule type="containsBlanks" priority="166" stopIfTrue="1">
      <formula>LEN(TRIM(BS7))=0</formula>
    </cfRule>
    <cfRule type="cellIs" dxfId="2285" priority="167" stopIfTrue="1" operator="greaterThan">
      <formula>-30</formula>
    </cfRule>
    <cfRule type="cellIs" dxfId="2284" priority="168" stopIfTrue="1" operator="between">
      <formula>-33</formula>
      <formula>-30</formula>
    </cfRule>
  </conditionalFormatting>
  <conditionalFormatting sqref="BS8">
    <cfRule type="containsBlanks" priority="163" stopIfTrue="1">
      <formula>LEN(TRIM(BS8))=0</formula>
    </cfRule>
    <cfRule type="cellIs" dxfId="2283" priority="164" stopIfTrue="1" operator="greaterThan">
      <formula>-30</formula>
    </cfRule>
    <cfRule type="cellIs" dxfId="2282" priority="165" stopIfTrue="1" operator="between">
      <formula>-33</formula>
      <formula>-30</formula>
    </cfRule>
  </conditionalFormatting>
  <conditionalFormatting sqref="BS9">
    <cfRule type="containsBlanks" priority="160" stopIfTrue="1">
      <formula>LEN(TRIM(BS9))=0</formula>
    </cfRule>
    <cfRule type="cellIs" dxfId="2281" priority="161" stopIfTrue="1" operator="greaterThan">
      <formula>-30</formula>
    </cfRule>
    <cfRule type="cellIs" dxfId="2280" priority="162" stopIfTrue="1" operator="between">
      <formula>-33</formula>
      <formula>-30</formula>
    </cfRule>
  </conditionalFormatting>
  <conditionalFormatting sqref="CB7">
    <cfRule type="containsBlanks" priority="157" stopIfTrue="1">
      <formula>LEN(TRIM(CB7))=0</formula>
    </cfRule>
    <cfRule type="cellIs" dxfId="2279" priority="158" stopIfTrue="1" operator="greaterThan">
      <formula>-30</formula>
    </cfRule>
    <cfRule type="cellIs" dxfId="2278" priority="159" stopIfTrue="1" operator="between">
      <formula>-33</formula>
      <formula>-30</formula>
    </cfRule>
  </conditionalFormatting>
  <conditionalFormatting sqref="CB8">
    <cfRule type="containsBlanks" priority="154" stopIfTrue="1">
      <formula>LEN(TRIM(CB8))=0</formula>
    </cfRule>
    <cfRule type="cellIs" dxfId="2277" priority="155" stopIfTrue="1" operator="greaterThan">
      <formula>-30</formula>
    </cfRule>
    <cfRule type="cellIs" dxfId="2276" priority="156" stopIfTrue="1" operator="between">
      <formula>-33</formula>
      <formula>-30</formula>
    </cfRule>
  </conditionalFormatting>
  <conditionalFormatting sqref="CB9">
    <cfRule type="containsBlanks" priority="151" stopIfTrue="1">
      <formula>LEN(TRIM(CB9))=0</formula>
    </cfRule>
    <cfRule type="cellIs" dxfId="2275" priority="152" stopIfTrue="1" operator="greaterThan">
      <formula>-30</formula>
    </cfRule>
    <cfRule type="cellIs" dxfId="2274" priority="153" stopIfTrue="1" operator="between">
      <formula>-33</formula>
      <formula>-30</formula>
    </cfRule>
  </conditionalFormatting>
  <conditionalFormatting sqref="CK7">
    <cfRule type="containsBlanks" priority="148" stopIfTrue="1">
      <formula>LEN(TRIM(CK7))=0</formula>
    </cfRule>
    <cfRule type="cellIs" dxfId="2273" priority="149" stopIfTrue="1" operator="greaterThan">
      <formula>-30</formula>
    </cfRule>
    <cfRule type="cellIs" dxfId="2272" priority="150" stopIfTrue="1" operator="between">
      <formula>-33</formula>
      <formula>-30</formula>
    </cfRule>
  </conditionalFormatting>
  <conditionalFormatting sqref="CK8">
    <cfRule type="containsBlanks" priority="145" stopIfTrue="1">
      <formula>LEN(TRIM(CK8))=0</formula>
    </cfRule>
    <cfRule type="cellIs" dxfId="2271" priority="146" stopIfTrue="1" operator="greaterThan">
      <formula>-30</formula>
    </cfRule>
    <cfRule type="cellIs" dxfId="2270" priority="147" stopIfTrue="1" operator="between">
      <formula>-33</formula>
      <formula>-30</formula>
    </cfRule>
  </conditionalFormatting>
  <conditionalFormatting sqref="CK9">
    <cfRule type="containsBlanks" priority="142" stopIfTrue="1">
      <formula>LEN(TRIM(CK9))=0</formula>
    </cfRule>
    <cfRule type="cellIs" dxfId="2269" priority="143" stopIfTrue="1" operator="greaterThan">
      <formula>-30</formula>
    </cfRule>
    <cfRule type="cellIs" dxfId="2268" priority="144" stopIfTrue="1" operator="between">
      <formula>-33</formula>
      <formula>-30</formula>
    </cfRule>
  </conditionalFormatting>
  <conditionalFormatting sqref="CT7">
    <cfRule type="containsBlanks" priority="139" stopIfTrue="1">
      <formula>LEN(TRIM(CT7))=0</formula>
    </cfRule>
    <cfRule type="cellIs" dxfId="2267" priority="140" stopIfTrue="1" operator="greaterThan">
      <formula>-30</formula>
    </cfRule>
    <cfRule type="cellIs" dxfId="2266" priority="141" stopIfTrue="1" operator="between">
      <formula>-33</formula>
      <formula>-30</formula>
    </cfRule>
  </conditionalFormatting>
  <conditionalFormatting sqref="CT8">
    <cfRule type="containsBlanks" priority="136" stopIfTrue="1">
      <formula>LEN(TRIM(CT8))=0</formula>
    </cfRule>
    <cfRule type="cellIs" dxfId="2265" priority="137" stopIfTrue="1" operator="greaterThan">
      <formula>-30</formula>
    </cfRule>
    <cfRule type="cellIs" dxfId="2264" priority="138" stopIfTrue="1" operator="between">
      <formula>-33</formula>
      <formula>-30</formula>
    </cfRule>
  </conditionalFormatting>
  <conditionalFormatting sqref="CT9">
    <cfRule type="containsBlanks" priority="133" stopIfTrue="1">
      <formula>LEN(TRIM(CT9))=0</formula>
    </cfRule>
    <cfRule type="cellIs" dxfId="2263" priority="134" stopIfTrue="1" operator="greaterThan">
      <formula>-30</formula>
    </cfRule>
    <cfRule type="cellIs" dxfId="2262" priority="135" stopIfTrue="1" operator="between">
      <formula>-33</formula>
      <formula>-30</formula>
    </cfRule>
  </conditionalFormatting>
  <conditionalFormatting sqref="H10">
    <cfRule type="containsBlanks" priority="130" stopIfTrue="1">
      <formula>LEN(TRIM(H10))=0</formula>
    </cfRule>
    <cfRule type="cellIs" dxfId="2261" priority="131" stopIfTrue="1" operator="greaterThan">
      <formula>-30</formula>
    </cfRule>
    <cfRule type="cellIs" dxfId="2260" priority="132" stopIfTrue="1" operator="between">
      <formula>-33</formula>
      <formula>-30</formula>
    </cfRule>
  </conditionalFormatting>
  <conditionalFormatting sqref="H11">
    <cfRule type="containsBlanks" priority="127" stopIfTrue="1">
      <formula>LEN(TRIM(H11))=0</formula>
    </cfRule>
    <cfRule type="cellIs" dxfId="2259" priority="128" stopIfTrue="1" operator="greaterThan">
      <formula>-30</formula>
    </cfRule>
    <cfRule type="cellIs" dxfId="2258" priority="129" stopIfTrue="1" operator="between">
      <formula>-33</formula>
      <formula>-30</formula>
    </cfRule>
  </conditionalFormatting>
  <conditionalFormatting sqref="Q10">
    <cfRule type="containsBlanks" priority="124" stopIfTrue="1">
      <formula>LEN(TRIM(Q10))=0</formula>
    </cfRule>
    <cfRule type="cellIs" dxfId="2257" priority="125" stopIfTrue="1" operator="greaterThan">
      <formula>-30</formula>
    </cfRule>
    <cfRule type="cellIs" dxfId="2256" priority="126" stopIfTrue="1" operator="between">
      <formula>-33</formula>
      <formula>-30</formula>
    </cfRule>
  </conditionalFormatting>
  <conditionalFormatting sqref="Q11">
    <cfRule type="containsBlanks" priority="121" stopIfTrue="1">
      <formula>LEN(TRIM(Q11))=0</formula>
    </cfRule>
    <cfRule type="cellIs" dxfId="2255" priority="122" stopIfTrue="1" operator="greaterThan">
      <formula>-30</formula>
    </cfRule>
    <cfRule type="cellIs" dxfId="2254" priority="123" stopIfTrue="1" operator="between">
      <formula>-33</formula>
      <formula>-30</formula>
    </cfRule>
  </conditionalFormatting>
  <conditionalFormatting sqref="Z10">
    <cfRule type="containsBlanks" priority="118" stopIfTrue="1">
      <formula>LEN(TRIM(Z10))=0</formula>
    </cfRule>
    <cfRule type="cellIs" dxfId="2253" priority="119" stopIfTrue="1" operator="greaterThan">
      <formula>-30</formula>
    </cfRule>
    <cfRule type="cellIs" dxfId="2252" priority="120" stopIfTrue="1" operator="between">
      <formula>-33</formula>
      <formula>-30</formula>
    </cfRule>
  </conditionalFormatting>
  <conditionalFormatting sqref="Z11">
    <cfRule type="containsBlanks" priority="115" stopIfTrue="1">
      <formula>LEN(TRIM(Z11))=0</formula>
    </cfRule>
    <cfRule type="cellIs" dxfId="2251" priority="116" stopIfTrue="1" operator="greaterThan">
      <formula>-30</formula>
    </cfRule>
    <cfRule type="cellIs" dxfId="2250" priority="117" stopIfTrue="1" operator="between">
      <formula>-33</formula>
      <formula>-30</formula>
    </cfRule>
  </conditionalFormatting>
  <conditionalFormatting sqref="AI10">
    <cfRule type="containsBlanks" priority="112" stopIfTrue="1">
      <formula>LEN(TRIM(AI10))=0</formula>
    </cfRule>
    <cfRule type="cellIs" dxfId="2249" priority="113" stopIfTrue="1" operator="greaterThan">
      <formula>-30</formula>
    </cfRule>
    <cfRule type="cellIs" dxfId="2248" priority="114" stopIfTrue="1" operator="between">
      <formula>-33</formula>
      <formula>-30</formula>
    </cfRule>
  </conditionalFormatting>
  <conditionalFormatting sqref="AI11:AI19">
    <cfRule type="containsBlanks" priority="109" stopIfTrue="1">
      <formula>LEN(TRIM(AI11))=0</formula>
    </cfRule>
    <cfRule type="cellIs" dxfId="2247" priority="110" stopIfTrue="1" operator="greaterThan">
      <formula>-30</formula>
    </cfRule>
    <cfRule type="cellIs" dxfId="2246" priority="111" stopIfTrue="1" operator="between">
      <formula>-33</formula>
      <formula>-30</formula>
    </cfRule>
  </conditionalFormatting>
  <conditionalFormatting sqref="AR10">
    <cfRule type="containsBlanks" priority="106" stopIfTrue="1">
      <formula>LEN(TRIM(AR10))=0</formula>
    </cfRule>
    <cfRule type="cellIs" dxfId="2245" priority="107" stopIfTrue="1" operator="greaterThan">
      <formula>-30</formula>
    </cfRule>
    <cfRule type="cellIs" dxfId="2244" priority="108" stopIfTrue="1" operator="between">
      <formula>-33</formula>
      <formula>-30</formula>
    </cfRule>
  </conditionalFormatting>
  <conditionalFormatting sqref="AR11:AR19">
    <cfRule type="containsBlanks" priority="103" stopIfTrue="1">
      <formula>LEN(TRIM(AR11))=0</formula>
    </cfRule>
    <cfRule type="cellIs" dxfId="2243" priority="104" stopIfTrue="1" operator="greaterThan">
      <formula>-30</formula>
    </cfRule>
    <cfRule type="cellIs" dxfId="2242" priority="105" stopIfTrue="1" operator="between">
      <formula>-33</formula>
      <formula>-30</formula>
    </cfRule>
  </conditionalFormatting>
  <conditionalFormatting sqref="BA10">
    <cfRule type="containsBlanks" priority="100" stopIfTrue="1">
      <formula>LEN(TRIM(BA10))=0</formula>
    </cfRule>
    <cfRule type="cellIs" dxfId="2241" priority="101" stopIfTrue="1" operator="greaterThan">
      <formula>-30</formula>
    </cfRule>
    <cfRule type="cellIs" dxfId="2240" priority="102" stopIfTrue="1" operator="between">
      <formula>-33</formula>
      <formula>-30</formula>
    </cfRule>
  </conditionalFormatting>
  <conditionalFormatting sqref="BA11:BA19">
    <cfRule type="containsBlanks" priority="97" stopIfTrue="1">
      <formula>LEN(TRIM(BA11))=0</formula>
    </cfRule>
    <cfRule type="cellIs" dxfId="2239" priority="98" stopIfTrue="1" operator="greaterThan">
      <formula>-30</formula>
    </cfRule>
    <cfRule type="cellIs" dxfId="2238" priority="99" stopIfTrue="1" operator="between">
      <formula>-33</formula>
      <formula>-30</formula>
    </cfRule>
  </conditionalFormatting>
  <conditionalFormatting sqref="BJ10">
    <cfRule type="containsBlanks" priority="94" stopIfTrue="1">
      <formula>LEN(TRIM(BJ10))=0</formula>
    </cfRule>
    <cfRule type="cellIs" dxfId="2237" priority="95" stopIfTrue="1" operator="greaterThan">
      <formula>-30</formula>
    </cfRule>
    <cfRule type="cellIs" dxfId="2236" priority="96" stopIfTrue="1" operator="between">
      <formula>-33</formula>
      <formula>-30</formula>
    </cfRule>
  </conditionalFormatting>
  <conditionalFormatting sqref="BJ11:BJ19">
    <cfRule type="containsBlanks" priority="91" stopIfTrue="1">
      <formula>LEN(TRIM(BJ11))=0</formula>
    </cfRule>
    <cfRule type="cellIs" dxfId="2235" priority="92" stopIfTrue="1" operator="greaterThan">
      <formula>-30</formula>
    </cfRule>
    <cfRule type="cellIs" dxfId="2234" priority="93" stopIfTrue="1" operator="between">
      <formula>-33</formula>
      <formula>-30</formula>
    </cfRule>
  </conditionalFormatting>
  <conditionalFormatting sqref="BS10">
    <cfRule type="containsBlanks" priority="88" stopIfTrue="1">
      <formula>LEN(TRIM(BS10))=0</formula>
    </cfRule>
    <cfRule type="cellIs" dxfId="2233" priority="89" stopIfTrue="1" operator="greaterThan">
      <formula>-30</formula>
    </cfRule>
    <cfRule type="cellIs" dxfId="2232" priority="90" stopIfTrue="1" operator="between">
      <formula>-33</formula>
      <formula>-30</formula>
    </cfRule>
  </conditionalFormatting>
  <conditionalFormatting sqref="BS11:BS19">
    <cfRule type="containsBlanks" priority="85" stopIfTrue="1">
      <formula>LEN(TRIM(BS11))=0</formula>
    </cfRule>
    <cfRule type="cellIs" dxfId="2231" priority="86" stopIfTrue="1" operator="greaterThan">
      <formula>-30</formula>
    </cfRule>
    <cfRule type="cellIs" dxfId="2230" priority="87" stopIfTrue="1" operator="between">
      <formula>-33</formula>
      <formula>-30</formula>
    </cfRule>
  </conditionalFormatting>
  <conditionalFormatting sqref="CB10">
    <cfRule type="containsBlanks" priority="82" stopIfTrue="1">
      <formula>LEN(TRIM(CB10))=0</formula>
    </cfRule>
    <cfRule type="cellIs" dxfId="2229" priority="83" stopIfTrue="1" operator="greaterThan">
      <formula>-30</formula>
    </cfRule>
    <cfRule type="cellIs" dxfId="2228" priority="84" stopIfTrue="1" operator="between">
      <formula>-33</formula>
      <formula>-30</formula>
    </cfRule>
  </conditionalFormatting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CC9"/>
  <sheetViews>
    <sheetView topLeftCell="C1" zoomScale="110" zoomScaleNormal="110" workbookViewId="0">
      <selection activeCell="CB7" sqref="CB7:CB9"/>
    </sheetView>
  </sheetViews>
  <sheetFormatPr defaultRowHeight="13.5"/>
  <cols>
    <col min="3" max="3" width="9.875" bestFit="1" customWidth="1"/>
    <col min="4" max="4" width="9" customWidth="1"/>
    <col min="9" max="9" width="7.625" bestFit="1" customWidth="1"/>
    <col min="10" max="10" width="7.75" bestFit="1" customWidth="1"/>
    <col min="11" max="11" width="8" bestFit="1" customWidth="1"/>
    <col min="12" max="12" width="9.875" bestFit="1" customWidth="1"/>
    <col min="18" max="18" width="7.625" bestFit="1" customWidth="1"/>
    <col min="19" max="19" width="7.75" bestFit="1" customWidth="1"/>
    <col min="20" max="20" width="8" bestFit="1" customWidth="1"/>
    <col min="21" max="21" width="9.875" bestFit="1" customWidth="1"/>
    <col min="27" max="27" width="7.625" bestFit="1" customWidth="1"/>
    <col min="259" max="259" width="9.875" bestFit="1" customWidth="1"/>
    <col min="260" max="260" width="9" customWidth="1"/>
    <col min="265" max="265" width="7.625" bestFit="1" customWidth="1"/>
    <col min="266" max="266" width="7.75" bestFit="1" customWidth="1"/>
    <col min="267" max="267" width="8" bestFit="1" customWidth="1"/>
    <col min="268" max="268" width="9.875" bestFit="1" customWidth="1"/>
    <col min="274" max="274" width="7.625" bestFit="1" customWidth="1"/>
    <col min="275" max="275" width="7.75" bestFit="1" customWidth="1"/>
    <col min="276" max="276" width="8" bestFit="1" customWidth="1"/>
    <col min="277" max="277" width="9.875" bestFit="1" customWidth="1"/>
    <col min="283" max="283" width="7.625" bestFit="1" customWidth="1"/>
    <col min="515" max="515" width="9.875" bestFit="1" customWidth="1"/>
    <col min="516" max="516" width="9" customWidth="1"/>
    <col min="521" max="521" width="7.625" bestFit="1" customWidth="1"/>
    <col min="522" max="522" width="7.75" bestFit="1" customWidth="1"/>
    <col min="523" max="523" width="8" bestFit="1" customWidth="1"/>
    <col min="524" max="524" width="9.875" bestFit="1" customWidth="1"/>
    <col min="530" max="530" width="7.625" bestFit="1" customWidth="1"/>
    <col min="531" max="531" width="7.75" bestFit="1" customWidth="1"/>
    <col min="532" max="532" width="8" bestFit="1" customWidth="1"/>
    <col min="533" max="533" width="9.875" bestFit="1" customWidth="1"/>
    <col min="539" max="539" width="7.625" bestFit="1" customWidth="1"/>
    <col min="771" max="771" width="9.875" bestFit="1" customWidth="1"/>
    <col min="772" max="772" width="9" customWidth="1"/>
    <col min="777" max="777" width="7.625" bestFit="1" customWidth="1"/>
    <col min="778" max="778" width="7.75" bestFit="1" customWidth="1"/>
    <col min="779" max="779" width="8" bestFit="1" customWidth="1"/>
    <col min="780" max="780" width="9.875" bestFit="1" customWidth="1"/>
    <col min="786" max="786" width="7.625" bestFit="1" customWidth="1"/>
    <col min="787" max="787" width="7.75" bestFit="1" customWidth="1"/>
    <col min="788" max="788" width="8" bestFit="1" customWidth="1"/>
    <col min="789" max="789" width="9.875" bestFit="1" customWidth="1"/>
    <col min="795" max="795" width="7.625" bestFit="1" customWidth="1"/>
    <col min="1027" max="1027" width="9.875" bestFit="1" customWidth="1"/>
    <col min="1028" max="1028" width="9" customWidth="1"/>
    <col min="1033" max="1033" width="7.625" bestFit="1" customWidth="1"/>
    <col min="1034" max="1034" width="7.75" bestFit="1" customWidth="1"/>
    <col min="1035" max="1035" width="8" bestFit="1" customWidth="1"/>
    <col min="1036" max="1036" width="9.875" bestFit="1" customWidth="1"/>
    <col min="1042" max="1042" width="7.625" bestFit="1" customWidth="1"/>
    <col min="1043" max="1043" width="7.75" bestFit="1" customWidth="1"/>
    <col min="1044" max="1044" width="8" bestFit="1" customWidth="1"/>
    <col min="1045" max="1045" width="9.875" bestFit="1" customWidth="1"/>
    <col min="1051" max="1051" width="7.625" bestFit="1" customWidth="1"/>
    <col min="1283" max="1283" width="9.875" bestFit="1" customWidth="1"/>
    <col min="1284" max="1284" width="9" customWidth="1"/>
    <col min="1289" max="1289" width="7.625" bestFit="1" customWidth="1"/>
    <col min="1290" max="1290" width="7.75" bestFit="1" customWidth="1"/>
    <col min="1291" max="1291" width="8" bestFit="1" customWidth="1"/>
    <col min="1292" max="1292" width="9.875" bestFit="1" customWidth="1"/>
    <col min="1298" max="1298" width="7.625" bestFit="1" customWidth="1"/>
    <col min="1299" max="1299" width="7.75" bestFit="1" customWidth="1"/>
    <col min="1300" max="1300" width="8" bestFit="1" customWidth="1"/>
    <col min="1301" max="1301" width="9.875" bestFit="1" customWidth="1"/>
    <col min="1307" max="1307" width="7.625" bestFit="1" customWidth="1"/>
    <col min="1539" max="1539" width="9.875" bestFit="1" customWidth="1"/>
    <col min="1540" max="1540" width="9" customWidth="1"/>
    <col min="1545" max="1545" width="7.625" bestFit="1" customWidth="1"/>
    <col min="1546" max="1546" width="7.75" bestFit="1" customWidth="1"/>
    <col min="1547" max="1547" width="8" bestFit="1" customWidth="1"/>
    <col min="1548" max="1548" width="9.875" bestFit="1" customWidth="1"/>
    <col min="1554" max="1554" width="7.625" bestFit="1" customWidth="1"/>
    <col min="1555" max="1555" width="7.75" bestFit="1" customWidth="1"/>
    <col min="1556" max="1556" width="8" bestFit="1" customWidth="1"/>
    <col min="1557" max="1557" width="9.875" bestFit="1" customWidth="1"/>
    <col min="1563" max="1563" width="7.625" bestFit="1" customWidth="1"/>
    <col min="1795" max="1795" width="9.875" bestFit="1" customWidth="1"/>
    <col min="1796" max="1796" width="9" customWidth="1"/>
    <col min="1801" max="1801" width="7.625" bestFit="1" customWidth="1"/>
    <col min="1802" max="1802" width="7.75" bestFit="1" customWidth="1"/>
    <col min="1803" max="1803" width="8" bestFit="1" customWidth="1"/>
    <col min="1804" max="1804" width="9.875" bestFit="1" customWidth="1"/>
    <col min="1810" max="1810" width="7.625" bestFit="1" customWidth="1"/>
    <col min="1811" max="1811" width="7.75" bestFit="1" customWidth="1"/>
    <col min="1812" max="1812" width="8" bestFit="1" customWidth="1"/>
    <col min="1813" max="1813" width="9.875" bestFit="1" customWidth="1"/>
    <col min="1819" max="1819" width="7.625" bestFit="1" customWidth="1"/>
    <col min="2051" max="2051" width="9.875" bestFit="1" customWidth="1"/>
    <col min="2052" max="2052" width="9" customWidth="1"/>
    <col min="2057" max="2057" width="7.625" bestFit="1" customWidth="1"/>
    <col min="2058" max="2058" width="7.75" bestFit="1" customWidth="1"/>
    <col min="2059" max="2059" width="8" bestFit="1" customWidth="1"/>
    <col min="2060" max="2060" width="9.875" bestFit="1" customWidth="1"/>
    <col min="2066" max="2066" width="7.625" bestFit="1" customWidth="1"/>
    <col min="2067" max="2067" width="7.75" bestFit="1" customWidth="1"/>
    <col min="2068" max="2068" width="8" bestFit="1" customWidth="1"/>
    <col min="2069" max="2069" width="9.875" bestFit="1" customWidth="1"/>
    <col min="2075" max="2075" width="7.625" bestFit="1" customWidth="1"/>
    <col min="2307" max="2307" width="9.875" bestFit="1" customWidth="1"/>
    <col min="2308" max="2308" width="9" customWidth="1"/>
    <col min="2313" max="2313" width="7.625" bestFit="1" customWidth="1"/>
    <col min="2314" max="2314" width="7.75" bestFit="1" customWidth="1"/>
    <col min="2315" max="2315" width="8" bestFit="1" customWidth="1"/>
    <col min="2316" max="2316" width="9.875" bestFit="1" customWidth="1"/>
    <col min="2322" max="2322" width="7.625" bestFit="1" customWidth="1"/>
    <col min="2323" max="2323" width="7.75" bestFit="1" customWidth="1"/>
    <col min="2324" max="2324" width="8" bestFit="1" customWidth="1"/>
    <col min="2325" max="2325" width="9.875" bestFit="1" customWidth="1"/>
    <col min="2331" max="2331" width="7.625" bestFit="1" customWidth="1"/>
    <col min="2563" max="2563" width="9.875" bestFit="1" customWidth="1"/>
    <col min="2564" max="2564" width="9" customWidth="1"/>
    <col min="2569" max="2569" width="7.625" bestFit="1" customWidth="1"/>
    <col min="2570" max="2570" width="7.75" bestFit="1" customWidth="1"/>
    <col min="2571" max="2571" width="8" bestFit="1" customWidth="1"/>
    <col min="2572" max="2572" width="9.875" bestFit="1" customWidth="1"/>
    <col min="2578" max="2578" width="7.625" bestFit="1" customWidth="1"/>
    <col min="2579" max="2579" width="7.75" bestFit="1" customWidth="1"/>
    <col min="2580" max="2580" width="8" bestFit="1" customWidth="1"/>
    <col min="2581" max="2581" width="9.875" bestFit="1" customWidth="1"/>
    <col min="2587" max="2587" width="7.625" bestFit="1" customWidth="1"/>
    <col min="2819" max="2819" width="9.875" bestFit="1" customWidth="1"/>
    <col min="2820" max="2820" width="9" customWidth="1"/>
    <col min="2825" max="2825" width="7.625" bestFit="1" customWidth="1"/>
    <col min="2826" max="2826" width="7.75" bestFit="1" customWidth="1"/>
    <col min="2827" max="2827" width="8" bestFit="1" customWidth="1"/>
    <col min="2828" max="2828" width="9.875" bestFit="1" customWidth="1"/>
    <col min="2834" max="2834" width="7.625" bestFit="1" customWidth="1"/>
    <col min="2835" max="2835" width="7.75" bestFit="1" customWidth="1"/>
    <col min="2836" max="2836" width="8" bestFit="1" customWidth="1"/>
    <col min="2837" max="2837" width="9.875" bestFit="1" customWidth="1"/>
    <col min="2843" max="2843" width="7.625" bestFit="1" customWidth="1"/>
    <col min="3075" max="3075" width="9.875" bestFit="1" customWidth="1"/>
    <col min="3076" max="3076" width="9" customWidth="1"/>
    <col min="3081" max="3081" width="7.625" bestFit="1" customWidth="1"/>
    <col min="3082" max="3082" width="7.75" bestFit="1" customWidth="1"/>
    <col min="3083" max="3083" width="8" bestFit="1" customWidth="1"/>
    <col min="3084" max="3084" width="9.875" bestFit="1" customWidth="1"/>
    <col min="3090" max="3090" width="7.625" bestFit="1" customWidth="1"/>
    <col min="3091" max="3091" width="7.75" bestFit="1" customWidth="1"/>
    <col min="3092" max="3092" width="8" bestFit="1" customWidth="1"/>
    <col min="3093" max="3093" width="9.875" bestFit="1" customWidth="1"/>
    <col min="3099" max="3099" width="7.625" bestFit="1" customWidth="1"/>
    <col min="3331" max="3331" width="9.875" bestFit="1" customWidth="1"/>
    <col min="3332" max="3332" width="9" customWidth="1"/>
    <col min="3337" max="3337" width="7.625" bestFit="1" customWidth="1"/>
    <col min="3338" max="3338" width="7.75" bestFit="1" customWidth="1"/>
    <col min="3339" max="3339" width="8" bestFit="1" customWidth="1"/>
    <col min="3340" max="3340" width="9.875" bestFit="1" customWidth="1"/>
    <col min="3346" max="3346" width="7.625" bestFit="1" customWidth="1"/>
    <col min="3347" max="3347" width="7.75" bestFit="1" customWidth="1"/>
    <col min="3348" max="3348" width="8" bestFit="1" customWidth="1"/>
    <col min="3349" max="3349" width="9.875" bestFit="1" customWidth="1"/>
    <col min="3355" max="3355" width="7.625" bestFit="1" customWidth="1"/>
    <col min="3587" max="3587" width="9.875" bestFit="1" customWidth="1"/>
    <col min="3588" max="3588" width="9" customWidth="1"/>
    <col min="3593" max="3593" width="7.625" bestFit="1" customWidth="1"/>
    <col min="3594" max="3594" width="7.75" bestFit="1" customWidth="1"/>
    <col min="3595" max="3595" width="8" bestFit="1" customWidth="1"/>
    <col min="3596" max="3596" width="9.875" bestFit="1" customWidth="1"/>
    <col min="3602" max="3602" width="7.625" bestFit="1" customWidth="1"/>
    <col min="3603" max="3603" width="7.75" bestFit="1" customWidth="1"/>
    <col min="3604" max="3604" width="8" bestFit="1" customWidth="1"/>
    <col min="3605" max="3605" width="9.875" bestFit="1" customWidth="1"/>
    <col min="3611" max="3611" width="7.625" bestFit="1" customWidth="1"/>
    <col min="3843" max="3843" width="9.875" bestFit="1" customWidth="1"/>
    <col min="3844" max="3844" width="9" customWidth="1"/>
    <col min="3849" max="3849" width="7.625" bestFit="1" customWidth="1"/>
    <col min="3850" max="3850" width="7.75" bestFit="1" customWidth="1"/>
    <col min="3851" max="3851" width="8" bestFit="1" customWidth="1"/>
    <col min="3852" max="3852" width="9.875" bestFit="1" customWidth="1"/>
    <col min="3858" max="3858" width="7.625" bestFit="1" customWidth="1"/>
    <col min="3859" max="3859" width="7.75" bestFit="1" customWidth="1"/>
    <col min="3860" max="3860" width="8" bestFit="1" customWidth="1"/>
    <col min="3861" max="3861" width="9.875" bestFit="1" customWidth="1"/>
    <col min="3867" max="3867" width="7.625" bestFit="1" customWidth="1"/>
    <col min="4099" max="4099" width="9.875" bestFit="1" customWidth="1"/>
    <col min="4100" max="4100" width="9" customWidth="1"/>
    <col min="4105" max="4105" width="7.625" bestFit="1" customWidth="1"/>
    <col min="4106" max="4106" width="7.75" bestFit="1" customWidth="1"/>
    <col min="4107" max="4107" width="8" bestFit="1" customWidth="1"/>
    <col min="4108" max="4108" width="9.875" bestFit="1" customWidth="1"/>
    <col min="4114" max="4114" width="7.625" bestFit="1" customWidth="1"/>
    <col min="4115" max="4115" width="7.75" bestFit="1" customWidth="1"/>
    <col min="4116" max="4116" width="8" bestFit="1" customWidth="1"/>
    <col min="4117" max="4117" width="9.875" bestFit="1" customWidth="1"/>
    <col min="4123" max="4123" width="7.625" bestFit="1" customWidth="1"/>
    <col min="4355" max="4355" width="9.875" bestFit="1" customWidth="1"/>
    <col min="4356" max="4356" width="9" customWidth="1"/>
    <col min="4361" max="4361" width="7.625" bestFit="1" customWidth="1"/>
    <col min="4362" max="4362" width="7.75" bestFit="1" customWidth="1"/>
    <col min="4363" max="4363" width="8" bestFit="1" customWidth="1"/>
    <col min="4364" max="4364" width="9.875" bestFit="1" customWidth="1"/>
    <col min="4370" max="4370" width="7.625" bestFit="1" customWidth="1"/>
    <col min="4371" max="4371" width="7.75" bestFit="1" customWidth="1"/>
    <col min="4372" max="4372" width="8" bestFit="1" customWidth="1"/>
    <col min="4373" max="4373" width="9.875" bestFit="1" customWidth="1"/>
    <col min="4379" max="4379" width="7.625" bestFit="1" customWidth="1"/>
    <col min="4611" max="4611" width="9.875" bestFit="1" customWidth="1"/>
    <col min="4612" max="4612" width="9" customWidth="1"/>
    <col min="4617" max="4617" width="7.625" bestFit="1" customWidth="1"/>
    <col min="4618" max="4618" width="7.75" bestFit="1" customWidth="1"/>
    <col min="4619" max="4619" width="8" bestFit="1" customWidth="1"/>
    <col min="4620" max="4620" width="9.875" bestFit="1" customWidth="1"/>
    <col min="4626" max="4626" width="7.625" bestFit="1" customWidth="1"/>
    <col min="4627" max="4627" width="7.75" bestFit="1" customWidth="1"/>
    <col min="4628" max="4628" width="8" bestFit="1" customWidth="1"/>
    <col min="4629" max="4629" width="9.875" bestFit="1" customWidth="1"/>
    <col min="4635" max="4635" width="7.625" bestFit="1" customWidth="1"/>
    <col min="4867" max="4867" width="9.875" bestFit="1" customWidth="1"/>
    <col min="4868" max="4868" width="9" customWidth="1"/>
    <col min="4873" max="4873" width="7.625" bestFit="1" customWidth="1"/>
    <col min="4874" max="4874" width="7.75" bestFit="1" customWidth="1"/>
    <col min="4875" max="4875" width="8" bestFit="1" customWidth="1"/>
    <col min="4876" max="4876" width="9.875" bestFit="1" customWidth="1"/>
    <col min="4882" max="4882" width="7.625" bestFit="1" customWidth="1"/>
    <col min="4883" max="4883" width="7.75" bestFit="1" customWidth="1"/>
    <col min="4884" max="4884" width="8" bestFit="1" customWidth="1"/>
    <col min="4885" max="4885" width="9.875" bestFit="1" customWidth="1"/>
    <col min="4891" max="4891" width="7.625" bestFit="1" customWidth="1"/>
    <col min="5123" max="5123" width="9.875" bestFit="1" customWidth="1"/>
    <col min="5124" max="5124" width="9" customWidth="1"/>
    <col min="5129" max="5129" width="7.625" bestFit="1" customWidth="1"/>
    <col min="5130" max="5130" width="7.75" bestFit="1" customWidth="1"/>
    <col min="5131" max="5131" width="8" bestFit="1" customWidth="1"/>
    <col min="5132" max="5132" width="9.875" bestFit="1" customWidth="1"/>
    <col min="5138" max="5138" width="7.625" bestFit="1" customWidth="1"/>
    <col min="5139" max="5139" width="7.75" bestFit="1" customWidth="1"/>
    <col min="5140" max="5140" width="8" bestFit="1" customWidth="1"/>
    <col min="5141" max="5141" width="9.875" bestFit="1" customWidth="1"/>
    <col min="5147" max="5147" width="7.625" bestFit="1" customWidth="1"/>
    <col min="5379" max="5379" width="9.875" bestFit="1" customWidth="1"/>
    <col min="5380" max="5380" width="9" customWidth="1"/>
    <col min="5385" max="5385" width="7.625" bestFit="1" customWidth="1"/>
    <col min="5386" max="5386" width="7.75" bestFit="1" customWidth="1"/>
    <col min="5387" max="5387" width="8" bestFit="1" customWidth="1"/>
    <col min="5388" max="5388" width="9.875" bestFit="1" customWidth="1"/>
    <col min="5394" max="5394" width="7.625" bestFit="1" customWidth="1"/>
    <col min="5395" max="5395" width="7.75" bestFit="1" customWidth="1"/>
    <col min="5396" max="5396" width="8" bestFit="1" customWidth="1"/>
    <col min="5397" max="5397" width="9.875" bestFit="1" customWidth="1"/>
    <col min="5403" max="5403" width="7.625" bestFit="1" customWidth="1"/>
    <col min="5635" max="5635" width="9.875" bestFit="1" customWidth="1"/>
    <col min="5636" max="5636" width="9" customWidth="1"/>
    <col min="5641" max="5641" width="7.625" bestFit="1" customWidth="1"/>
    <col min="5642" max="5642" width="7.75" bestFit="1" customWidth="1"/>
    <col min="5643" max="5643" width="8" bestFit="1" customWidth="1"/>
    <col min="5644" max="5644" width="9.875" bestFit="1" customWidth="1"/>
    <col min="5650" max="5650" width="7.625" bestFit="1" customWidth="1"/>
    <col min="5651" max="5651" width="7.75" bestFit="1" customWidth="1"/>
    <col min="5652" max="5652" width="8" bestFit="1" customWidth="1"/>
    <col min="5653" max="5653" width="9.875" bestFit="1" customWidth="1"/>
    <col min="5659" max="5659" width="7.625" bestFit="1" customWidth="1"/>
    <col min="5891" max="5891" width="9.875" bestFit="1" customWidth="1"/>
    <col min="5892" max="5892" width="9" customWidth="1"/>
    <col min="5897" max="5897" width="7.625" bestFit="1" customWidth="1"/>
    <col min="5898" max="5898" width="7.75" bestFit="1" customWidth="1"/>
    <col min="5899" max="5899" width="8" bestFit="1" customWidth="1"/>
    <col min="5900" max="5900" width="9.875" bestFit="1" customWidth="1"/>
    <col min="5906" max="5906" width="7.625" bestFit="1" customWidth="1"/>
    <col min="5907" max="5907" width="7.75" bestFit="1" customWidth="1"/>
    <col min="5908" max="5908" width="8" bestFit="1" customWidth="1"/>
    <col min="5909" max="5909" width="9.875" bestFit="1" customWidth="1"/>
    <col min="5915" max="5915" width="7.625" bestFit="1" customWidth="1"/>
    <col min="6147" max="6147" width="9.875" bestFit="1" customWidth="1"/>
    <col min="6148" max="6148" width="9" customWidth="1"/>
    <col min="6153" max="6153" width="7.625" bestFit="1" customWidth="1"/>
    <col min="6154" max="6154" width="7.75" bestFit="1" customWidth="1"/>
    <col min="6155" max="6155" width="8" bestFit="1" customWidth="1"/>
    <col min="6156" max="6156" width="9.875" bestFit="1" customWidth="1"/>
    <col min="6162" max="6162" width="7.625" bestFit="1" customWidth="1"/>
    <col min="6163" max="6163" width="7.75" bestFit="1" customWidth="1"/>
    <col min="6164" max="6164" width="8" bestFit="1" customWidth="1"/>
    <col min="6165" max="6165" width="9.875" bestFit="1" customWidth="1"/>
    <col min="6171" max="6171" width="7.625" bestFit="1" customWidth="1"/>
    <col min="6403" max="6403" width="9.875" bestFit="1" customWidth="1"/>
    <col min="6404" max="6404" width="9" customWidth="1"/>
    <col min="6409" max="6409" width="7.625" bestFit="1" customWidth="1"/>
    <col min="6410" max="6410" width="7.75" bestFit="1" customWidth="1"/>
    <col min="6411" max="6411" width="8" bestFit="1" customWidth="1"/>
    <col min="6412" max="6412" width="9.875" bestFit="1" customWidth="1"/>
    <col min="6418" max="6418" width="7.625" bestFit="1" customWidth="1"/>
    <col min="6419" max="6419" width="7.75" bestFit="1" customWidth="1"/>
    <col min="6420" max="6420" width="8" bestFit="1" customWidth="1"/>
    <col min="6421" max="6421" width="9.875" bestFit="1" customWidth="1"/>
    <col min="6427" max="6427" width="7.625" bestFit="1" customWidth="1"/>
    <col min="6659" max="6659" width="9.875" bestFit="1" customWidth="1"/>
    <col min="6660" max="6660" width="9" customWidth="1"/>
    <col min="6665" max="6665" width="7.625" bestFit="1" customWidth="1"/>
    <col min="6666" max="6666" width="7.75" bestFit="1" customWidth="1"/>
    <col min="6667" max="6667" width="8" bestFit="1" customWidth="1"/>
    <col min="6668" max="6668" width="9.875" bestFit="1" customWidth="1"/>
    <col min="6674" max="6674" width="7.625" bestFit="1" customWidth="1"/>
    <col min="6675" max="6675" width="7.75" bestFit="1" customWidth="1"/>
    <col min="6676" max="6676" width="8" bestFit="1" customWidth="1"/>
    <col min="6677" max="6677" width="9.875" bestFit="1" customWidth="1"/>
    <col min="6683" max="6683" width="7.625" bestFit="1" customWidth="1"/>
    <col min="6915" max="6915" width="9.875" bestFit="1" customWidth="1"/>
    <col min="6916" max="6916" width="9" customWidth="1"/>
    <col min="6921" max="6921" width="7.625" bestFit="1" customWidth="1"/>
    <col min="6922" max="6922" width="7.75" bestFit="1" customWidth="1"/>
    <col min="6923" max="6923" width="8" bestFit="1" customWidth="1"/>
    <col min="6924" max="6924" width="9.875" bestFit="1" customWidth="1"/>
    <col min="6930" max="6930" width="7.625" bestFit="1" customWidth="1"/>
    <col min="6931" max="6931" width="7.75" bestFit="1" customWidth="1"/>
    <col min="6932" max="6932" width="8" bestFit="1" customWidth="1"/>
    <col min="6933" max="6933" width="9.875" bestFit="1" customWidth="1"/>
    <col min="6939" max="6939" width="7.625" bestFit="1" customWidth="1"/>
    <col min="7171" max="7171" width="9.875" bestFit="1" customWidth="1"/>
    <col min="7172" max="7172" width="9" customWidth="1"/>
    <col min="7177" max="7177" width="7.625" bestFit="1" customWidth="1"/>
    <col min="7178" max="7178" width="7.75" bestFit="1" customWidth="1"/>
    <col min="7179" max="7179" width="8" bestFit="1" customWidth="1"/>
    <col min="7180" max="7180" width="9.875" bestFit="1" customWidth="1"/>
    <col min="7186" max="7186" width="7.625" bestFit="1" customWidth="1"/>
    <col min="7187" max="7187" width="7.75" bestFit="1" customWidth="1"/>
    <col min="7188" max="7188" width="8" bestFit="1" customWidth="1"/>
    <col min="7189" max="7189" width="9.875" bestFit="1" customWidth="1"/>
    <col min="7195" max="7195" width="7.625" bestFit="1" customWidth="1"/>
    <col min="7427" max="7427" width="9.875" bestFit="1" customWidth="1"/>
    <col min="7428" max="7428" width="9" customWidth="1"/>
    <col min="7433" max="7433" width="7.625" bestFit="1" customWidth="1"/>
    <col min="7434" max="7434" width="7.75" bestFit="1" customWidth="1"/>
    <col min="7435" max="7435" width="8" bestFit="1" customWidth="1"/>
    <col min="7436" max="7436" width="9.875" bestFit="1" customWidth="1"/>
    <col min="7442" max="7442" width="7.625" bestFit="1" customWidth="1"/>
    <col min="7443" max="7443" width="7.75" bestFit="1" customWidth="1"/>
    <col min="7444" max="7444" width="8" bestFit="1" customWidth="1"/>
    <col min="7445" max="7445" width="9.875" bestFit="1" customWidth="1"/>
    <col min="7451" max="7451" width="7.625" bestFit="1" customWidth="1"/>
    <col min="7683" max="7683" width="9.875" bestFit="1" customWidth="1"/>
    <col min="7684" max="7684" width="9" customWidth="1"/>
    <col min="7689" max="7689" width="7.625" bestFit="1" customWidth="1"/>
    <col min="7690" max="7690" width="7.75" bestFit="1" customWidth="1"/>
    <col min="7691" max="7691" width="8" bestFit="1" customWidth="1"/>
    <col min="7692" max="7692" width="9.875" bestFit="1" customWidth="1"/>
    <col min="7698" max="7698" width="7.625" bestFit="1" customWidth="1"/>
    <col min="7699" max="7699" width="7.75" bestFit="1" customWidth="1"/>
    <col min="7700" max="7700" width="8" bestFit="1" customWidth="1"/>
    <col min="7701" max="7701" width="9.875" bestFit="1" customWidth="1"/>
    <col min="7707" max="7707" width="7.625" bestFit="1" customWidth="1"/>
    <col min="7939" max="7939" width="9.875" bestFit="1" customWidth="1"/>
    <col min="7940" max="7940" width="9" customWidth="1"/>
    <col min="7945" max="7945" width="7.625" bestFit="1" customWidth="1"/>
    <col min="7946" max="7946" width="7.75" bestFit="1" customWidth="1"/>
    <col min="7947" max="7947" width="8" bestFit="1" customWidth="1"/>
    <col min="7948" max="7948" width="9.875" bestFit="1" customWidth="1"/>
    <col min="7954" max="7954" width="7.625" bestFit="1" customWidth="1"/>
    <col min="7955" max="7955" width="7.75" bestFit="1" customWidth="1"/>
    <col min="7956" max="7956" width="8" bestFit="1" customWidth="1"/>
    <col min="7957" max="7957" width="9.875" bestFit="1" customWidth="1"/>
    <col min="7963" max="7963" width="7.625" bestFit="1" customWidth="1"/>
    <col min="8195" max="8195" width="9.875" bestFit="1" customWidth="1"/>
    <col min="8196" max="8196" width="9" customWidth="1"/>
    <col min="8201" max="8201" width="7.625" bestFit="1" customWidth="1"/>
    <col min="8202" max="8202" width="7.75" bestFit="1" customWidth="1"/>
    <col min="8203" max="8203" width="8" bestFit="1" customWidth="1"/>
    <col min="8204" max="8204" width="9.875" bestFit="1" customWidth="1"/>
    <col min="8210" max="8210" width="7.625" bestFit="1" customWidth="1"/>
    <col min="8211" max="8211" width="7.75" bestFit="1" customWidth="1"/>
    <col min="8212" max="8212" width="8" bestFit="1" customWidth="1"/>
    <col min="8213" max="8213" width="9.875" bestFit="1" customWidth="1"/>
    <col min="8219" max="8219" width="7.625" bestFit="1" customWidth="1"/>
    <col min="8451" max="8451" width="9.875" bestFit="1" customWidth="1"/>
    <col min="8452" max="8452" width="9" customWidth="1"/>
    <col min="8457" max="8457" width="7.625" bestFit="1" customWidth="1"/>
    <col min="8458" max="8458" width="7.75" bestFit="1" customWidth="1"/>
    <col min="8459" max="8459" width="8" bestFit="1" customWidth="1"/>
    <col min="8460" max="8460" width="9.875" bestFit="1" customWidth="1"/>
    <col min="8466" max="8466" width="7.625" bestFit="1" customWidth="1"/>
    <col min="8467" max="8467" width="7.75" bestFit="1" customWidth="1"/>
    <col min="8468" max="8468" width="8" bestFit="1" customWidth="1"/>
    <col min="8469" max="8469" width="9.875" bestFit="1" customWidth="1"/>
    <col min="8475" max="8475" width="7.625" bestFit="1" customWidth="1"/>
    <col min="8707" max="8707" width="9.875" bestFit="1" customWidth="1"/>
    <col min="8708" max="8708" width="9" customWidth="1"/>
    <col min="8713" max="8713" width="7.625" bestFit="1" customWidth="1"/>
    <col min="8714" max="8714" width="7.75" bestFit="1" customWidth="1"/>
    <col min="8715" max="8715" width="8" bestFit="1" customWidth="1"/>
    <col min="8716" max="8716" width="9.875" bestFit="1" customWidth="1"/>
    <col min="8722" max="8722" width="7.625" bestFit="1" customWidth="1"/>
    <col min="8723" max="8723" width="7.75" bestFit="1" customWidth="1"/>
    <col min="8724" max="8724" width="8" bestFit="1" customWidth="1"/>
    <col min="8725" max="8725" width="9.875" bestFit="1" customWidth="1"/>
    <col min="8731" max="8731" width="7.625" bestFit="1" customWidth="1"/>
    <col min="8963" max="8963" width="9.875" bestFit="1" customWidth="1"/>
    <col min="8964" max="8964" width="9" customWidth="1"/>
    <col min="8969" max="8969" width="7.625" bestFit="1" customWidth="1"/>
    <col min="8970" max="8970" width="7.75" bestFit="1" customWidth="1"/>
    <col min="8971" max="8971" width="8" bestFit="1" customWidth="1"/>
    <col min="8972" max="8972" width="9.875" bestFit="1" customWidth="1"/>
    <col min="8978" max="8978" width="7.625" bestFit="1" customWidth="1"/>
    <col min="8979" max="8979" width="7.75" bestFit="1" customWidth="1"/>
    <col min="8980" max="8980" width="8" bestFit="1" customWidth="1"/>
    <col min="8981" max="8981" width="9.875" bestFit="1" customWidth="1"/>
    <col min="8987" max="8987" width="7.625" bestFit="1" customWidth="1"/>
    <col min="9219" max="9219" width="9.875" bestFit="1" customWidth="1"/>
    <col min="9220" max="9220" width="9" customWidth="1"/>
    <col min="9225" max="9225" width="7.625" bestFit="1" customWidth="1"/>
    <col min="9226" max="9226" width="7.75" bestFit="1" customWidth="1"/>
    <col min="9227" max="9227" width="8" bestFit="1" customWidth="1"/>
    <col min="9228" max="9228" width="9.875" bestFit="1" customWidth="1"/>
    <col min="9234" max="9234" width="7.625" bestFit="1" customWidth="1"/>
    <col min="9235" max="9235" width="7.75" bestFit="1" customWidth="1"/>
    <col min="9236" max="9236" width="8" bestFit="1" customWidth="1"/>
    <col min="9237" max="9237" width="9.875" bestFit="1" customWidth="1"/>
    <col min="9243" max="9243" width="7.625" bestFit="1" customWidth="1"/>
    <col min="9475" max="9475" width="9.875" bestFit="1" customWidth="1"/>
    <col min="9476" max="9476" width="9" customWidth="1"/>
    <col min="9481" max="9481" width="7.625" bestFit="1" customWidth="1"/>
    <col min="9482" max="9482" width="7.75" bestFit="1" customWidth="1"/>
    <col min="9483" max="9483" width="8" bestFit="1" customWidth="1"/>
    <col min="9484" max="9484" width="9.875" bestFit="1" customWidth="1"/>
    <col min="9490" max="9490" width="7.625" bestFit="1" customWidth="1"/>
    <col min="9491" max="9491" width="7.75" bestFit="1" customWidth="1"/>
    <col min="9492" max="9492" width="8" bestFit="1" customWidth="1"/>
    <col min="9493" max="9493" width="9.875" bestFit="1" customWidth="1"/>
    <col min="9499" max="9499" width="7.625" bestFit="1" customWidth="1"/>
    <col min="9731" max="9731" width="9.875" bestFit="1" customWidth="1"/>
    <col min="9732" max="9732" width="9" customWidth="1"/>
    <col min="9737" max="9737" width="7.625" bestFit="1" customWidth="1"/>
    <col min="9738" max="9738" width="7.75" bestFit="1" customWidth="1"/>
    <col min="9739" max="9739" width="8" bestFit="1" customWidth="1"/>
    <col min="9740" max="9740" width="9.875" bestFit="1" customWidth="1"/>
    <col min="9746" max="9746" width="7.625" bestFit="1" customWidth="1"/>
    <col min="9747" max="9747" width="7.75" bestFit="1" customWidth="1"/>
    <col min="9748" max="9748" width="8" bestFit="1" customWidth="1"/>
    <col min="9749" max="9749" width="9.875" bestFit="1" customWidth="1"/>
    <col min="9755" max="9755" width="7.625" bestFit="1" customWidth="1"/>
    <col min="9987" max="9987" width="9.875" bestFit="1" customWidth="1"/>
    <col min="9988" max="9988" width="9" customWidth="1"/>
    <col min="9993" max="9993" width="7.625" bestFit="1" customWidth="1"/>
    <col min="9994" max="9994" width="7.75" bestFit="1" customWidth="1"/>
    <col min="9995" max="9995" width="8" bestFit="1" customWidth="1"/>
    <col min="9996" max="9996" width="9.875" bestFit="1" customWidth="1"/>
    <col min="10002" max="10002" width="7.625" bestFit="1" customWidth="1"/>
    <col min="10003" max="10003" width="7.75" bestFit="1" customWidth="1"/>
    <col min="10004" max="10004" width="8" bestFit="1" customWidth="1"/>
    <col min="10005" max="10005" width="9.875" bestFit="1" customWidth="1"/>
    <col min="10011" max="10011" width="7.625" bestFit="1" customWidth="1"/>
    <col min="10243" max="10243" width="9.875" bestFit="1" customWidth="1"/>
    <col min="10244" max="10244" width="9" customWidth="1"/>
    <col min="10249" max="10249" width="7.625" bestFit="1" customWidth="1"/>
    <col min="10250" max="10250" width="7.75" bestFit="1" customWidth="1"/>
    <col min="10251" max="10251" width="8" bestFit="1" customWidth="1"/>
    <col min="10252" max="10252" width="9.875" bestFit="1" customWidth="1"/>
    <col min="10258" max="10258" width="7.625" bestFit="1" customWidth="1"/>
    <col min="10259" max="10259" width="7.75" bestFit="1" customWidth="1"/>
    <col min="10260" max="10260" width="8" bestFit="1" customWidth="1"/>
    <col min="10261" max="10261" width="9.875" bestFit="1" customWidth="1"/>
    <col min="10267" max="10267" width="7.625" bestFit="1" customWidth="1"/>
    <col min="10499" max="10499" width="9.875" bestFit="1" customWidth="1"/>
    <col min="10500" max="10500" width="9" customWidth="1"/>
    <col min="10505" max="10505" width="7.625" bestFit="1" customWidth="1"/>
    <col min="10506" max="10506" width="7.75" bestFit="1" customWidth="1"/>
    <col min="10507" max="10507" width="8" bestFit="1" customWidth="1"/>
    <col min="10508" max="10508" width="9.875" bestFit="1" customWidth="1"/>
    <col min="10514" max="10514" width="7.625" bestFit="1" customWidth="1"/>
    <col min="10515" max="10515" width="7.75" bestFit="1" customWidth="1"/>
    <col min="10516" max="10516" width="8" bestFit="1" customWidth="1"/>
    <col min="10517" max="10517" width="9.875" bestFit="1" customWidth="1"/>
    <col min="10523" max="10523" width="7.625" bestFit="1" customWidth="1"/>
    <col min="10755" max="10755" width="9.875" bestFit="1" customWidth="1"/>
    <col min="10756" max="10756" width="9" customWidth="1"/>
    <col min="10761" max="10761" width="7.625" bestFit="1" customWidth="1"/>
    <col min="10762" max="10762" width="7.75" bestFit="1" customWidth="1"/>
    <col min="10763" max="10763" width="8" bestFit="1" customWidth="1"/>
    <col min="10764" max="10764" width="9.875" bestFit="1" customWidth="1"/>
    <col min="10770" max="10770" width="7.625" bestFit="1" customWidth="1"/>
    <col min="10771" max="10771" width="7.75" bestFit="1" customWidth="1"/>
    <col min="10772" max="10772" width="8" bestFit="1" customWidth="1"/>
    <col min="10773" max="10773" width="9.875" bestFit="1" customWidth="1"/>
    <col min="10779" max="10779" width="7.625" bestFit="1" customWidth="1"/>
    <col min="11011" max="11011" width="9.875" bestFit="1" customWidth="1"/>
    <col min="11012" max="11012" width="9" customWidth="1"/>
    <col min="11017" max="11017" width="7.625" bestFit="1" customWidth="1"/>
    <col min="11018" max="11018" width="7.75" bestFit="1" customWidth="1"/>
    <col min="11019" max="11019" width="8" bestFit="1" customWidth="1"/>
    <col min="11020" max="11020" width="9.875" bestFit="1" customWidth="1"/>
    <col min="11026" max="11026" width="7.625" bestFit="1" customWidth="1"/>
    <col min="11027" max="11027" width="7.75" bestFit="1" customWidth="1"/>
    <col min="11028" max="11028" width="8" bestFit="1" customWidth="1"/>
    <col min="11029" max="11029" width="9.875" bestFit="1" customWidth="1"/>
    <col min="11035" max="11035" width="7.625" bestFit="1" customWidth="1"/>
    <col min="11267" max="11267" width="9.875" bestFit="1" customWidth="1"/>
    <col min="11268" max="11268" width="9" customWidth="1"/>
    <col min="11273" max="11273" width="7.625" bestFit="1" customWidth="1"/>
    <col min="11274" max="11274" width="7.75" bestFit="1" customWidth="1"/>
    <col min="11275" max="11275" width="8" bestFit="1" customWidth="1"/>
    <col min="11276" max="11276" width="9.875" bestFit="1" customWidth="1"/>
    <col min="11282" max="11282" width="7.625" bestFit="1" customWidth="1"/>
    <col min="11283" max="11283" width="7.75" bestFit="1" customWidth="1"/>
    <col min="11284" max="11284" width="8" bestFit="1" customWidth="1"/>
    <col min="11285" max="11285" width="9.875" bestFit="1" customWidth="1"/>
    <col min="11291" max="11291" width="7.625" bestFit="1" customWidth="1"/>
    <col min="11523" max="11523" width="9.875" bestFit="1" customWidth="1"/>
    <col min="11524" max="11524" width="9" customWidth="1"/>
    <col min="11529" max="11529" width="7.625" bestFit="1" customWidth="1"/>
    <col min="11530" max="11530" width="7.75" bestFit="1" customWidth="1"/>
    <col min="11531" max="11531" width="8" bestFit="1" customWidth="1"/>
    <col min="11532" max="11532" width="9.875" bestFit="1" customWidth="1"/>
    <col min="11538" max="11538" width="7.625" bestFit="1" customWidth="1"/>
    <col min="11539" max="11539" width="7.75" bestFit="1" customWidth="1"/>
    <col min="11540" max="11540" width="8" bestFit="1" customWidth="1"/>
    <col min="11541" max="11541" width="9.875" bestFit="1" customWidth="1"/>
    <col min="11547" max="11547" width="7.625" bestFit="1" customWidth="1"/>
    <col min="11779" max="11779" width="9.875" bestFit="1" customWidth="1"/>
    <col min="11780" max="11780" width="9" customWidth="1"/>
    <col min="11785" max="11785" width="7.625" bestFit="1" customWidth="1"/>
    <col min="11786" max="11786" width="7.75" bestFit="1" customWidth="1"/>
    <col min="11787" max="11787" width="8" bestFit="1" customWidth="1"/>
    <col min="11788" max="11788" width="9.875" bestFit="1" customWidth="1"/>
    <col min="11794" max="11794" width="7.625" bestFit="1" customWidth="1"/>
    <col min="11795" max="11795" width="7.75" bestFit="1" customWidth="1"/>
    <col min="11796" max="11796" width="8" bestFit="1" customWidth="1"/>
    <col min="11797" max="11797" width="9.875" bestFit="1" customWidth="1"/>
    <col min="11803" max="11803" width="7.625" bestFit="1" customWidth="1"/>
    <col min="12035" max="12035" width="9.875" bestFit="1" customWidth="1"/>
    <col min="12036" max="12036" width="9" customWidth="1"/>
    <col min="12041" max="12041" width="7.625" bestFit="1" customWidth="1"/>
    <col min="12042" max="12042" width="7.75" bestFit="1" customWidth="1"/>
    <col min="12043" max="12043" width="8" bestFit="1" customWidth="1"/>
    <col min="12044" max="12044" width="9.875" bestFit="1" customWidth="1"/>
    <col min="12050" max="12050" width="7.625" bestFit="1" customWidth="1"/>
    <col min="12051" max="12051" width="7.75" bestFit="1" customWidth="1"/>
    <col min="12052" max="12052" width="8" bestFit="1" customWidth="1"/>
    <col min="12053" max="12053" width="9.875" bestFit="1" customWidth="1"/>
    <col min="12059" max="12059" width="7.625" bestFit="1" customWidth="1"/>
    <col min="12291" max="12291" width="9.875" bestFit="1" customWidth="1"/>
    <col min="12292" max="12292" width="9" customWidth="1"/>
    <col min="12297" max="12297" width="7.625" bestFit="1" customWidth="1"/>
    <col min="12298" max="12298" width="7.75" bestFit="1" customWidth="1"/>
    <col min="12299" max="12299" width="8" bestFit="1" customWidth="1"/>
    <col min="12300" max="12300" width="9.875" bestFit="1" customWidth="1"/>
    <col min="12306" max="12306" width="7.625" bestFit="1" customWidth="1"/>
    <col min="12307" max="12307" width="7.75" bestFit="1" customWidth="1"/>
    <col min="12308" max="12308" width="8" bestFit="1" customWidth="1"/>
    <col min="12309" max="12309" width="9.875" bestFit="1" customWidth="1"/>
    <col min="12315" max="12315" width="7.625" bestFit="1" customWidth="1"/>
    <col min="12547" max="12547" width="9.875" bestFit="1" customWidth="1"/>
    <col min="12548" max="12548" width="9" customWidth="1"/>
    <col min="12553" max="12553" width="7.625" bestFit="1" customWidth="1"/>
    <col min="12554" max="12554" width="7.75" bestFit="1" customWidth="1"/>
    <col min="12555" max="12555" width="8" bestFit="1" customWidth="1"/>
    <col min="12556" max="12556" width="9.875" bestFit="1" customWidth="1"/>
    <col min="12562" max="12562" width="7.625" bestFit="1" customWidth="1"/>
    <col min="12563" max="12563" width="7.75" bestFit="1" customWidth="1"/>
    <col min="12564" max="12564" width="8" bestFit="1" customWidth="1"/>
    <col min="12565" max="12565" width="9.875" bestFit="1" customWidth="1"/>
    <col min="12571" max="12571" width="7.625" bestFit="1" customWidth="1"/>
    <col min="12803" max="12803" width="9.875" bestFit="1" customWidth="1"/>
    <col min="12804" max="12804" width="9" customWidth="1"/>
    <col min="12809" max="12809" width="7.625" bestFit="1" customWidth="1"/>
    <col min="12810" max="12810" width="7.75" bestFit="1" customWidth="1"/>
    <col min="12811" max="12811" width="8" bestFit="1" customWidth="1"/>
    <col min="12812" max="12812" width="9.875" bestFit="1" customWidth="1"/>
    <col min="12818" max="12818" width="7.625" bestFit="1" customWidth="1"/>
    <col min="12819" max="12819" width="7.75" bestFit="1" customWidth="1"/>
    <col min="12820" max="12820" width="8" bestFit="1" customWidth="1"/>
    <col min="12821" max="12821" width="9.875" bestFit="1" customWidth="1"/>
    <col min="12827" max="12827" width="7.625" bestFit="1" customWidth="1"/>
    <col min="13059" max="13059" width="9.875" bestFit="1" customWidth="1"/>
    <col min="13060" max="13060" width="9" customWidth="1"/>
    <col min="13065" max="13065" width="7.625" bestFit="1" customWidth="1"/>
    <col min="13066" max="13066" width="7.75" bestFit="1" customWidth="1"/>
    <col min="13067" max="13067" width="8" bestFit="1" customWidth="1"/>
    <col min="13068" max="13068" width="9.875" bestFit="1" customWidth="1"/>
    <col min="13074" max="13074" width="7.625" bestFit="1" customWidth="1"/>
    <col min="13075" max="13075" width="7.75" bestFit="1" customWidth="1"/>
    <col min="13076" max="13076" width="8" bestFit="1" customWidth="1"/>
    <col min="13077" max="13077" width="9.875" bestFit="1" customWidth="1"/>
    <col min="13083" max="13083" width="7.625" bestFit="1" customWidth="1"/>
    <col min="13315" max="13315" width="9.875" bestFit="1" customWidth="1"/>
    <col min="13316" max="13316" width="9" customWidth="1"/>
    <col min="13321" max="13321" width="7.625" bestFit="1" customWidth="1"/>
    <col min="13322" max="13322" width="7.75" bestFit="1" customWidth="1"/>
    <col min="13323" max="13323" width="8" bestFit="1" customWidth="1"/>
    <col min="13324" max="13324" width="9.875" bestFit="1" customWidth="1"/>
    <col min="13330" max="13330" width="7.625" bestFit="1" customWidth="1"/>
    <col min="13331" max="13331" width="7.75" bestFit="1" customWidth="1"/>
    <col min="13332" max="13332" width="8" bestFit="1" customWidth="1"/>
    <col min="13333" max="13333" width="9.875" bestFit="1" customWidth="1"/>
    <col min="13339" max="13339" width="7.625" bestFit="1" customWidth="1"/>
    <col min="13571" max="13571" width="9.875" bestFit="1" customWidth="1"/>
    <col min="13572" max="13572" width="9" customWidth="1"/>
    <col min="13577" max="13577" width="7.625" bestFit="1" customWidth="1"/>
    <col min="13578" max="13578" width="7.75" bestFit="1" customWidth="1"/>
    <col min="13579" max="13579" width="8" bestFit="1" customWidth="1"/>
    <col min="13580" max="13580" width="9.875" bestFit="1" customWidth="1"/>
    <col min="13586" max="13586" width="7.625" bestFit="1" customWidth="1"/>
    <col min="13587" max="13587" width="7.75" bestFit="1" customWidth="1"/>
    <col min="13588" max="13588" width="8" bestFit="1" customWidth="1"/>
    <col min="13589" max="13589" width="9.875" bestFit="1" customWidth="1"/>
    <col min="13595" max="13595" width="7.625" bestFit="1" customWidth="1"/>
    <col min="13827" max="13827" width="9.875" bestFit="1" customWidth="1"/>
    <col min="13828" max="13828" width="9" customWidth="1"/>
    <col min="13833" max="13833" width="7.625" bestFit="1" customWidth="1"/>
    <col min="13834" max="13834" width="7.75" bestFit="1" customWidth="1"/>
    <col min="13835" max="13835" width="8" bestFit="1" customWidth="1"/>
    <col min="13836" max="13836" width="9.875" bestFit="1" customWidth="1"/>
    <col min="13842" max="13842" width="7.625" bestFit="1" customWidth="1"/>
    <col min="13843" max="13843" width="7.75" bestFit="1" customWidth="1"/>
    <col min="13844" max="13844" width="8" bestFit="1" customWidth="1"/>
    <col min="13845" max="13845" width="9.875" bestFit="1" customWidth="1"/>
    <col min="13851" max="13851" width="7.625" bestFit="1" customWidth="1"/>
    <col min="14083" max="14083" width="9.875" bestFit="1" customWidth="1"/>
    <col min="14084" max="14084" width="9" customWidth="1"/>
    <col min="14089" max="14089" width="7.625" bestFit="1" customWidth="1"/>
    <col min="14090" max="14090" width="7.75" bestFit="1" customWidth="1"/>
    <col min="14091" max="14091" width="8" bestFit="1" customWidth="1"/>
    <col min="14092" max="14092" width="9.875" bestFit="1" customWidth="1"/>
    <col min="14098" max="14098" width="7.625" bestFit="1" customWidth="1"/>
    <col min="14099" max="14099" width="7.75" bestFit="1" customWidth="1"/>
    <col min="14100" max="14100" width="8" bestFit="1" customWidth="1"/>
    <col min="14101" max="14101" width="9.875" bestFit="1" customWidth="1"/>
    <col min="14107" max="14107" width="7.625" bestFit="1" customWidth="1"/>
    <col min="14339" max="14339" width="9.875" bestFit="1" customWidth="1"/>
    <col min="14340" max="14340" width="9" customWidth="1"/>
    <col min="14345" max="14345" width="7.625" bestFit="1" customWidth="1"/>
    <col min="14346" max="14346" width="7.75" bestFit="1" customWidth="1"/>
    <col min="14347" max="14347" width="8" bestFit="1" customWidth="1"/>
    <col min="14348" max="14348" width="9.875" bestFit="1" customWidth="1"/>
    <col min="14354" max="14354" width="7.625" bestFit="1" customWidth="1"/>
    <col min="14355" max="14355" width="7.75" bestFit="1" customWidth="1"/>
    <col min="14356" max="14356" width="8" bestFit="1" customWidth="1"/>
    <col min="14357" max="14357" width="9.875" bestFit="1" customWidth="1"/>
    <col min="14363" max="14363" width="7.625" bestFit="1" customWidth="1"/>
    <col min="14595" max="14595" width="9.875" bestFit="1" customWidth="1"/>
    <col min="14596" max="14596" width="9" customWidth="1"/>
    <col min="14601" max="14601" width="7.625" bestFit="1" customWidth="1"/>
    <col min="14602" max="14602" width="7.75" bestFit="1" customWidth="1"/>
    <col min="14603" max="14603" width="8" bestFit="1" customWidth="1"/>
    <col min="14604" max="14604" width="9.875" bestFit="1" customWidth="1"/>
    <col min="14610" max="14610" width="7.625" bestFit="1" customWidth="1"/>
    <col min="14611" max="14611" width="7.75" bestFit="1" customWidth="1"/>
    <col min="14612" max="14612" width="8" bestFit="1" customWidth="1"/>
    <col min="14613" max="14613" width="9.875" bestFit="1" customWidth="1"/>
    <col min="14619" max="14619" width="7.625" bestFit="1" customWidth="1"/>
    <col min="14851" max="14851" width="9.875" bestFit="1" customWidth="1"/>
    <col min="14852" max="14852" width="9" customWidth="1"/>
    <col min="14857" max="14857" width="7.625" bestFit="1" customWidth="1"/>
    <col min="14858" max="14858" width="7.75" bestFit="1" customWidth="1"/>
    <col min="14859" max="14859" width="8" bestFit="1" customWidth="1"/>
    <col min="14860" max="14860" width="9.875" bestFit="1" customWidth="1"/>
    <col min="14866" max="14866" width="7.625" bestFit="1" customWidth="1"/>
    <col min="14867" max="14867" width="7.75" bestFit="1" customWidth="1"/>
    <col min="14868" max="14868" width="8" bestFit="1" customWidth="1"/>
    <col min="14869" max="14869" width="9.875" bestFit="1" customWidth="1"/>
    <col min="14875" max="14875" width="7.625" bestFit="1" customWidth="1"/>
    <col min="15107" max="15107" width="9.875" bestFit="1" customWidth="1"/>
    <col min="15108" max="15108" width="9" customWidth="1"/>
    <col min="15113" max="15113" width="7.625" bestFit="1" customWidth="1"/>
    <col min="15114" max="15114" width="7.75" bestFit="1" customWidth="1"/>
    <col min="15115" max="15115" width="8" bestFit="1" customWidth="1"/>
    <col min="15116" max="15116" width="9.875" bestFit="1" customWidth="1"/>
    <col min="15122" max="15122" width="7.625" bestFit="1" customWidth="1"/>
    <col min="15123" max="15123" width="7.75" bestFit="1" customWidth="1"/>
    <col min="15124" max="15124" width="8" bestFit="1" customWidth="1"/>
    <col min="15125" max="15125" width="9.875" bestFit="1" customWidth="1"/>
    <col min="15131" max="15131" width="7.625" bestFit="1" customWidth="1"/>
    <col min="15363" max="15363" width="9.875" bestFit="1" customWidth="1"/>
    <col min="15364" max="15364" width="9" customWidth="1"/>
    <col min="15369" max="15369" width="7.625" bestFit="1" customWidth="1"/>
    <col min="15370" max="15370" width="7.75" bestFit="1" customWidth="1"/>
    <col min="15371" max="15371" width="8" bestFit="1" customWidth="1"/>
    <col min="15372" max="15372" width="9.875" bestFit="1" customWidth="1"/>
    <col min="15378" max="15378" width="7.625" bestFit="1" customWidth="1"/>
    <col min="15379" max="15379" width="7.75" bestFit="1" customWidth="1"/>
    <col min="15380" max="15380" width="8" bestFit="1" customWidth="1"/>
    <col min="15381" max="15381" width="9.875" bestFit="1" customWidth="1"/>
    <col min="15387" max="15387" width="7.625" bestFit="1" customWidth="1"/>
    <col min="15619" max="15619" width="9.875" bestFit="1" customWidth="1"/>
    <col min="15620" max="15620" width="9" customWidth="1"/>
    <col min="15625" max="15625" width="7.625" bestFit="1" customWidth="1"/>
    <col min="15626" max="15626" width="7.75" bestFit="1" customWidth="1"/>
    <col min="15627" max="15627" width="8" bestFit="1" customWidth="1"/>
    <col min="15628" max="15628" width="9.875" bestFit="1" customWidth="1"/>
    <col min="15634" max="15634" width="7.625" bestFit="1" customWidth="1"/>
    <col min="15635" max="15635" width="7.75" bestFit="1" customWidth="1"/>
    <col min="15636" max="15636" width="8" bestFit="1" customWidth="1"/>
    <col min="15637" max="15637" width="9.875" bestFit="1" customWidth="1"/>
    <col min="15643" max="15643" width="7.625" bestFit="1" customWidth="1"/>
    <col min="15875" max="15875" width="9.875" bestFit="1" customWidth="1"/>
    <col min="15876" max="15876" width="9" customWidth="1"/>
    <col min="15881" max="15881" width="7.625" bestFit="1" customWidth="1"/>
    <col min="15882" max="15882" width="7.75" bestFit="1" customWidth="1"/>
    <col min="15883" max="15883" width="8" bestFit="1" customWidth="1"/>
    <col min="15884" max="15884" width="9.875" bestFit="1" customWidth="1"/>
    <col min="15890" max="15890" width="7.625" bestFit="1" customWidth="1"/>
    <col min="15891" max="15891" width="7.75" bestFit="1" customWidth="1"/>
    <col min="15892" max="15892" width="8" bestFit="1" customWidth="1"/>
    <col min="15893" max="15893" width="9.875" bestFit="1" customWidth="1"/>
    <col min="15899" max="15899" width="7.625" bestFit="1" customWidth="1"/>
    <col min="16131" max="16131" width="9.875" bestFit="1" customWidth="1"/>
    <col min="16132" max="16132" width="9" customWidth="1"/>
    <col min="16137" max="16137" width="7.625" bestFit="1" customWidth="1"/>
    <col min="16138" max="16138" width="7.75" bestFit="1" customWidth="1"/>
    <col min="16139" max="16139" width="8" bestFit="1" customWidth="1"/>
    <col min="16140" max="16140" width="9.875" bestFit="1" customWidth="1"/>
    <col min="16146" max="16146" width="7.625" bestFit="1" customWidth="1"/>
    <col min="16147" max="16147" width="7.75" bestFit="1" customWidth="1"/>
    <col min="16148" max="16148" width="8" bestFit="1" customWidth="1"/>
    <col min="16149" max="16149" width="9.875" bestFit="1" customWidth="1"/>
    <col min="16155" max="16155" width="7.625" bestFit="1" customWidth="1"/>
  </cols>
  <sheetData>
    <row r="1" spans="1:81" ht="35.25">
      <c r="A1" s="1" t="s">
        <v>43</v>
      </c>
      <c r="B1" s="78" t="s">
        <v>44</v>
      </c>
      <c r="C1" s="78"/>
      <c r="D1" s="78"/>
      <c r="E1" s="78"/>
      <c r="F1" s="78"/>
      <c r="G1" s="78"/>
      <c r="H1" s="78"/>
      <c r="I1" s="78"/>
      <c r="J1" s="78"/>
      <c r="K1" s="78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81" ht="14.25">
      <c r="A2" s="3" t="s">
        <v>23</v>
      </c>
      <c r="B2" s="79" t="s">
        <v>24</v>
      </c>
      <c r="C2" s="80"/>
      <c r="D2" s="80"/>
      <c r="E2" s="80"/>
      <c r="F2" s="80"/>
      <c r="G2" s="80"/>
      <c r="H2" s="80"/>
      <c r="I2" s="80"/>
      <c r="J2" s="80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81" ht="14.25">
      <c r="A3" s="3" t="s">
        <v>0</v>
      </c>
      <c r="B3" s="79" t="s">
        <v>25</v>
      </c>
      <c r="C3" s="80"/>
      <c r="D3" s="80"/>
      <c r="E3" s="80"/>
      <c r="F3" s="80"/>
      <c r="G3" s="80"/>
      <c r="H3" s="80"/>
      <c r="I3" s="80"/>
      <c r="J3" s="80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81" ht="14.25" customHeight="1">
      <c r="A4" s="19" t="s">
        <v>167</v>
      </c>
      <c r="B4" s="5" t="s">
        <v>26</v>
      </c>
      <c r="C4" s="5" t="s">
        <v>27</v>
      </c>
      <c r="D4" s="5" t="s">
        <v>28</v>
      </c>
      <c r="E4" s="5" t="s">
        <v>11</v>
      </c>
      <c r="F4" s="5" t="s">
        <v>12</v>
      </c>
      <c r="G4" s="21" t="s">
        <v>3</v>
      </c>
      <c r="H4" s="38" t="s">
        <v>4</v>
      </c>
      <c r="I4" s="81" t="s">
        <v>29</v>
      </c>
      <c r="J4" s="19" t="s">
        <v>167</v>
      </c>
      <c r="K4" s="20" t="s">
        <v>26</v>
      </c>
      <c r="L4" s="20" t="s">
        <v>27</v>
      </c>
      <c r="M4" s="20" t="s">
        <v>28</v>
      </c>
      <c r="N4" s="20" t="s">
        <v>11</v>
      </c>
      <c r="O4" s="20" t="s">
        <v>12</v>
      </c>
      <c r="P4" s="21" t="s">
        <v>3</v>
      </c>
      <c r="Q4" s="38" t="s">
        <v>4</v>
      </c>
      <c r="R4" s="86" t="s">
        <v>29</v>
      </c>
      <c r="S4" s="19" t="s">
        <v>167</v>
      </c>
      <c r="T4" s="20" t="s">
        <v>26</v>
      </c>
      <c r="U4" s="20" t="s">
        <v>27</v>
      </c>
      <c r="V4" s="20" t="s">
        <v>28</v>
      </c>
      <c r="W4" s="20" t="s">
        <v>11</v>
      </c>
      <c r="X4" s="20" t="s">
        <v>12</v>
      </c>
      <c r="Y4" s="21" t="s">
        <v>3</v>
      </c>
      <c r="Z4" s="38" t="s">
        <v>4</v>
      </c>
      <c r="AA4" s="86" t="s">
        <v>29</v>
      </c>
      <c r="AB4" s="19" t="s">
        <v>167</v>
      </c>
      <c r="AC4" s="20" t="s">
        <v>26</v>
      </c>
      <c r="AD4" s="20" t="s">
        <v>27</v>
      </c>
      <c r="AE4" s="20" t="s">
        <v>28</v>
      </c>
      <c r="AF4" s="20" t="s">
        <v>11</v>
      </c>
      <c r="AG4" s="20" t="s">
        <v>12</v>
      </c>
      <c r="AH4" s="21" t="s">
        <v>3</v>
      </c>
      <c r="AI4" s="38" t="s">
        <v>4</v>
      </c>
      <c r="AJ4" s="81" t="s">
        <v>29</v>
      </c>
      <c r="AK4" s="19" t="s">
        <v>167</v>
      </c>
      <c r="AL4" s="20" t="s">
        <v>26</v>
      </c>
      <c r="AM4" s="20" t="s">
        <v>27</v>
      </c>
      <c r="AN4" s="20" t="s">
        <v>28</v>
      </c>
      <c r="AO4" s="20" t="s">
        <v>11</v>
      </c>
      <c r="AP4" s="20" t="s">
        <v>12</v>
      </c>
      <c r="AQ4" s="21" t="s">
        <v>3</v>
      </c>
      <c r="AR4" s="38" t="s">
        <v>4</v>
      </c>
      <c r="AS4" s="86" t="s">
        <v>29</v>
      </c>
      <c r="AT4" s="19" t="s">
        <v>167</v>
      </c>
      <c r="AU4" s="5" t="s">
        <v>26</v>
      </c>
      <c r="AV4" s="5" t="s">
        <v>27</v>
      </c>
      <c r="AW4" s="5" t="s">
        <v>28</v>
      </c>
      <c r="AX4" s="5" t="s">
        <v>11</v>
      </c>
      <c r="AY4" s="5" t="s">
        <v>12</v>
      </c>
      <c r="AZ4" s="21" t="s">
        <v>3</v>
      </c>
      <c r="BA4" s="38" t="s">
        <v>4</v>
      </c>
      <c r="BB4" s="81" t="s">
        <v>29</v>
      </c>
      <c r="BC4" s="19" t="s">
        <v>167</v>
      </c>
      <c r="BD4" s="20" t="s">
        <v>26</v>
      </c>
      <c r="BE4" s="20" t="s">
        <v>27</v>
      </c>
      <c r="BF4" s="20" t="s">
        <v>28</v>
      </c>
      <c r="BG4" s="20" t="s">
        <v>11</v>
      </c>
      <c r="BH4" s="20" t="s">
        <v>12</v>
      </c>
      <c r="BI4" s="21" t="s">
        <v>3</v>
      </c>
      <c r="BJ4" s="38" t="s">
        <v>4</v>
      </c>
      <c r="BK4" s="86" t="s">
        <v>29</v>
      </c>
      <c r="BL4" s="19" t="s">
        <v>167</v>
      </c>
      <c r="BM4" s="5" t="s">
        <v>26</v>
      </c>
      <c r="BN4" s="5" t="s">
        <v>27</v>
      </c>
      <c r="BO4" s="5" t="s">
        <v>28</v>
      </c>
      <c r="BP4" s="5" t="s">
        <v>11</v>
      </c>
      <c r="BQ4" s="5" t="s">
        <v>12</v>
      </c>
      <c r="BR4" s="21" t="s">
        <v>3</v>
      </c>
      <c r="BS4" s="38" t="s">
        <v>4</v>
      </c>
      <c r="BT4" s="81" t="s">
        <v>29</v>
      </c>
      <c r="BU4" s="19" t="s">
        <v>167</v>
      </c>
      <c r="BV4" s="20" t="s">
        <v>26</v>
      </c>
      <c r="BW4" s="20" t="s">
        <v>27</v>
      </c>
      <c r="BX4" s="20" t="s">
        <v>28</v>
      </c>
      <c r="BY4" s="20" t="s">
        <v>11</v>
      </c>
      <c r="BZ4" s="20" t="s">
        <v>12</v>
      </c>
      <c r="CA4" s="21" t="s">
        <v>3</v>
      </c>
      <c r="CB4" s="38" t="s">
        <v>4</v>
      </c>
      <c r="CC4" s="86" t="s">
        <v>29</v>
      </c>
    </row>
    <row r="5" spans="1:81" ht="15">
      <c r="A5" s="7" t="s">
        <v>30</v>
      </c>
      <c r="B5" s="8">
        <v>20775</v>
      </c>
      <c r="C5" s="8">
        <v>2502.5</v>
      </c>
      <c r="D5" s="4">
        <v>5</v>
      </c>
      <c r="E5" s="8" t="s">
        <v>10</v>
      </c>
      <c r="F5" s="50">
        <v>1</v>
      </c>
      <c r="G5" s="24" t="s">
        <v>15</v>
      </c>
      <c r="H5" s="25" t="s">
        <v>6</v>
      </c>
      <c r="I5" s="82"/>
      <c r="J5" s="22" t="s">
        <v>32</v>
      </c>
      <c r="K5" s="28">
        <v>21100</v>
      </c>
      <c r="L5" s="28">
        <v>2535</v>
      </c>
      <c r="M5" s="23">
        <v>5</v>
      </c>
      <c r="N5" s="28" t="s">
        <v>10</v>
      </c>
      <c r="O5" s="29">
        <v>1</v>
      </c>
      <c r="P5" s="24" t="s">
        <v>15</v>
      </c>
      <c r="Q5" s="25" t="s">
        <v>7</v>
      </c>
      <c r="R5" s="86"/>
      <c r="S5" s="27" t="s">
        <v>31</v>
      </c>
      <c r="T5" s="28">
        <v>21425</v>
      </c>
      <c r="U5" s="28">
        <v>2567.5</v>
      </c>
      <c r="V5" s="23">
        <v>5</v>
      </c>
      <c r="W5" s="28" t="s">
        <v>10</v>
      </c>
      <c r="X5" s="29">
        <v>1</v>
      </c>
      <c r="Y5" s="24" t="s">
        <v>31</v>
      </c>
      <c r="Z5" s="25" t="s">
        <v>7</v>
      </c>
      <c r="AA5" s="86"/>
      <c r="AB5" s="27" t="s">
        <v>30</v>
      </c>
      <c r="AC5" s="28">
        <v>20775</v>
      </c>
      <c r="AD5" s="28">
        <v>2502.5</v>
      </c>
      <c r="AE5" s="23">
        <v>5</v>
      </c>
      <c r="AF5" s="28" t="s">
        <v>10</v>
      </c>
      <c r="AG5" s="29">
        <v>25</v>
      </c>
      <c r="AH5" s="24" t="s">
        <v>30</v>
      </c>
      <c r="AI5" s="25" t="s">
        <v>6</v>
      </c>
      <c r="AJ5" s="82"/>
      <c r="AK5" s="27" t="s">
        <v>31</v>
      </c>
      <c r="AL5" s="28">
        <v>21425</v>
      </c>
      <c r="AM5" s="28">
        <v>2567.5</v>
      </c>
      <c r="AN5" s="23">
        <v>5</v>
      </c>
      <c r="AO5" s="28" t="s">
        <v>10</v>
      </c>
      <c r="AP5" s="29">
        <v>25</v>
      </c>
      <c r="AQ5" s="24" t="s">
        <v>31</v>
      </c>
      <c r="AR5" s="25" t="s">
        <v>7</v>
      </c>
      <c r="AS5" s="86"/>
      <c r="AT5" s="7" t="s">
        <v>30</v>
      </c>
      <c r="AU5" s="8">
        <v>20850</v>
      </c>
      <c r="AV5" s="8">
        <v>2510</v>
      </c>
      <c r="AW5" s="4">
        <v>20</v>
      </c>
      <c r="AX5" s="8" t="s">
        <v>10</v>
      </c>
      <c r="AY5" s="50">
        <v>1</v>
      </c>
      <c r="AZ5" s="24" t="s">
        <v>15</v>
      </c>
      <c r="BA5" s="25" t="s">
        <v>6</v>
      </c>
      <c r="BB5" s="82"/>
      <c r="BC5" s="27" t="s">
        <v>31</v>
      </c>
      <c r="BD5" s="28">
        <v>21350</v>
      </c>
      <c r="BE5" s="28">
        <v>2560</v>
      </c>
      <c r="BF5" s="23">
        <v>20</v>
      </c>
      <c r="BG5" s="28" t="s">
        <v>10</v>
      </c>
      <c r="BH5" s="29">
        <v>1</v>
      </c>
      <c r="BI5" s="24" t="s">
        <v>31</v>
      </c>
      <c r="BJ5" s="25" t="s">
        <v>7</v>
      </c>
      <c r="BK5" s="86"/>
      <c r="BL5" s="7" t="s">
        <v>30</v>
      </c>
      <c r="BM5" s="8">
        <v>20850</v>
      </c>
      <c r="BN5" s="8">
        <v>2510</v>
      </c>
      <c r="BO5" s="4">
        <v>20</v>
      </c>
      <c r="BP5" s="8" t="s">
        <v>10</v>
      </c>
      <c r="BQ5" s="50">
        <v>100</v>
      </c>
      <c r="BR5" s="24" t="s">
        <v>30</v>
      </c>
      <c r="BS5" s="25" t="s">
        <v>6</v>
      </c>
      <c r="BT5" s="82"/>
      <c r="BU5" s="27" t="s">
        <v>31</v>
      </c>
      <c r="BV5" s="28">
        <v>21350</v>
      </c>
      <c r="BW5" s="28">
        <v>2560</v>
      </c>
      <c r="BX5" s="23">
        <v>20</v>
      </c>
      <c r="BY5" s="28" t="s">
        <v>10</v>
      </c>
      <c r="BZ5" s="29">
        <v>100</v>
      </c>
      <c r="CA5" s="24" t="s">
        <v>30</v>
      </c>
      <c r="CB5" s="25" t="s">
        <v>7</v>
      </c>
      <c r="CC5" s="86"/>
    </row>
    <row r="6" spans="1:81" ht="14.25">
      <c r="A6" s="83" t="s">
        <v>16</v>
      </c>
      <c r="B6" s="84"/>
      <c r="C6" s="6" t="s">
        <v>17</v>
      </c>
      <c r="D6" s="6" t="s">
        <v>33</v>
      </c>
      <c r="E6" s="83" t="s">
        <v>34</v>
      </c>
      <c r="F6" s="85"/>
      <c r="G6" s="84"/>
      <c r="H6" s="26" t="s">
        <v>5</v>
      </c>
      <c r="I6" s="2"/>
      <c r="J6" s="83" t="s">
        <v>16</v>
      </c>
      <c r="K6" s="84"/>
      <c r="L6" s="18" t="s">
        <v>17</v>
      </c>
      <c r="M6" s="18" t="s">
        <v>33</v>
      </c>
      <c r="N6" s="83" t="s">
        <v>34</v>
      </c>
      <c r="O6" s="85"/>
      <c r="P6" s="84"/>
      <c r="Q6" s="26" t="s">
        <v>5</v>
      </c>
      <c r="R6" s="19"/>
      <c r="S6" s="83" t="s">
        <v>16</v>
      </c>
      <c r="T6" s="84"/>
      <c r="U6" s="18" t="s">
        <v>17</v>
      </c>
      <c r="V6" s="18" t="s">
        <v>33</v>
      </c>
      <c r="W6" s="83" t="s">
        <v>34</v>
      </c>
      <c r="X6" s="85"/>
      <c r="Y6" s="84"/>
      <c r="Z6" s="26" t="s">
        <v>5</v>
      </c>
      <c r="AA6" s="19"/>
      <c r="AB6" s="83" t="s">
        <v>16</v>
      </c>
      <c r="AC6" s="84"/>
      <c r="AD6" s="18" t="s">
        <v>17</v>
      </c>
      <c r="AE6" s="18" t="s">
        <v>33</v>
      </c>
      <c r="AF6" s="83" t="s">
        <v>34</v>
      </c>
      <c r="AG6" s="85"/>
      <c r="AH6" s="84"/>
      <c r="AI6" s="26" t="s">
        <v>5</v>
      </c>
      <c r="AJ6" s="19"/>
      <c r="AK6" s="83" t="s">
        <v>16</v>
      </c>
      <c r="AL6" s="84"/>
      <c r="AM6" s="18" t="s">
        <v>17</v>
      </c>
      <c r="AN6" s="18" t="s">
        <v>33</v>
      </c>
      <c r="AO6" s="83" t="s">
        <v>34</v>
      </c>
      <c r="AP6" s="85"/>
      <c r="AQ6" s="84"/>
      <c r="AR6" s="26" t="s">
        <v>5</v>
      </c>
      <c r="AS6" s="19"/>
      <c r="AT6" s="83" t="s">
        <v>16</v>
      </c>
      <c r="AU6" s="84"/>
      <c r="AV6" s="6" t="s">
        <v>17</v>
      </c>
      <c r="AW6" s="6" t="s">
        <v>33</v>
      </c>
      <c r="AX6" s="83" t="s">
        <v>34</v>
      </c>
      <c r="AY6" s="85"/>
      <c r="AZ6" s="84"/>
      <c r="BA6" s="26"/>
      <c r="BB6" s="2"/>
      <c r="BC6" s="83" t="s">
        <v>16</v>
      </c>
      <c r="BD6" s="84"/>
      <c r="BE6" s="18" t="s">
        <v>17</v>
      </c>
      <c r="BF6" s="18" t="s">
        <v>33</v>
      </c>
      <c r="BG6" s="83" t="s">
        <v>34</v>
      </c>
      <c r="BH6" s="85"/>
      <c r="BI6" s="84"/>
      <c r="BJ6" s="26" t="s">
        <v>5</v>
      </c>
      <c r="BK6" s="19"/>
      <c r="BL6" s="83" t="s">
        <v>16</v>
      </c>
      <c r="BM6" s="84"/>
      <c r="BN6" s="6" t="s">
        <v>17</v>
      </c>
      <c r="BO6" s="6" t="s">
        <v>33</v>
      </c>
      <c r="BP6" s="83" t="s">
        <v>34</v>
      </c>
      <c r="BQ6" s="85"/>
      <c r="BR6" s="84"/>
      <c r="BS6" s="26" t="s">
        <v>5</v>
      </c>
      <c r="BT6" s="2"/>
      <c r="BU6" s="83" t="s">
        <v>16</v>
      </c>
      <c r="BV6" s="84"/>
      <c r="BW6" s="18" t="s">
        <v>17</v>
      </c>
      <c r="BX6" s="18" t="s">
        <v>33</v>
      </c>
      <c r="BY6" s="83" t="s">
        <v>34</v>
      </c>
      <c r="BZ6" s="85"/>
      <c r="CA6" s="84"/>
      <c r="CB6" s="26" t="s">
        <v>5</v>
      </c>
      <c r="CC6" s="19"/>
    </row>
    <row r="7" spans="1:81" ht="15">
      <c r="A7" s="54">
        <f>((C5-INT((D5*5)/2)*0.18)-0.2)*2</f>
        <v>5000.2800000000007</v>
      </c>
      <c r="B7" s="54">
        <f>((C5-INT((D5*5)/2)*0.18)+0.2)*2</f>
        <v>5001.08</v>
      </c>
      <c r="C7" s="10" t="s">
        <v>9</v>
      </c>
      <c r="D7" s="10" t="s">
        <v>9</v>
      </c>
      <c r="E7" s="87" t="s">
        <v>35</v>
      </c>
      <c r="F7" s="88"/>
      <c r="G7" s="89"/>
      <c r="H7" s="75"/>
      <c r="I7" s="55" t="s">
        <v>36</v>
      </c>
      <c r="J7" s="54">
        <f>((L5-INT((M5*5)/2)*0.18)-0.2)*2</f>
        <v>5065.2800000000007</v>
      </c>
      <c r="K7" s="54">
        <f>((L5-INT((M5*5)/2)*0.18)+0.2)*2</f>
        <v>5066.08</v>
      </c>
      <c r="L7" s="10" t="s">
        <v>9</v>
      </c>
      <c r="M7" s="10" t="s">
        <v>9</v>
      </c>
      <c r="N7" s="87" t="s">
        <v>35</v>
      </c>
      <c r="O7" s="88"/>
      <c r="P7" s="89"/>
      <c r="Q7" s="75"/>
      <c r="R7" s="55" t="s">
        <v>36</v>
      </c>
      <c r="S7" s="54">
        <f>((U5+INT((V5*5)/2)*0.18)-0.2)*2</f>
        <v>5138.92</v>
      </c>
      <c r="T7" s="54">
        <f>((U5+INT((V5*5)/2)*0.18)+0.2)*2</f>
        <v>5139.7199999999993</v>
      </c>
      <c r="U7" s="10" t="s">
        <v>9</v>
      </c>
      <c r="V7" s="10" t="s">
        <v>9</v>
      </c>
      <c r="W7" s="87" t="s">
        <v>35</v>
      </c>
      <c r="X7" s="88"/>
      <c r="Y7" s="89"/>
      <c r="Z7" s="75"/>
      <c r="AA7" s="55" t="s">
        <v>36</v>
      </c>
      <c r="AB7" s="54">
        <f>(AD5-AE5/2)*2</f>
        <v>5000</v>
      </c>
      <c r="AC7" s="54">
        <f>(AD5+AE5/2)*2</f>
        <v>5010</v>
      </c>
      <c r="AD7" s="10" t="s">
        <v>9</v>
      </c>
      <c r="AE7" s="10" t="s">
        <v>9</v>
      </c>
      <c r="AF7" s="87" t="s">
        <v>35</v>
      </c>
      <c r="AG7" s="88"/>
      <c r="AH7" s="89"/>
      <c r="AI7" s="75"/>
      <c r="AJ7" s="55" t="s">
        <v>36</v>
      </c>
      <c r="AK7" s="54">
        <f>(AM5-AN5/2)*2</f>
        <v>5130</v>
      </c>
      <c r="AL7" s="54">
        <f>(AM5+AN5/2)*2</f>
        <v>5140</v>
      </c>
      <c r="AM7" s="10" t="s">
        <v>9</v>
      </c>
      <c r="AN7" s="10" t="s">
        <v>9</v>
      </c>
      <c r="AO7" s="87" t="s">
        <v>35</v>
      </c>
      <c r="AP7" s="88"/>
      <c r="AQ7" s="89"/>
      <c r="AR7" s="75"/>
      <c r="AS7" s="55" t="s">
        <v>36</v>
      </c>
      <c r="AT7" s="54">
        <f>((AV5-(INT((AW5*5)/2)-0.5)*0.18)-0.2)*2</f>
        <v>5001.7800000000007</v>
      </c>
      <c r="AU7" s="54">
        <f>((AV5-(INT((AW5*5)/2)-0.5)*0.18)+0.2)*2</f>
        <v>5002.58</v>
      </c>
      <c r="AV7" s="10" t="s">
        <v>9</v>
      </c>
      <c r="AW7" s="10" t="s">
        <v>9</v>
      </c>
      <c r="AX7" s="87" t="s">
        <v>35</v>
      </c>
      <c r="AY7" s="88"/>
      <c r="AZ7" s="89"/>
      <c r="BA7" s="75"/>
      <c r="BB7" s="55" t="s">
        <v>36</v>
      </c>
      <c r="BC7" s="54">
        <f>((BE5+(INT((BF5*5)/2)-0.5)*0.18)-0.2)*2</f>
        <v>5137.42</v>
      </c>
      <c r="BD7" s="54">
        <f>((BE5+(INT((BF5*5)/2)-0.5)*0.18)+0.2)*2</f>
        <v>5138.2199999999993</v>
      </c>
      <c r="BE7" s="10" t="s">
        <v>9</v>
      </c>
      <c r="BF7" s="10" t="s">
        <v>9</v>
      </c>
      <c r="BG7" s="87" t="s">
        <v>35</v>
      </c>
      <c r="BH7" s="88"/>
      <c r="BI7" s="89"/>
      <c r="BJ7" s="75"/>
      <c r="BK7" s="55" t="s">
        <v>36</v>
      </c>
      <c r="BL7" s="54">
        <f>(BN5-BO5/2)*2</f>
        <v>5000</v>
      </c>
      <c r="BM7" s="54">
        <f>(BN5+BO5/2)*2</f>
        <v>5040</v>
      </c>
      <c r="BN7" s="10" t="s">
        <v>9</v>
      </c>
      <c r="BO7" s="10" t="s">
        <v>9</v>
      </c>
      <c r="BP7" s="87" t="s">
        <v>35</v>
      </c>
      <c r="BQ7" s="88"/>
      <c r="BR7" s="89"/>
      <c r="BS7" s="75"/>
      <c r="BT7" s="55" t="s">
        <v>36</v>
      </c>
      <c r="BU7" s="54">
        <f>(BW5-BX5/2)*2</f>
        <v>5100</v>
      </c>
      <c r="BV7" s="54">
        <f>(BW5+BX5/2)*2</f>
        <v>5140</v>
      </c>
      <c r="BW7" s="10" t="s">
        <v>9</v>
      </c>
      <c r="BX7" s="10" t="s">
        <v>9</v>
      </c>
      <c r="BY7" s="87" t="s">
        <v>35</v>
      </c>
      <c r="BZ7" s="88"/>
      <c r="CA7" s="89"/>
      <c r="CB7" s="75"/>
      <c r="CC7" s="55" t="s">
        <v>36</v>
      </c>
    </row>
    <row r="8" spans="1:81" ht="15">
      <c r="A8" s="54">
        <f>((C5-INT((D5*5)/2)*0.18)-0.2)*3</f>
        <v>7500.420000000001</v>
      </c>
      <c r="B8" s="54">
        <f>((C5-INT((D5*5)/2)*0.18)+0.2)*3</f>
        <v>7501.62</v>
      </c>
      <c r="C8" s="10" t="s">
        <v>9</v>
      </c>
      <c r="D8" s="10" t="s">
        <v>9</v>
      </c>
      <c r="E8" s="87" t="s">
        <v>35</v>
      </c>
      <c r="F8" s="88"/>
      <c r="G8" s="89"/>
      <c r="H8" s="75"/>
      <c r="I8" s="55" t="s">
        <v>37</v>
      </c>
      <c r="J8" s="54">
        <f>((L5-INT((M5*5)/2)*0.18)-0.2)*3</f>
        <v>7597.920000000001</v>
      </c>
      <c r="K8" s="54">
        <f>((L5-INT((M5*5)/2)*0.18)+0.2)*3</f>
        <v>7599.12</v>
      </c>
      <c r="L8" s="10" t="s">
        <v>9</v>
      </c>
      <c r="M8" s="10" t="s">
        <v>9</v>
      </c>
      <c r="N8" s="87" t="s">
        <v>35</v>
      </c>
      <c r="O8" s="88"/>
      <c r="P8" s="89"/>
      <c r="Q8" s="75"/>
      <c r="R8" s="55" t="s">
        <v>37</v>
      </c>
      <c r="S8" s="54">
        <f>((U5+INT((V5*5)/2)*0.18)-0.2)*3</f>
        <v>7708.38</v>
      </c>
      <c r="T8" s="54">
        <f>((U5+INT((V5*5)/2)*0.18)+0.2)*3</f>
        <v>7709.579999999999</v>
      </c>
      <c r="U8" s="10" t="s">
        <v>9</v>
      </c>
      <c r="V8" s="10" t="s">
        <v>9</v>
      </c>
      <c r="W8" s="87" t="s">
        <v>35</v>
      </c>
      <c r="X8" s="88"/>
      <c r="Y8" s="89"/>
      <c r="Z8" s="75"/>
      <c r="AA8" s="55" t="s">
        <v>37</v>
      </c>
      <c r="AB8" s="54">
        <f>(AD5-AE5/2)*3</f>
        <v>7500</v>
      </c>
      <c r="AC8" s="54">
        <f>(AD5+AE5/2)*3</f>
        <v>7515</v>
      </c>
      <c r="AD8" s="10" t="s">
        <v>9</v>
      </c>
      <c r="AE8" s="10" t="s">
        <v>9</v>
      </c>
      <c r="AF8" s="87" t="s">
        <v>35</v>
      </c>
      <c r="AG8" s="88"/>
      <c r="AH8" s="89"/>
      <c r="AI8" s="75"/>
      <c r="AJ8" s="55" t="s">
        <v>37</v>
      </c>
      <c r="AK8" s="54">
        <f>(AM5-AN5/2)*3</f>
        <v>7695</v>
      </c>
      <c r="AL8" s="54">
        <f>(AM5+AN5/2)*3</f>
        <v>7710</v>
      </c>
      <c r="AM8" s="10" t="s">
        <v>9</v>
      </c>
      <c r="AN8" s="10" t="s">
        <v>9</v>
      </c>
      <c r="AO8" s="87" t="s">
        <v>35</v>
      </c>
      <c r="AP8" s="88"/>
      <c r="AQ8" s="89"/>
      <c r="AR8" s="75"/>
      <c r="AS8" s="55" t="s">
        <v>37</v>
      </c>
      <c r="AT8" s="54">
        <f>((AV5-(INT((AW5*5)/2)-0.5)*0.18)-0.2)*3</f>
        <v>7502.670000000001</v>
      </c>
      <c r="AU8" s="54">
        <f>((AV5-(INT((AW5*5)/2)-0.5)*0.18)+0.2)*3</f>
        <v>7503.87</v>
      </c>
      <c r="AV8" s="10" t="s">
        <v>9</v>
      </c>
      <c r="AW8" s="10" t="s">
        <v>9</v>
      </c>
      <c r="AX8" s="87" t="s">
        <v>35</v>
      </c>
      <c r="AY8" s="88"/>
      <c r="AZ8" s="89"/>
      <c r="BA8" s="75"/>
      <c r="BB8" s="55" t="s">
        <v>37</v>
      </c>
      <c r="BC8" s="54">
        <f>((BE5+(INT((BF5*5)/2)-0.5)*0.18)-0.2)*3</f>
        <v>7706.13</v>
      </c>
      <c r="BD8" s="54">
        <f>((BE5+(INT((BF5*5)/2)-0.5)*0.18)+0.2)*3</f>
        <v>7707.329999999999</v>
      </c>
      <c r="BE8" s="10" t="s">
        <v>9</v>
      </c>
      <c r="BF8" s="10" t="s">
        <v>9</v>
      </c>
      <c r="BG8" s="87" t="s">
        <v>35</v>
      </c>
      <c r="BH8" s="88"/>
      <c r="BI8" s="89"/>
      <c r="BJ8" s="75"/>
      <c r="BK8" s="55" t="s">
        <v>37</v>
      </c>
      <c r="BL8" s="54">
        <f>(BN5-BO5/2)*3</f>
        <v>7500</v>
      </c>
      <c r="BM8" s="54">
        <f>(BN5+BO5/2)*3</f>
        <v>7560</v>
      </c>
      <c r="BN8" s="10" t="s">
        <v>9</v>
      </c>
      <c r="BO8" s="10" t="s">
        <v>9</v>
      </c>
      <c r="BP8" s="87" t="s">
        <v>35</v>
      </c>
      <c r="BQ8" s="88"/>
      <c r="BR8" s="89"/>
      <c r="BS8" s="75"/>
      <c r="BT8" s="55" t="s">
        <v>37</v>
      </c>
      <c r="BU8" s="54">
        <f>(BW5-BX5/2)*3</f>
        <v>7650</v>
      </c>
      <c r="BV8" s="54">
        <f>(BW5+BX5/2)*3</f>
        <v>7710</v>
      </c>
      <c r="BW8" s="10" t="s">
        <v>9</v>
      </c>
      <c r="BX8" s="10" t="s">
        <v>9</v>
      </c>
      <c r="BY8" s="87" t="s">
        <v>35</v>
      </c>
      <c r="BZ8" s="88"/>
      <c r="CA8" s="89"/>
      <c r="CB8" s="75"/>
      <c r="CC8" s="55" t="s">
        <v>37</v>
      </c>
    </row>
    <row r="9" spans="1:81" ht="15">
      <c r="A9" s="54">
        <f>((C5-INT((D5*5)/2)*0.18)-0.2)*4</f>
        <v>10000.560000000001</v>
      </c>
      <c r="B9" s="54">
        <f>((C5-INT((D5*5)/2)*0.18)+0.2)*4</f>
        <v>10002.16</v>
      </c>
      <c r="C9" s="10" t="s">
        <v>9</v>
      </c>
      <c r="D9" s="10" t="s">
        <v>9</v>
      </c>
      <c r="E9" s="90" t="s">
        <v>35</v>
      </c>
      <c r="F9" s="90"/>
      <c r="G9" s="90"/>
      <c r="H9" s="75"/>
      <c r="I9" s="55" t="s">
        <v>38</v>
      </c>
      <c r="J9" s="54">
        <f>((L5-INT((M5*5)/2)*0.18)-0.2)*4</f>
        <v>10130.560000000001</v>
      </c>
      <c r="K9" s="54">
        <f>((L5-INT((M5*5)/2)*0.18)+0.2)*4</f>
        <v>10132.16</v>
      </c>
      <c r="L9" s="10" t="s">
        <v>9</v>
      </c>
      <c r="M9" s="10" t="s">
        <v>9</v>
      </c>
      <c r="N9" s="90" t="s">
        <v>35</v>
      </c>
      <c r="O9" s="90"/>
      <c r="P9" s="90"/>
      <c r="Q9" s="75"/>
      <c r="R9" s="55" t="s">
        <v>38</v>
      </c>
      <c r="S9" s="54">
        <f>((U5+INT((V5*5)/2)*0.18)-0.2)*4</f>
        <v>10277.84</v>
      </c>
      <c r="T9" s="54">
        <f>((U5+INT((V5*5)/2)*0.18)+0.2)*4</f>
        <v>10279.439999999999</v>
      </c>
      <c r="U9" s="10" t="s">
        <v>9</v>
      </c>
      <c r="V9" s="10" t="s">
        <v>9</v>
      </c>
      <c r="W9" s="90" t="s">
        <v>35</v>
      </c>
      <c r="X9" s="90"/>
      <c r="Y9" s="90"/>
      <c r="Z9" s="75"/>
      <c r="AA9" s="55" t="s">
        <v>38</v>
      </c>
      <c r="AB9" s="54">
        <f>(AD5-AE5/2)*4</f>
        <v>10000</v>
      </c>
      <c r="AC9" s="54">
        <f>(AD5+AE5/2)*4</f>
        <v>10020</v>
      </c>
      <c r="AD9" s="10" t="s">
        <v>9</v>
      </c>
      <c r="AE9" s="10" t="s">
        <v>9</v>
      </c>
      <c r="AF9" s="90" t="s">
        <v>35</v>
      </c>
      <c r="AG9" s="90"/>
      <c r="AH9" s="90"/>
      <c r="AI9" s="75"/>
      <c r="AJ9" s="55" t="s">
        <v>38</v>
      </c>
      <c r="AK9" s="54">
        <f>(AM5-AN5/2)*4</f>
        <v>10260</v>
      </c>
      <c r="AL9" s="54">
        <f>(AM5+AN5/2)*4</f>
        <v>10280</v>
      </c>
      <c r="AM9" s="10" t="s">
        <v>9</v>
      </c>
      <c r="AN9" s="10" t="s">
        <v>9</v>
      </c>
      <c r="AO9" s="90" t="s">
        <v>35</v>
      </c>
      <c r="AP9" s="90"/>
      <c r="AQ9" s="90"/>
      <c r="AR9" s="75"/>
      <c r="AS9" s="55" t="s">
        <v>38</v>
      </c>
      <c r="AT9" s="54">
        <f>((AV5-(INT((AW5*5)/2)-0.5)*0.18)-0.2)*4</f>
        <v>10003.560000000001</v>
      </c>
      <c r="AU9" s="54">
        <f>((AV5-(INT((AW5*5)/2)-0.5)*0.18)+0.2)*4</f>
        <v>10005.16</v>
      </c>
      <c r="AV9" s="10" t="s">
        <v>9</v>
      </c>
      <c r="AW9" s="10" t="s">
        <v>9</v>
      </c>
      <c r="AX9" s="90" t="s">
        <v>35</v>
      </c>
      <c r="AY9" s="90"/>
      <c r="AZ9" s="90"/>
      <c r="BA9" s="75"/>
      <c r="BB9" s="55" t="s">
        <v>38</v>
      </c>
      <c r="BC9" s="54">
        <f>((BE5+(INT((BF5*5)/2)-0.5)*0.18)-0.2)*4</f>
        <v>10274.84</v>
      </c>
      <c r="BD9" s="54">
        <f>((BE5+(INT((BF5*5)/2)-0.5)*0.18)+0.2)*4</f>
        <v>10276.439999999999</v>
      </c>
      <c r="BE9" s="10" t="s">
        <v>9</v>
      </c>
      <c r="BF9" s="10" t="s">
        <v>9</v>
      </c>
      <c r="BG9" s="90" t="s">
        <v>35</v>
      </c>
      <c r="BH9" s="90"/>
      <c r="BI9" s="90"/>
      <c r="BJ9" s="75"/>
      <c r="BK9" s="55" t="s">
        <v>38</v>
      </c>
      <c r="BL9" s="54">
        <f>(BN5-BO5/2)*4</f>
        <v>10000</v>
      </c>
      <c r="BM9" s="54">
        <f>(BN5+BO5/2)*4</f>
        <v>10080</v>
      </c>
      <c r="BN9" s="10" t="s">
        <v>9</v>
      </c>
      <c r="BO9" s="10" t="s">
        <v>9</v>
      </c>
      <c r="BP9" s="90" t="s">
        <v>35</v>
      </c>
      <c r="BQ9" s="90"/>
      <c r="BR9" s="90"/>
      <c r="BS9" s="75"/>
      <c r="BT9" s="55" t="s">
        <v>38</v>
      </c>
      <c r="BU9" s="54">
        <f>(BW5-BX5/2)*4</f>
        <v>10200</v>
      </c>
      <c r="BV9" s="54">
        <f>(BW5+BX5/2)*4</f>
        <v>10280</v>
      </c>
      <c r="BW9" s="10" t="s">
        <v>9</v>
      </c>
      <c r="BX9" s="10" t="s">
        <v>9</v>
      </c>
      <c r="BY9" s="90" t="s">
        <v>35</v>
      </c>
      <c r="BZ9" s="90"/>
      <c r="CA9" s="90"/>
      <c r="CB9" s="75"/>
      <c r="CC9" s="55" t="s">
        <v>38</v>
      </c>
    </row>
  </sheetData>
  <mergeCells count="57">
    <mergeCell ref="E9:G9"/>
    <mergeCell ref="N9:P9"/>
    <mergeCell ref="W9:Y9"/>
    <mergeCell ref="AA4:AA5"/>
    <mergeCell ref="A6:B6"/>
    <mergeCell ref="E6:G6"/>
    <mergeCell ref="J6:K6"/>
    <mergeCell ref="N6:P6"/>
    <mergeCell ref="S6:T6"/>
    <mergeCell ref="W6:Y6"/>
    <mergeCell ref="E7:G7"/>
    <mergeCell ref="N7:P7"/>
    <mergeCell ref="W7:Y7"/>
    <mergeCell ref="E8:G8"/>
    <mergeCell ref="N8:P8"/>
    <mergeCell ref="W8:Y8"/>
    <mergeCell ref="B1:K1"/>
    <mergeCell ref="B2:J2"/>
    <mergeCell ref="B3:J3"/>
    <mergeCell ref="I4:I5"/>
    <mergeCell ref="R4:R5"/>
    <mergeCell ref="AF9:AH9"/>
    <mergeCell ref="AJ4:AJ5"/>
    <mergeCell ref="AB6:AC6"/>
    <mergeCell ref="AF6:AH6"/>
    <mergeCell ref="AF7:AH7"/>
    <mergeCell ref="AF8:AH8"/>
    <mergeCell ref="BG6:BI6"/>
    <mergeCell ref="BL6:BM6"/>
    <mergeCell ref="BP6:BR6"/>
    <mergeCell ref="BU6:BV6"/>
    <mergeCell ref="BY6:CA6"/>
    <mergeCell ref="AK6:AL6"/>
    <mergeCell ref="AO6:AQ6"/>
    <mergeCell ref="AT6:AU6"/>
    <mergeCell ref="AX6:AZ6"/>
    <mergeCell ref="BC6:BD6"/>
    <mergeCell ref="AS4:AS5"/>
    <mergeCell ref="BB4:BB5"/>
    <mergeCell ref="BK4:BK5"/>
    <mergeCell ref="BT4:BT5"/>
    <mergeCell ref="CC4:CC5"/>
    <mergeCell ref="AO8:AQ8"/>
    <mergeCell ref="AX8:AZ8"/>
    <mergeCell ref="BG8:BI8"/>
    <mergeCell ref="BP8:BR8"/>
    <mergeCell ref="BY8:CA8"/>
    <mergeCell ref="AO7:AQ7"/>
    <mergeCell ref="AX7:AZ7"/>
    <mergeCell ref="BG7:BI7"/>
    <mergeCell ref="BP7:BR7"/>
    <mergeCell ref="BY7:CA7"/>
    <mergeCell ref="AO9:AQ9"/>
    <mergeCell ref="AX9:AZ9"/>
    <mergeCell ref="BG9:BI9"/>
    <mergeCell ref="BP9:BR9"/>
    <mergeCell ref="BY9:CA9"/>
  </mergeCells>
  <phoneticPr fontId="18" type="noConversion"/>
  <conditionalFormatting sqref="BJ7">
    <cfRule type="containsBlanks" priority="25" stopIfTrue="1">
      <formula>LEN(TRIM(BJ7))=0</formula>
    </cfRule>
    <cfRule type="cellIs" dxfId="2227" priority="26" stopIfTrue="1" operator="greaterThan">
      <formula>-30</formula>
    </cfRule>
    <cfRule type="cellIs" dxfId="2226" priority="27" stopIfTrue="1" operator="between">
      <formula>-33</formula>
      <formula>-30</formula>
    </cfRule>
  </conditionalFormatting>
  <conditionalFormatting sqref="BJ8">
    <cfRule type="containsBlanks" priority="22" stopIfTrue="1">
      <formula>LEN(TRIM(BJ8))=0</formula>
    </cfRule>
    <cfRule type="cellIs" dxfId="2225" priority="23" stopIfTrue="1" operator="greaterThan">
      <formula>-30</formula>
    </cfRule>
    <cfRule type="cellIs" dxfId="2224" priority="24" stopIfTrue="1" operator="between">
      <formula>-33</formula>
      <formula>-30</formula>
    </cfRule>
  </conditionalFormatting>
  <conditionalFormatting sqref="BJ9">
    <cfRule type="containsBlanks" priority="19" stopIfTrue="1">
      <formula>LEN(TRIM(BJ9))=0</formula>
    </cfRule>
    <cfRule type="cellIs" dxfId="2223" priority="20" stopIfTrue="1" operator="greaterThan">
      <formula>-30</formula>
    </cfRule>
    <cfRule type="cellIs" dxfId="2222" priority="21" stopIfTrue="1" operator="between">
      <formula>-33</formula>
      <formula>-30</formula>
    </cfRule>
  </conditionalFormatting>
  <conditionalFormatting sqref="BS7">
    <cfRule type="containsBlanks" priority="16" stopIfTrue="1">
      <formula>LEN(TRIM(BS7))=0</formula>
    </cfRule>
    <cfRule type="cellIs" dxfId="2221" priority="17" stopIfTrue="1" operator="greaterThan">
      <formula>-30</formula>
    </cfRule>
    <cfRule type="cellIs" dxfId="2220" priority="18" stopIfTrue="1" operator="between">
      <formula>-33</formula>
      <formula>-30</formula>
    </cfRule>
  </conditionalFormatting>
  <conditionalFormatting sqref="BS8">
    <cfRule type="containsBlanks" priority="13" stopIfTrue="1">
      <formula>LEN(TRIM(BS8))=0</formula>
    </cfRule>
    <cfRule type="cellIs" dxfId="2219" priority="14" stopIfTrue="1" operator="greaterThan">
      <formula>-30</formula>
    </cfRule>
    <cfRule type="cellIs" dxfId="2218" priority="15" stopIfTrue="1" operator="between">
      <formula>-33</formula>
      <formula>-30</formula>
    </cfRule>
  </conditionalFormatting>
  <conditionalFormatting sqref="BS9">
    <cfRule type="containsBlanks" priority="10" stopIfTrue="1">
      <formula>LEN(TRIM(BS9))=0</formula>
    </cfRule>
    <cfRule type="cellIs" dxfId="2217" priority="11" stopIfTrue="1" operator="greaterThan">
      <formula>-30</formula>
    </cfRule>
    <cfRule type="cellIs" dxfId="2216" priority="12" stopIfTrue="1" operator="between">
      <formula>-33</formula>
      <formula>-30</formula>
    </cfRule>
  </conditionalFormatting>
  <conditionalFormatting sqref="CB7">
    <cfRule type="containsBlanks" priority="7" stopIfTrue="1">
      <formula>LEN(TRIM(CB7))=0</formula>
    </cfRule>
    <cfRule type="cellIs" dxfId="2215" priority="8" stopIfTrue="1" operator="greaterThan">
      <formula>-30</formula>
    </cfRule>
    <cfRule type="cellIs" dxfId="2214" priority="9" stopIfTrue="1" operator="between">
      <formula>-33</formula>
      <formula>-30</formula>
    </cfRule>
  </conditionalFormatting>
  <conditionalFormatting sqref="CB8">
    <cfRule type="containsBlanks" priority="4" stopIfTrue="1">
      <formula>LEN(TRIM(CB8))=0</formula>
    </cfRule>
    <cfRule type="cellIs" dxfId="2213" priority="5" stopIfTrue="1" operator="greaterThan">
      <formula>-30</formula>
    </cfRule>
    <cfRule type="cellIs" dxfId="2212" priority="6" stopIfTrue="1" operator="between">
      <formula>-33</formula>
      <formula>-30</formula>
    </cfRule>
  </conditionalFormatting>
  <conditionalFormatting sqref="CB9">
    <cfRule type="containsBlanks" priority="1" stopIfTrue="1">
      <formula>LEN(TRIM(CB9))=0</formula>
    </cfRule>
    <cfRule type="cellIs" dxfId="2211" priority="2" stopIfTrue="1" operator="greaterThan">
      <formula>-30</formula>
    </cfRule>
    <cfRule type="cellIs" dxfId="2210" priority="3" stopIfTrue="1" operator="between">
      <formula>-33</formula>
      <formula>-30</formula>
    </cfRule>
  </conditionalFormatting>
  <conditionalFormatting sqref="H7">
    <cfRule type="containsBlanks" priority="79" stopIfTrue="1">
      <formula>LEN(TRIM(H7))=0</formula>
    </cfRule>
    <cfRule type="cellIs" dxfId="2209" priority="80" stopIfTrue="1" operator="greaterThan">
      <formula>-30</formula>
    </cfRule>
    <cfRule type="cellIs" dxfId="2208" priority="81" stopIfTrue="1" operator="between">
      <formula>-33</formula>
      <formula>-30</formula>
    </cfRule>
  </conditionalFormatting>
  <conditionalFormatting sqref="H8">
    <cfRule type="containsBlanks" priority="76" stopIfTrue="1">
      <formula>LEN(TRIM(H8))=0</formula>
    </cfRule>
    <cfRule type="cellIs" dxfId="2207" priority="77" stopIfTrue="1" operator="greaterThan">
      <formula>-30</formula>
    </cfRule>
    <cfRule type="cellIs" dxfId="2206" priority="78" stopIfTrue="1" operator="between">
      <formula>-33</formula>
      <formula>-30</formula>
    </cfRule>
  </conditionalFormatting>
  <conditionalFormatting sqref="H9">
    <cfRule type="containsBlanks" priority="73" stopIfTrue="1">
      <formula>LEN(TRIM(H9))=0</formula>
    </cfRule>
    <cfRule type="cellIs" dxfId="2205" priority="74" stopIfTrue="1" operator="greaterThan">
      <formula>-30</formula>
    </cfRule>
    <cfRule type="cellIs" dxfId="2204" priority="75" stopIfTrue="1" operator="between">
      <formula>-33</formula>
      <formula>-30</formula>
    </cfRule>
  </conditionalFormatting>
  <conditionalFormatting sqref="Q7">
    <cfRule type="containsBlanks" priority="70" stopIfTrue="1">
      <formula>LEN(TRIM(Q7))=0</formula>
    </cfRule>
    <cfRule type="cellIs" dxfId="2203" priority="71" stopIfTrue="1" operator="greaterThan">
      <formula>-30</formula>
    </cfRule>
    <cfRule type="cellIs" dxfId="2202" priority="72" stopIfTrue="1" operator="between">
      <formula>-33</formula>
      <formula>-30</formula>
    </cfRule>
  </conditionalFormatting>
  <conditionalFormatting sqref="Q8">
    <cfRule type="containsBlanks" priority="67" stopIfTrue="1">
      <formula>LEN(TRIM(Q8))=0</formula>
    </cfRule>
    <cfRule type="cellIs" dxfId="2201" priority="68" stopIfTrue="1" operator="greaterThan">
      <formula>-30</formula>
    </cfRule>
    <cfRule type="cellIs" dxfId="2200" priority="69" stopIfTrue="1" operator="between">
      <formula>-33</formula>
      <formula>-30</formula>
    </cfRule>
  </conditionalFormatting>
  <conditionalFormatting sqref="Q9">
    <cfRule type="containsBlanks" priority="64" stopIfTrue="1">
      <formula>LEN(TRIM(Q9))=0</formula>
    </cfRule>
    <cfRule type="cellIs" dxfId="2199" priority="65" stopIfTrue="1" operator="greaterThan">
      <formula>-30</formula>
    </cfRule>
    <cfRule type="cellIs" dxfId="2198" priority="66" stopIfTrue="1" operator="between">
      <formula>-33</formula>
      <formula>-30</formula>
    </cfRule>
  </conditionalFormatting>
  <conditionalFormatting sqref="Z7">
    <cfRule type="containsBlanks" priority="61" stopIfTrue="1">
      <formula>LEN(TRIM(Z7))=0</formula>
    </cfRule>
    <cfRule type="cellIs" dxfId="2197" priority="62" stopIfTrue="1" operator="greaterThan">
      <formula>-30</formula>
    </cfRule>
    <cfRule type="cellIs" dxfId="2196" priority="63" stopIfTrue="1" operator="between">
      <formula>-33</formula>
      <formula>-30</formula>
    </cfRule>
  </conditionalFormatting>
  <conditionalFormatting sqref="Z8">
    <cfRule type="containsBlanks" priority="58" stopIfTrue="1">
      <formula>LEN(TRIM(Z8))=0</formula>
    </cfRule>
    <cfRule type="cellIs" dxfId="2195" priority="59" stopIfTrue="1" operator="greaterThan">
      <formula>-30</formula>
    </cfRule>
    <cfRule type="cellIs" dxfId="2194" priority="60" stopIfTrue="1" operator="between">
      <formula>-33</formula>
      <formula>-30</formula>
    </cfRule>
  </conditionalFormatting>
  <conditionalFormatting sqref="Z9">
    <cfRule type="containsBlanks" priority="55" stopIfTrue="1">
      <formula>LEN(TRIM(Z9))=0</formula>
    </cfRule>
    <cfRule type="cellIs" dxfId="2193" priority="56" stopIfTrue="1" operator="greaterThan">
      <formula>-30</formula>
    </cfRule>
    <cfRule type="cellIs" dxfId="2192" priority="57" stopIfTrue="1" operator="between">
      <formula>-33</formula>
      <formula>-30</formula>
    </cfRule>
  </conditionalFormatting>
  <conditionalFormatting sqref="AI7">
    <cfRule type="containsBlanks" priority="52" stopIfTrue="1">
      <formula>LEN(TRIM(AI7))=0</formula>
    </cfRule>
    <cfRule type="cellIs" dxfId="2191" priority="53" stopIfTrue="1" operator="greaterThan">
      <formula>-30</formula>
    </cfRule>
    <cfRule type="cellIs" dxfId="2190" priority="54" stopIfTrue="1" operator="between">
      <formula>-33</formula>
      <formula>-30</formula>
    </cfRule>
  </conditionalFormatting>
  <conditionalFormatting sqref="AI8">
    <cfRule type="containsBlanks" priority="49" stopIfTrue="1">
      <formula>LEN(TRIM(AI8))=0</formula>
    </cfRule>
    <cfRule type="cellIs" dxfId="2189" priority="50" stopIfTrue="1" operator="greaterThan">
      <formula>-30</formula>
    </cfRule>
    <cfRule type="cellIs" dxfId="2188" priority="51" stopIfTrue="1" operator="between">
      <formula>-33</formula>
      <formula>-30</formula>
    </cfRule>
  </conditionalFormatting>
  <conditionalFormatting sqref="AI9">
    <cfRule type="containsBlanks" priority="46" stopIfTrue="1">
      <formula>LEN(TRIM(AI9))=0</formula>
    </cfRule>
    <cfRule type="cellIs" dxfId="2187" priority="47" stopIfTrue="1" operator="greaterThan">
      <formula>-30</formula>
    </cfRule>
    <cfRule type="cellIs" dxfId="2186" priority="48" stopIfTrue="1" operator="between">
      <formula>-33</formula>
      <formula>-30</formula>
    </cfRule>
  </conditionalFormatting>
  <conditionalFormatting sqref="AR7">
    <cfRule type="containsBlanks" priority="43" stopIfTrue="1">
      <formula>LEN(TRIM(AR7))=0</formula>
    </cfRule>
    <cfRule type="cellIs" dxfId="2185" priority="44" stopIfTrue="1" operator="greaterThan">
      <formula>-30</formula>
    </cfRule>
    <cfRule type="cellIs" dxfId="2184" priority="45" stopIfTrue="1" operator="between">
      <formula>-33</formula>
      <formula>-30</formula>
    </cfRule>
  </conditionalFormatting>
  <conditionalFormatting sqref="AR8">
    <cfRule type="containsBlanks" priority="40" stopIfTrue="1">
      <formula>LEN(TRIM(AR8))=0</formula>
    </cfRule>
    <cfRule type="cellIs" dxfId="2183" priority="41" stopIfTrue="1" operator="greaterThan">
      <formula>-30</formula>
    </cfRule>
    <cfRule type="cellIs" dxfId="2182" priority="42" stopIfTrue="1" operator="between">
      <formula>-33</formula>
      <formula>-30</formula>
    </cfRule>
  </conditionalFormatting>
  <conditionalFormatting sqref="AR9">
    <cfRule type="containsBlanks" priority="37" stopIfTrue="1">
      <formula>LEN(TRIM(AR9))=0</formula>
    </cfRule>
    <cfRule type="cellIs" dxfId="2181" priority="38" stopIfTrue="1" operator="greaterThan">
      <formula>-30</formula>
    </cfRule>
    <cfRule type="cellIs" dxfId="2180" priority="39" stopIfTrue="1" operator="between">
      <formula>-33</formula>
      <formula>-30</formula>
    </cfRule>
  </conditionalFormatting>
  <conditionalFormatting sqref="BA7">
    <cfRule type="containsBlanks" priority="34" stopIfTrue="1">
      <formula>LEN(TRIM(BA7))=0</formula>
    </cfRule>
    <cfRule type="cellIs" dxfId="2179" priority="35" stopIfTrue="1" operator="greaterThan">
      <formula>-30</formula>
    </cfRule>
    <cfRule type="cellIs" dxfId="2178" priority="36" stopIfTrue="1" operator="between">
      <formula>-33</formula>
      <formula>-30</formula>
    </cfRule>
  </conditionalFormatting>
  <conditionalFormatting sqref="BA8">
    <cfRule type="containsBlanks" priority="31" stopIfTrue="1">
      <formula>LEN(TRIM(BA8))=0</formula>
    </cfRule>
    <cfRule type="cellIs" dxfId="2177" priority="32" stopIfTrue="1" operator="greaterThan">
      <formula>-30</formula>
    </cfRule>
    <cfRule type="cellIs" dxfId="2176" priority="33" stopIfTrue="1" operator="between">
      <formula>-33</formula>
      <formula>-30</formula>
    </cfRule>
  </conditionalFormatting>
  <conditionalFormatting sqref="BA9">
    <cfRule type="containsBlanks" priority="28" stopIfTrue="1">
      <formula>LEN(TRIM(BA9))=0</formula>
    </cfRule>
    <cfRule type="cellIs" dxfId="2175" priority="29" stopIfTrue="1" operator="greaterThan">
      <formula>-30</formula>
    </cfRule>
    <cfRule type="cellIs" dxfId="2174" priority="30" stopIfTrue="1" operator="between">
      <formula>-33</formula>
      <formula>-30</formula>
    </cfRule>
  </conditionalFormatting>
  <dataValidations count="1">
    <dataValidation type="list" allowBlank="1" showInputMessage="1" showErrorMessage="1" sqref="AH5 Y5 P5 G5">
      <formula1>"Low,Mid,High"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U18"/>
  <sheetViews>
    <sheetView topLeftCell="BR1" zoomScale="80" zoomScaleNormal="80" workbookViewId="0">
      <selection activeCell="CT7" sqref="CT7:CT18"/>
    </sheetView>
  </sheetViews>
  <sheetFormatPr defaultRowHeight="13.5"/>
  <cols>
    <col min="3" max="3" width="9.875" bestFit="1" customWidth="1"/>
    <col min="4" max="4" width="9" customWidth="1"/>
    <col min="9" max="9" width="7.625" bestFit="1" customWidth="1"/>
    <col min="10" max="10" width="7.75" bestFit="1" customWidth="1"/>
    <col min="11" max="11" width="8" bestFit="1" customWidth="1"/>
    <col min="12" max="12" width="9.875" bestFit="1" customWidth="1"/>
    <col min="13" max="13" width="9" customWidth="1"/>
    <col min="18" max="18" width="7.625" bestFit="1" customWidth="1"/>
    <col min="19" max="19" width="7.75" bestFit="1" customWidth="1"/>
    <col min="20" max="20" width="8" bestFit="1" customWidth="1"/>
    <col min="21" max="21" width="9.875" bestFit="1" customWidth="1"/>
    <col min="27" max="27" width="7.625" bestFit="1" customWidth="1"/>
    <col min="259" max="259" width="9.875" bestFit="1" customWidth="1"/>
    <col min="260" max="260" width="9" customWidth="1"/>
    <col min="265" max="265" width="7.625" bestFit="1" customWidth="1"/>
    <col min="266" max="266" width="7.75" bestFit="1" customWidth="1"/>
    <col min="267" max="267" width="8" bestFit="1" customWidth="1"/>
    <col min="268" max="268" width="9.875" bestFit="1" customWidth="1"/>
    <col min="269" max="269" width="9" customWidth="1"/>
    <col min="274" max="274" width="7.625" bestFit="1" customWidth="1"/>
    <col min="275" max="275" width="7.75" bestFit="1" customWidth="1"/>
    <col min="276" max="276" width="8" bestFit="1" customWidth="1"/>
    <col min="277" max="277" width="9.875" bestFit="1" customWidth="1"/>
    <col min="283" max="283" width="7.625" bestFit="1" customWidth="1"/>
    <col min="515" max="515" width="9.875" bestFit="1" customWidth="1"/>
    <col min="516" max="516" width="9" customWidth="1"/>
    <col min="521" max="521" width="7.625" bestFit="1" customWidth="1"/>
    <col min="522" max="522" width="7.75" bestFit="1" customWidth="1"/>
    <col min="523" max="523" width="8" bestFit="1" customWidth="1"/>
    <col min="524" max="524" width="9.875" bestFit="1" customWidth="1"/>
    <col min="525" max="525" width="9" customWidth="1"/>
    <col min="530" max="530" width="7.625" bestFit="1" customWidth="1"/>
    <col min="531" max="531" width="7.75" bestFit="1" customWidth="1"/>
    <col min="532" max="532" width="8" bestFit="1" customWidth="1"/>
    <col min="533" max="533" width="9.875" bestFit="1" customWidth="1"/>
    <col min="539" max="539" width="7.625" bestFit="1" customWidth="1"/>
    <col min="771" max="771" width="9.875" bestFit="1" customWidth="1"/>
    <col min="772" max="772" width="9" customWidth="1"/>
    <col min="777" max="777" width="7.625" bestFit="1" customWidth="1"/>
    <col min="778" max="778" width="7.75" bestFit="1" customWidth="1"/>
    <col min="779" max="779" width="8" bestFit="1" customWidth="1"/>
    <col min="780" max="780" width="9.875" bestFit="1" customWidth="1"/>
    <col min="781" max="781" width="9" customWidth="1"/>
    <col min="786" max="786" width="7.625" bestFit="1" customWidth="1"/>
    <col min="787" max="787" width="7.75" bestFit="1" customWidth="1"/>
    <col min="788" max="788" width="8" bestFit="1" customWidth="1"/>
    <col min="789" max="789" width="9.875" bestFit="1" customWidth="1"/>
    <col min="795" max="795" width="7.625" bestFit="1" customWidth="1"/>
    <col min="1027" max="1027" width="9.875" bestFit="1" customWidth="1"/>
    <col min="1028" max="1028" width="9" customWidth="1"/>
    <col min="1033" max="1033" width="7.625" bestFit="1" customWidth="1"/>
    <col min="1034" max="1034" width="7.75" bestFit="1" customWidth="1"/>
    <col min="1035" max="1035" width="8" bestFit="1" customWidth="1"/>
    <col min="1036" max="1036" width="9.875" bestFit="1" customWidth="1"/>
    <col min="1037" max="1037" width="9" customWidth="1"/>
    <col min="1042" max="1042" width="7.625" bestFit="1" customWidth="1"/>
    <col min="1043" max="1043" width="7.75" bestFit="1" customWidth="1"/>
    <col min="1044" max="1044" width="8" bestFit="1" customWidth="1"/>
    <col min="1045" max="1045" width="9.875" bestFit="1" customWidth="1"/>
    <col min="1051" max="1051" width="7.625" bestFit="1" customWidth="1"/>
    <col min="1283" max="1283" width="9.875" bestFit="1" customWidth="1"/>
    <col min="1284" max="1284" width="9" customWidth="1"/>
    <col min="1289" max="1289" width="7.625" bestFit="1" customWidth="1"/>
    <col min="1290" max="1290" width="7.75" bestFit="1" customWidth="1"/>
    <col min="1291" max="1291" width="8" bestFit="1" customWidth="1"/>
    <col min="1292" max="1292" width="9.875" bestFit="1" customWidth="1"/>
    <col min="1293" max="1293" width="9" customWidth="1"/>
    <col min="1298" max="1298" width="7.625" bestFit="1" customWidth="1"/>
    <col min="1299" max="1299" width="7.75" bestFit="1" customWidth="1"/>
    <col min="1300" max="1300" width="8" bestFit="1" customWidth="1"/>
    <col min="1301" max="1301" width="9.875" bestFit="1" customWidth="1"/>
    <col min="1307" max="1307" width="7.625" bestFit="1" customWidth="1"/>
    <col min="1539" max="1539" width="9.875" bestFit="1" customWidth="1"/>
    <col min="1540" max="1540" width="9" customWidth="1"/>
    <col min="1545" max="1545" width="7.625" bestFit="1" customWidth="1"/>
    <col min="1546" max="1546" width="7.75" bestFit="1" customWidth="1"/>
    <col min="1547" max="1547" width="8" bestFit="1" customWidth="1"/>
    <col min="1548" max="1548" width="9.875" bestFit="1" customWidth="1"/>
    <col min="1549" max="1549" width="9" customWidth="1"/>
    <col min="1554" max="1554" width="7.625" bestFit="1" customWidth="1"/>
    <col min="1555" max="1555" width="7.75" bestFit="1" customWidth="1"/>
    <col min="1556" max="1556" width="8" bestFit="1" customWidth="1"/>
    <col min="1557" max="1557" width="9.875" bestFit="1" customWidth="1"/>
    <col min="1563" max="1563" width="7.625" bestFit="1" customWidth="1"/>
    <col min="1795" max="1795" width="9.875" bestFit="1" customWidth="1"/>
    <col min="1796" max="1796" width="9" customWidth="1"/>
    <col min="1801" max="1801" width="7.625" bestFit="1" customWidth="1"/>
    <col min="1802" max="1802" width="7.75" bestFit="1" customWidth="1"/>
    <col min="1803" max="1803" width="8" bestFit="1" customWidth="1"/>
    <col min="1804" max="1804" width="9.875" bestFit="1" customWidth="1"/>
    <col min="1805" max="1805" width="9" customWidth="1"/>
    <col min="1810" max="1810" width="7.625" bestFit="1" customWidth="1"/>
    <col min="1811" max="1811" width="7.75" bestFit="1" customWidth="1"/>
    <col min="1812" max="1812" width="8" bestFit="1" customWidth="1"/>
    <col min="1813" max="1813" width="9.875" bestFit="1" customWidth="1"/>
    <col min="1819" max="1819" width="7.625" bestFit="1" customWidth="1"/>
    <col min="2051" max="2051" width="9.875" bestFit="1" customWidth="1"/>
    <col min="2052" max="2052" width="9" customWidth="1"/>
    <col min="2057" max="2057" width="7.625" bestFit="1" customWidth="1"/>
    <col min="2058" max="2058" width="7.75" bestFit="1" customWidth="1"/>
    <col min="2059" max="2059" width="8" bestFit="1" customWidth="1"/>
    <col min="2060" max="2060" width="9.875" bestFit="1" customWidth="1"/>
    <col min="2061" max="2061" width="9" customWidth="1"/>
    <col min="2066" max="2066" width="7.625" bestFit="1" customWidth="1"/>
    <col min="2067" max="2067" width="7.75" bestFit="1" customWidth="1"/>
    <col min="2068" max="2068" width="8" bestFit="1" customWidth="1"/>
    <col min="2069" max="2069" width="9.875" bestFit="1" customWidth="1"/>
    <col min="2075" max="2075" width="7.625" bestFit="1" customWidth="1"/>
    <col min="2307" max="2307" width="9.875" bestFit="1" customWidth="1"/>
    <col min="2308" max="2308" width="9" customWidth="1"/>
    <col min="2313" max="2313" width="7.625" bestFit="1" customWidth="1"/>
    <col min="2314" max="2314" width="7.75" bestFit="1" customWidth="1"/>
    <col min="2315" max="2315" width="8" bestFit="1" customWidth="1"/>
    <col min="2316" max="2316" width="9.875" bestFit="1" customWidth="1"/>
    <col min="2317" max="2317" width="9" customWidth="1"/>
    <col min="2322" max="2322" width="7.625" bestFit="1" customWidth="1"/>
    <col min="2323" max="2323" width="7.75" bestFit="1" customWidth="1"/>
    <col min="2324" max="2324" width="8" bestFit="1" customWidth="1"/>
    <col min="2325" max="2325" width="9.875" bestFit="1" customWidth="1"/>
    <col min="2331" max="2331" width="7.625" bestFit="1" customWidth="1"/>
    <col min="2563" max="2563" width="9.875" bestFit="1" customWidth="1"/>
    <col min="2564" max="2564" width="9" customWidth="1"/>
    <col min="2569" max="2569" width="7.625" bestFit="1" customWidth="1"/>
    <col min="2570" max="2570" width="7.75" bestFit="1" customWidth="1"/>
    <col min="2571" max="2571" width="8" bestFit="1" customWidth="1"/>
    <col min="2572" max="2572" width="9.875" bestFit="1" customWidth="1"/>
    <col min="2573" max="2573" width="9" customWidth="1"/>
    <col min="2578" max="2578" width="7.625" bestFit="1" customWidth="1"/>
    <col min="2579" max="2579" width="7.75" bestFit="1" customWidth="1"/>
    <col min="2580" max="2580" width="8" bestFit="1" customWidth="1"/>
    <col min="2581" max="2581" width="9.875" bestFit="1" customWidth="1"/>
    <col min="2587" max="2587" width="7.625" bestFit="1" customWidth="1"/>
    <col min="2819" max="2819" width="9.875" bestFit="1" customWidth="1"/>
    <col min="2820" max="2820" width="9" customWidth="1"/>
    <col min="2825" max="2825" width="7.625" bestFit="1" customWidth="1"/>
    <col min="2826" max="2826" width="7.75" bestFit="1" customWidth="1"/>
    <col min="2827" max="2827" width="8" bestFit="1" customWidth="1"/>
    <col min="2828" max="2828" width="9.875" bestFit="1" customWidth="1"/>
    <col min="2829" max="2829" width="9" customWidth="1"/>
    <col min="2834" max="2834" width="7.625" bestFit="1" customWidth="1"/>
    <col min="2835" max="2835" width="7.75" bestFit="1" customWidth="1"/>
    <col min="2836" max="2836" width="8" bestFit="1" customWidth="1"/>
    <col min="2837" max="2837" width="9.875" bestFit="1" customWidth="1"/>
    <col min="2843" max="2843" width="7.625" bestFit="1" customWidth="1"/>
    <col min="3075" max="3075" width="9.875" bestFit="1" customWidth="1"/>
    <col min="3076" max="3076" width="9" customWidth="1"/>
    <col min="3081" max="3081" width="7.625" bestFit="1" customWidth="1"/>
    <col min="3082" max="3082" width="7.75" bestFit="1" customWidth="1"/>
    <col min="3083" max="3083" width="8" bestFit="1" customWidth="1"/>
    <col min="3084" max="3084" width="9.875" bestFit="1" customWidth="1"/>
    <col min="3085" max="3085" width="9" customWidth="1"/>
    <col min="3090" max="3090" width="7.625" bestFit="1" customWidth="1"/>
    <col min="3091" max="3091" width="7.75" bestFit="1" customWidth="1"/>
    <col min="3092" max="3092" width="8" bestFit="1" customWidth="1"/>
    <col min="3093" max="3093" width="9.875" bestFit="1" customWidth="1"/>
    <col min="3099" max="3099" width="7.625" bestFit="1" customWidth="1"/>
    <col min="3331" max="3331" width="9.875" bestFit="1" customWidth="1"/>
    <col min="3332" max="3332" width="9" customWidth="1"/>
    <col min="3337" max="3337" width="7.625" bestFit="1" customWidth="1"/>
    <col min="3338" max="3338" width="7.75" bestFit="1" customWidth="1"/>
    <col min="3339" max="3339" width="8" bestFit="1" customWidth="1"/>
    <col min="3340" max="3340" width="9.875" bestFit="1" customWidth="1"/>
    <col min="3341" max="3341" width="9" customWidth="1"/>
    <col min="3346" max="3346" width="7.625" bestFit="1" customWidth="1"/>
    <col min="3347" max="3347" width="7.75" bestFit="1" customWidth="1"/>
    <col min="3348" max="3348" width="8" bestFit="1" customWidth="1"/>
    <col min="3349" max="3349" width="9.875" bestFit="1" customWidth="1"/>
    <col min="3355" max="3355" width="7.625" bestFit="1" customWidth="1"/>
    <col min="3587" max="3587" width="9.875" bestFit="1" customWidth="1"/>
    <col min="3588" max="3588" width="9" customWidth="1"/>
    <col min="3593" max="3593" width="7.625" bestFit="1" customWidth="1"/>
    <col min="3594" max="3594" width="7.75" bestFit="1" customWidth="1"/>
    <col min="3595" max="3595" width="8" bestFit="1" customWidth="1"/>
    <col min="3596" max="3596" width="9.875" bestFit="1" customWidth="1"/>
    <col min="3597" max="3597" width="9" customWidth="1"/>
    <col min="3602" max="3602" width="7.625" bestFit="1" customWidth="1"/>
    <col min="3603" max="3603" width="7.75" bestFit="1" customWidth="1"/>
    <col min="3604" max="3604" width="8" bestFit="1" customWidth="1"/>
    <col min="3605" max="3605" width="9.875" bestFit="1" customWidth="1"/>
    <col min="3611" max="3611" width="7.625" bestFit="1" customWidth="1"/>
    <col min="3843" max="3843" width="9.875" bestFit="1" customWidth="1"/>
    <col min="3844" max="3844" width="9" customWidth="1"/>
    <col min="3849" max="3849" width="7.625" bestFit="1" customWidth="1"/>
    <col min="3850" max="3850" width="7.75" bestFit="1" customWidth="1"/>
    <col min="3851" max="3851" width="8" bestFit="1" customWidth="1"/>
    <col min="3852" max="3852" width="9.875" bestFit="1" customWidth="1"/>
    <col min="3853" max="3853" width="9" customWidth="1"/>
    <col min="3858" max="3858" width="7.625" bestFit="1" customWidth="1"/>
    <col min="3859" max="3859" width="7.75" bestFit="1" customWidth="1"/>
    <col min="3860" max="3860" width="8" bestFit="1" customWidth="1"/>
    <col min="3861" max="3861" width="9.875" bestFit="1" customWidth="1"/>
    <col min="3867" max="3867" width="7.625" bestFit="1" customWidth="1"/>
    <col min="4099" max="4099" width="9.875" bestFit="1" customWidth="1"/>
    <col min="4100" max="4100" width="9" customWidth="1"/>
    <col min="4105" max="4105" width="7.625" bestFit="1" customWidth="1"/>
    <col min="4106" max="4106" width="7.75" bestFit="1" customWidth="1"/>
    <col min="4107" max="4107" width="8" bestFit="1" customWidth="1"/>
    <col min="4108" max="4108" width="9.875" bestFit="1" customWidth="1"/>
    <col min="4109" max="4109" width="9" customWidth="1"/>
    <col min="4114" max="4114" width="7.625" bestFit="1" customWidth="1"/>
    <col min="4115" max="4115" width="7.75" bestFit="1" customWidth="1"/>
    <col min="4116" max="4116" width="8" bestFit="1" customWidth="1"/>
    <col min="4117" max="4117" width="9.875" bestFit="1" customWidth="1"/>
    <col min="4123" max="4123" width="7.625" bestFit="1" customWidth="1"/>
    <col min="4355" max="4355" width="9.875" bestFit="1" customWidth="1"/>
    <col min="4356" max="4356" width="9" customWidth="1"/>
    <col min="4361" max="4361" width="7.625" bestFit="1" customWidth="1"/>
    <col min="4362" max="4362" width="7.75" bestFit="1" customWidth="1"/>
    <col min="4363" max="4363" width="8" bestFit="1" customWidth="1"/>
    <col min="4364" max="4364" width="9.875" bestFit="1" customWidth="1"/>
    <col min="4365" max="4365" width="9" customWidth="1"/>
    <col min="4370" max="4370" width="7.625" bestFit="1" customWidth="1"/>
    <col min="4371" max="4371" width="7.75" bestFit="1" customWidth="1"/>
    <col min="4372" max="4372" width="8" bestFit="1" customWidth="1"/>
    <col min="4373" max="4373" width="9.875" bestFit="1" customWidth="1"/>
    <col min="4379" max="4379" width="7.625" bestFit="1" customWidth="1"/>
    <col min="4611" max="4611" width="9.875" bestFit="1" customWidth="1"/>
    <col min="4612" max="4612" width="9" customWidth="1"/>
    <col min="4617" max="4617" width="7.625" bestFit="1" customWidth="1"/>
    <col min="4618" max="4618" width="7.75" bestFit="1" customWidth="1"/>
    <col min="4619" max="4619" width="8" bestFit="1" customWidth="1"/>
    <col min="4620" max="4620" width="9.875" bestFit="1" customWidth="1"/>
    <col min="4621" max="4621" width="9" customWidth="1"/>
    <col min="4626" max="4626" width="7.625" bestFit="1" customWidth="1"/>
    <col min="4627" max="4627" width="7.75" bestFit="1" customWidth="1"/>
    <col min="4628" max="4628" width="8" bestFit="1" customWidth="1"/>
    <col min="4629" max="4629" width="9.875" bestFit="1" customWidth="1"/>
    <col min="4635" max="4635" width="7.625" bestFit="1" customWidth="1"/>
    <col min="4867" max="4867" width="9.875" bestFit="1" customWidth="1"/>
    <col min="4868" max="4868" width="9" customWidth="1"/>
    <col min="4873" max="4873" width="7.625" bestFit="1" customWidth="1"/>
    <col min="4874" max="4874" width="7.75" bestFit="1" customWidth="1"/>
    <col min="4875" max="4875" width="8" bestFit="1" customWidth="1"/>
    <col min="4876" max="4876" width="9.875" bestFit="1" customWidth="1"/>
    <col min="4877" max="4877" width="9" customWidth="1"/>
    <col min="4882" max="4882" width="7.625" bestFit="1" customWidth="1"/>
    <col min="4883" max="4883" width="7.75" bestFit="1" customWidth="1"/>
    <col min="4884" max="4884" width="8" bestFit="1" customWidth="1"/>
    <col min="4885" max="4885" width="9.875" bestFit="1" customWidth="1"/>
    <col min="4891" max="4891" width="7.625" bestFit="1" customWidth="1"/>
    <col min="5123" max="5123" width="9.875" bestFit="1" customWidth="1"/>
    <col min="5124" max="5124" width="9" customWidth="1"/>
    <col min="5129" max="5129" width="7.625" bestFit="1" customWidth="1"/>
    <col min="5130" max="5130" width="7.75" bestFit="1" customWidth="1"/>
    <col min="5131" max="5131" width="8" bestFit="1" customWidth="1"/>
    <col min="5132" max="5132" width="9.875" bestFit="1" customWidth="1"/>
    <col min="5133" max="5133" width="9" customWidth="1"/>
    <col min="5138" max="5138" width="7.625" bestFit="1" customWidth="1"/>
    <col min="5139" max="5139" width="7.75" bestFit="1" customWidth="1"/>
    <col min="5140" max="5140" width="8" bestFit="1" customWidth="1"/>
    <col min="5141" max="5141" width="9.875" bestFit="1" customWidth="1"/>
    <col min="5147" max="5147" width="7.625" bestFit="1" customWidth="1"/>
    <col min="5379" max="5379" width="9.875" bestFit="1" customWidth="1"/>
    <col min="5380" max="5380" width="9" customWidth="1"/>
    <col min="5385" max="5385" width="7.625" bestFit="1" customWidth="1"/>
    <col min="5386" max="5386" width="7.75" bestFit="1" customWidth="1"/>
    <col min="5387" max="5387" width="8" bestFit="1" customWidth="1"/>
    <col min="5388" max="5388" width="9.875" bestFit="1" customWidth="1"/>
    <col min="5389" max="5389" width="9" customWidth="1"/>
    <col min="5394" max="5394" width="7.625" bestFit="1" customWidth="1"/>
    <col min="5395" max="5395" width="7.75" bestFit="1" customWidth="1"/>
    <col min="5396" max="5396" width="8" bestFit="1" customWidth="1"/>
    <col min="5397" max="5397" width="9.875" bestFit="1" customWidth="1"/>
    <col min="5403" max="5403" width="7.625" bestFit="1" customWidth="1"/>
    <col min="5635" max="5635" width="9.875" bestFit="1" customWidth="1"/>
    <col min="5636" max="5636" width="9" customWidth="1"/>
    <col min="5641" max="5641" width="7.625" bestFit="1" customWidth="1"/>
    <col min="5642" max="5642" width="7.75" bestFit="1" customWidth="1"/>
    <col min="5643" max="5643" width="8" bestFit="1" customWidth="1"/>
    <col min="5644" max="5644" width="9.875" bestFit="1" customWidth="1"/>
    <col min="5645" max="5645" width="9" customWidth="1"/>
    <col min="5650" max="5650" width="7.625" bestFit="1" customWidth="1"/>
    <col min="5651" max="5651" width="7.75" bestFit="1" customWidth="1"/>
    <col min="5652" max="5652" width="8" bestFit="1" customWidth="1"/>
    <col min="5653" max="5653" width="9.875" bestFit="1" customWidth="1"/>
    <col min="5659" max="5659" width="7.625" bestFit="1" customWidth="1"/>
    <col min="5891" max="5891" width="9.875" bestFit="1" customWidth="1"/>
    <col min="5892" max="5892" width="9" customWidth="1"/>
    <col min="5897" max="5897" width="7.625" bestFit="1" customWidth="1"/>
    <col min="5898" max="5898" width="7.75" bestFit="1" customWidth="1"/>
    <col min="5899" max="5899" width="8" bestFit="1" customWidth="1"/>
    <col min="5900" max="5900" width="9.875" bestFit="1" customWidth="1"/>
    <col min="5901" max="5901" width="9" customWidth="1"/>
    <col min="5906" max="5906" width="7.625" bestFit="1" customWidth="1"/>
    <col min="5907" max="5907" width="7.75" bestFit="1" customWidth="1"/>
    <col min="5908" max="5908" width="8" bestFit="1" customWidth="1"/>
    <col min="5909" max="5909" width="9.875" bestFit="1" customWidth="1"/>
    <col min="5915" max="5915" width="7.625" bestFit="1" customWidth="1"/>
    <col min="6147" max="6147" width="9.875" bestFit="1" customWidth="1"/>
    <col min="6148" max="6148" width="9" customWidth="1"/>
    <col min="6153" max="6153" width="7.625" bestFit="1" customWidth="1"/>
    <col min="6154" max="6154" width="7.75" bestFit="1" customWidth="1"/>
    <col min="6155" max="6155" width="8" bestFit="1" customWidth="1"/>
    <col min="6156" max="6156" width="9.875" bestFit="1" customWidth="1"/>
    <col min="6157" max="6157" width="9" customWidth="1"/>
    <col min="6162" max="6162" width="7.625" bestFit="1" customWidth="1"/>
    <col min="6163" max="6163" width="7.75" bestFit="1" customWidth="1"/>
    <col min="6164" max="6164" width="8" bestFit="1" customWidth="1"/>
    <col min="6165" max="6165" width="9.875" bestFit="1" customWidth="1"/>
    <col min="6171" max="6171" width="7.625" bestFit="1" customWidth="1"/>
    <col min="6403" max="6403" width="9.875" bestFit="1" customWidth="1"/>
    <col min="6404" max="6404" width="9" customWidth="1"/>
    <col min="6409" max="6409" width="7.625" bestFit="1" customWidth="1"/>
    <col min="6410" max="6410" width="7.75" bestFit="1" customWidth="1"/>
    <col min="6411" max="6411" width="8" bestFit="1" customWidth="1"/>
    <col min="6412" max="6412" width="9.875" bestFit="1" customWidth="1"/>
    <col min="6413" max="6413" width="9" customWidth="1"/>
    <col min="6418" max="6418" width="7.625" bestFit="1" customWidth="1"/>
    <col min="6419" max="6419" width="7.75" bestFit="1" customWidth="1"/>
    <col min="6420" max="6420" width="8" bestFit="1" customWidth="1"/>
    <col min="6421" max="6421" width="9.875" bestFit="1" customWidth="1"/>
    <col min="6427" max="6427" width="7.625" bestFit="1" customWidth="1"/>
    <col min="6659" max="6659" width="9.875" bestFit="1" customWidth="1"/>
    <col min="6660" max="6660" width="9" customWidth="1"/>
    <col min="6665" max="6665" width="7.625" bestFit="1" customWidth="1"/>
    <col min="6666" max="6666" width="7.75" bestFit="1" customWidth="1"/>
    <col min="6667" max="6667" width="8" bestFit="1" customWidth="1"/>
    <col min="6668" max="6668" width="9.875" bestFit="1" customWidth="1"/>
    <col min="6669" max="6669" width="9" customWidth="1"/>
    <col min="6674" max="6674" width="7.625" bestFit="1" customWidth="1"/>
    <col min="6675" max="6675" width="7.75" bestFit="1" customWidth="1"/>
    <col min="6676" max="6676" width="8" bestFit="1" customWidth="1"/>
    <col min="6677" max="6677" width="9.875" bestFit="1" customWidth="1"/>
    <col min="6683" max="6683" width="7.625" bestFit="1" customWidth="1"/>
    <col min="6915" max="6915" width="9.875" bestFit="1" customWidth="1"/>
    <col min="6916" max="6916" width="9" customWidth="1"/>
    <col min="6921" max="6921" width="7.625" bestFit="1" customWidth="1"/>
    <col min="6922" max="6922" width="7.75" bestFit="1" customWidth="1"/>
    <col min="6923" max="6923" width="8" bestFit="1" customWidth="1"/>
    <col min="6924" max="6924" width="9.875" bestFit="1" customWidth="1"/>
    <col min="6925" max="6925" width="9" customWidth="1"/>
    <col min="6930" max="6930" width="7.625" bestFit="1" customWidth="1"/>
    <col min="6931" max="6931" width="7.75" bestFit="1" customWidth="1"/>
    <col min="6932" max="6932" width="8" bestFit="1" customWidth="1"/>
    <col min="6933" max="6933" width="9.875" bestFit="1" customWidth="1"/>
    <col min="6939" max="6939" width="7.625" bestFit="1" customWidth="1"/>
    <col min="7171" max="7171" width="9.875" bestFit="1" customWidth="1"/>
    <col min="7172" max="7172" width="9" customWidth="1"/>
    <col min="7177" max="7177" width="7.625" bestFit="1" customWidth="1"/>
    <col min="7178" max="7178" width="7.75" bestFit="1" customWidth="1"/>
    <col min="7179" max="7179" width="8" bestFit="1" customWidth="1"/>
    <col min="7180" max="7180" width="9.875" bestFit="1" customWidth="1"/>
    <col min="7181" max="7181" width="9" customWidth="1"/>
    <col min="7186" max="7186" width="7.625" bestFit="1" customWidth="1"/>
    <col min="7187" max="7187" width="7.75" bestFit="1" customWidth="1"/>
    <col min="7188" max="7188" width="8" bestFit="1" customWidth="1"/>
    <col min="7189" max="7189" width="9.875" bestFit="1" customWidth="1"/>
    <col min="7195" max="7195" width="7.625" bestFit="1" customWidth="1"/>
    <col min="7427" max="7427" width="9.875" bestFit="1" customWidth="1"/>
    <col min="7428" max="7428" width="9" customWidth="1"/>
    <col min="7433" max="7433" width="7.625" bestFit="1" customWidth="1"/>
    <col min="7434" max="7434" width="7.75" bestFit="1" customWidth="1"/>
    <col min="7435" max="7435" width="8" bestFit="1" customWidth="1"/>
    <col min="7436" max="7436" width="9.875" bestFit="1" customWidth="1"/>
    <col min="7437" max="7437" width="9" customWidth="1"/>
    <col min="7442" max="7442" width="7.625" bestFit="1" customWidth="1"/>
    <col min="7443" max="7443" width="7.75" bestFit="1" customWidth="1"/>
    <col min="7444" max="7444" width="8" bestFit="1" customWidth="1"/>
    <col min="7445" max="7445" width="9.875" bestFit="1" customWidth="1"/>
    <col min="7451" max="7451" width="7.625" bestFit="1" customWidth="1"/>
    <col min="7683" max="7683" width="9.875" bestFit="1" customWidth="1"/>
    <col min="7684" max="7684" width="9" customWidth="1"/>
    <col min="7689" max="7689" width="7.625" bestFit="1" customWidth="1"/>
    <col min="7690" max="7690" width="7.75" bestFit="1" customWidth="1"/>
    <col min="7691" max="7691" width="8" bestFit="1" customWidth="1"/>
    <col min="7692" max="7692" width="9.875" bestFit="1" customWidth="1"/>
    <col min="7693" max="7693" width="9" customWidth="1"/>
    <col min="7698" max="7698" width="7.625" bestFit="1" customWidth="1"/>
    <col min="7699" max="7699" width="7.75" bestFit="1" customWidth="1"/>
    <col min="7700" max="7700" width="8" bestFit="1" customWidth="1"/>
    <col min="7701" max="7701" width="9.875" bestFit="1" customWidth="1"/>
    <col min="7707" max="7707" width="7.625" bestFit="1" customWidth="1"/>
    <col min="7939" max="7939" width="9.875" bestFit="1" customWidth="1"/>
    <col min="7940" max="7940" width="9" customWidth="1"/>
    <col min="7945" max="7945" width="7.625" bestFit="1" customWidth="1"/>
    <col min="7946" max="7946" width="7.75" bestFit="1" customWidth="1"/>
    <col min="7947" max="7947" width="8" bestFit="1" customWidth="1"/>
    <col min="7948" max="7948" width="9.875" bestFit="1" customWidth="1"/>
    <col min="7949" max="7949" width="9" customWidth="1"/>
    <col min="7954" max="7954" width="7.625" bestFit="1" customWidth="1"/>
    <col min="7955" max="7955" width="7.75" bestFit="1" customWidth="1"/>
    <col min="7956" max="7956" width="8" bestFit="1" customWidth="1"/>
    <col min="7957" max="7957" width="9.875" bestFit="1" customWidth="1"/>
    <col min="7963" max="7963" width="7.625" bestFit="1" customWidth="1"/>
    <col min="8195" max="8195" width="9.875" bestFit="1" customWidth="1"/>
    <col min="8196" max="8196" width="9" customWidth="1"/>
    <col min="8201" max="8201" width="7.625" bestFit="1" customWidth="1"/>
    <col min="8202" max="8202" width="7.75" bestFit="1" customWidth="1"/>
    <col min="8203" max="8203" width="8" bestFit="1" customWidth="1"/>
    <col min="8204" max="8204" width="9.875" bestFit="1" customWidth="1"/>
    <col min="8205" max="8205" width="9" customWidth="1"/>
    <col min="8210" max="8210" width="7.625" bestFit="1" customWidth="1"/>
    <col min="8211" max="8211" width="7.75" bestFit="1" customWidth="1"/>
    <col min="8212" max="8212" width="8" bestFit="1" customWidth="1"/>
    <col min="8213" max="8213" width="9.875" bestFit="1" customWidth="1"/>
    <col min="8219" max="8219" width="7.625" bestFit="1" customWidth="1"/>
    <col min="8451" max="8451" width="9.875" bestFit="1" customWidth="1"/>
    <col min="8452" max="8452" width="9" customWidth="1"/>
    <col min="8457" max="8457" width="7.625" bestFit="1" customWidth="1"/>
    <col min="8458" max="8458" width="7.75" bestFit="1" customWidth="1"/>
    <col min="8459" max="8459" width="8" bestFit="1" customWidth="1"/>
    <col min="8460" max="8460" width="9.875" bestFit="1" customWidth="1"/>
    <col min="8461" max="8461" width="9" customWidth="1"/>
    <col min="8466" max="8466" width="7.625" bestFit="1" customWidth="1"/>
    <col min="8467" max="8467" width="7.75" bestFit="1" customWidth="1"/>
    <col min="8468" max="8468" width="8" bestFit="1" customWidth="1"/>
    <col min="8469" max="8469" width="9.875" bestFit="1" customWidth="1"/>
    <col min="8475" max="8475" width="7.625" bestFit="1" customWidth="1"/>
    <col min="8707" max="8707" width="9.875" bestFit="1" customWidth="1"/>
    <col min="8708" max="8708" width="9" customWidth="1"/>
    <col min="8713" max="8713" width="7.625" bestFit="1" customWidth="1"/>
    <col min="8714" max="8714" width="7.75" bestFit="1" customWidth="1"/>
    <col min="8715" max="8715" width="8" bestFit="1" customWidth="1"/>
    <col min="8716" max="8716" width="9.875" bestFit="1" customWidth="1"/>
    <col min="8717" max="8717" width="9" customWidth="1"/>
    <col min="8722" max="8722" width="7.625" bestFit="1" customWidth="1"/>
    <col min="8723" max="8723" width="7.75" bestFit="1" customWidth="1"/>
    <col min="8724" max="8724" width="8" bestFit="1" customWidth="1"/>
    <col min="8725" max="8725" width="9.875" bestFit="1" customWidth="1"/>
    <col min="8731" max="8731" width="7.625" bestFit="1" customWidth="1"/>
    <col min="8963" max="8963" width="9.875" bestFit="1" customWidth="1"/>
    <col min="8964" max="8964" width="9" customWidth="1"/>
    <col min="8969" max="8969" width="7.625" bestFit="1" customWidth="1"/>
    <col min="8970" max="8970" width="7.75" bestFit="1" customWidth="1"/>
    <col min="8971" max="8971" width="8" bestFit="1" customWidth="1"/>
    <col min="8972" max="8972" width="9.875" bestFit="1" customWidth="1"/>
    <col min="8973" max="8973" width="9" customWidth="1"/>
    <col min="8978" max="8978" width="7.625" bestFit="1" customWidth="1"/>
    <col min="8979" max="8979" width="7.75" bestFit="1" customWidth="1"/>
    <col min="8980" max="8980" width="8" bestFit="1" customWidth="1"/>
    <col min="8981" max="8981" width="9.875" bestFit="1" customWidth="1"/>
    <col min="8987" max="8987" width="7.625" bestFit="1" customWidth="1"/>
    <col min="9219" max="9219" width="9.875" bestFit="1" customWidth="1"/>
    <col min="9220" max="9220" width="9" customWidth="1"/>
    <col min="9225" max="9225" width="7.625" bestFit="1" customWidth="1"/>
    <col min="9226" max="9226" width="7.75" bestFit="1" customWidth="1"/>
    <col min="9227" max="9227" width="8" bestFit="1" customWidth="1"/>
    <col min="9228" max="9228" width="9.875" bestFit="1" customWidth="1"/>
    <col min="9229" max="9229" width="9" customWidth="1"/>
    <col min="9234" max="9234" width="7.625" bestFit="1" customWidth="1"/>
    <col min="9235" max="9235" width="7.75" bestFit="1" customWidth="1"/>
    <col min="9236" max="9236" width="8" bestFit="1" customWidth="1"/>
    <col min="9237" max="9237" width="9.875" bestFit="1" customWidth="1"/>
    <col min="9243" max="9243" width="7.625" bestFit="1" customWidth="1"/>
    <col min="9475" max="9475" width="9.875" bestFit="1" customWidth="1"/>
    <col min="9476" max="9476" width="9" customWidth="1"/>
    <col min="9481" max="9481" width="7.625" bestFit="1" customWidth="1"/>
    <col min="9482" max="9482" width="7.75" bestFit="1" customWidth="1"/>
    <col min="9483" max="9483" width="8" bestFit="1" customWidth="1"/>
    <col min="9484" max="9484" width="9.875" bestFit="1" customWidth="1"/>
    <col min="9485" max="9485" width="9" customWidth="1"/>
    <col min="9490" max="9490" width="7.625" bestFit="1" customWidth="1"/>
    <col min="9491" max="9491" width="7.75" bestFit="1" customWidth="1"/>
    <col min="9492" max="9492" width="8" bestFit="1" customWidth="1"/>
    <col min="9493" max="9493" width="9.875" bestFit="1" customWidth="1"/>
    <col min="9499" max="9499" width="7.625" bestFit="1" customWidth="1"/>
    <col min="9731" max="9731" width="9.875" bestFit="1" customWidth="1"/>
    <col min="9732" max="9732" width="9" customWidth="1"/>
    <col min="9737" max="9737" width="7.625" bestFit="1" customWidth="1"/>
    <col min="9738" max="9738" width="7.75" bestFit="1" customWidth="1"/>
    <col min="9739" max="9739" width="8" bestFit="1" customWidth="1"/>
    <col min="9740" max="9740" width="9.875" bestFit="1" customWidth="1"/>
    <col min="9741" max="9741" width="9" customWidth="1"/>
    <col min="9746" max="9746" width="7.625" bestFit="1" customWidth="1"/>
    <col min="9747" max="9747" width="7.75" bestFit="1" customWidth="1"/>
    <col min="9748" max="9748" width="8" bestFit="1" customWidth="1"/>
    <col min="9749" max="9749" width="9.875" bestFit="1" customWidth="1"/>
    <col min="9755" max="9755" width="7.625" bestFit="1" customWidth="1"/>
    <col min="9987" max="9987" width="9.875" bestFit="1" customWidth="1"/>
    <col min="9988" max="9988" width="9" customWidth="1"/>
    <col min="9993" max="9993" width="7.625" bestFit="1" customWidth="1"/>
    <col min="9994" max="9994" width="7.75" bestFit="1" customWidth="1"/>
    <col min="9995" max="9995" width="8" bestFit="1" customWidth="1"/>
    <col min="9996" max="9996" width="9.875" bestFit="1" customWidth="1"/>
    <col min="9997" max="9997" width="9" customWidth="1"/>
    <col min="10002" max="10002" width="7.625" bestFit="1" customWidth="1"/>
    <col min="10003" max="10003" width="7.75" bestFit="1" customWidth="1"/>
    <col min="10004" max="10004" width="8" bestFit="1" customWidth="1"/>
    <col min="10005" max="10005" width="9.875" bestFit="1" customWidth="1"/>
    <col min="10011" max="10011" width="7.625" bestFit="1" customWidth="1"/>
    <col min="10243" max="10243" width="9.875" bestFit="1" customWidth="1"/>
    <col min="10244" max="10244" width="9" customWidth="1"/>
    <col min="10249" max="10249" width="7.625" bestFit="1" customWidth="1"/>
    <col min="10250" max="10250" width="7.75" bestFit="1" customWidth="1"/>
    <col min="10251" max="10251" width="8" bestFit="1" customWidth="1"/>
    <col min="10252" max="10252" width="9.875" bestFit="1" customWidth="1"/>
    <col min="10253" max="10253" width="9" customWidth="1"/>
    <col min="10258" max="10258" width="7.625" bestFit="1" customWidth="1"/>
    <col min="10259" max="10259" width="7.75" bestFit="1" customWidth="1"/>
    <col min="10260" max="10260" width="8" bestFit="1" customWidth="1"/>
    <col min="10261" max="10261" width="9.875" bestFit="1" customWidth="1"/>
    <col min="10267" max="10267" width="7.625" bestFit="1" customWidth="1"/>
    <col min="10499" max="10499" width="9.875" bestFit="1" customWidth="1"/>
    <col min="10500" max="10500" width="9" customWidth="1"/>
    <col min="10505" max="10505" width="7.625" bestFit="1" customWidth="1"/>
    <col min="10506" max="10506" width="7.75" bestFit="1" customWidth="1"/>
    <col min="10507" max="10507" width="8" bestFit="1" customWidth="1"/>
    <col min="10508" max="10508" width="9.875" bestFit="1" customWidth="1"/>
    <col min="10509" max="10509" width="9" customWidth="1"/>
    <col min="10514" max="10514" width="7.625" bestFit="1" customWidth="1"/>
    <col min="10515" max="10515" width="7.75" bestFit="1" customWidth="1"/>
    <col min="10516" max="10516" width="8" bestFit="1" customWidth="1"/>
    <col min="10517" max="10517" width="9.875" bestFit="1" customWidth="1"/>
    <col min="10523" max="10523" width="7.625" bestFit="1" customWidth="1"/>
    <col min="10755" max="10755" width="9.875" bestFit="1" customWidth="1"/>
    <col min="10756" max="10756" width="9" customWidth="1"/>
    <col min="10761" max="10761" width="7.625" bestFit="1" customWidth="1"/>
    <col min="10762" max="10762" width="7.75" bestFit="1" customWidth="1"/>
    <col min="10763" max="10763" width="8" bestFit="1" customWidth="1"/>
    <col min="10764" max="10764" width="9.875" bestFit="1" customWidth="1"/>
    <col min="10765" max="10765" width="9" customWidth="1"/>
    <col min="10770" max="10770" width="7.625" bestFit="1" customWidth="1"/>
    <col min="10771" max="10771" width="7.75" bestFit="1" customWidth="1"/>
    <col min="10772" max="10772" width="8" bestFit="1" customWidth="1"/>
    <col min="10773" max="10773" width="9.875" bestFit="1" customWidth="1"/>
    <col min="10779" max="10779" width="7.625" bestFit="1" customWidth="1"/>
    <col min="11011" max="11011" width="9.875" bestFit="1" customWidth="1"/>
    <col min="11012" max="11012" width="9" customWidth="1"/>
    <col min="11017" max="11017" width="7.625" bestFit="1" customWidth="1"/>
    <col min="11018" max="11018" width="7.75" bestFit="1" customWidth="1"/>
    <col min="11019" max="11019" width="8" bestFit="1" customWidth="1"/>
    <col min="11020" max="11020" width="9.875" bestFit="1" customWidth="1"/>
    <col min="11021" max="11021" width="9" customWidth="1"/>
    <col min="11026" max="11026" width="7.625" bestFit="1" customWidth="1"/>
    <col min="11027" max="11027" width="7.75" bestFit="1" customWidth="1"/>
    <col min="11028" max="11028" width="8" bestFit="1" customWidth="1"/>
    <col min="11029" max="11029" width="9.875" bestFit="1" customWidth="1"/>
    <col min="11035" max="11035" width="7.625" bestFit="1" customWidth="1"/>
    <col min="11267" max="11267" width="9.875" bestFit="1" customWidth="1"/>
    <col min="11268" max="11268" width="9" customWidth="1"/>
    <col min="11273" max="11273" width="7.625" bestFit="1" customWidth="1"/>
    <col min="11274" max="11274" width="7.75" bestFit="1" customWidth="1"/>
    <col min="11275" max="11275" width="8" bestFit="1" customWidth="1"/>
    <col min="11276" max="11276" width="9.875" bestFit="1" customWidth="1"/>
    <col min="11277" max="11277" width="9" customWidth="1"/>
    <col min="11282" max="11282" width="7.625" bestFit="1" customWidth="1"/>
    <col min="11283" max="11283" width="7.75" bestFit="1" customWidth="1"/>
    <col min="11284" max="11284" width="8" bestFit="1" customWidth="1"/>
    <col min="11285" max="11285" width="9.875" bestFit="1" customWidth="1"/>
    <col min="11291" max="11291" width="7.625" bestFit="1" customWidth="1"/>
    <col min="11523" max="11523" width="9.875" bestFit="1" customWidth="1"/>
    <col min="11524" max="11524" width="9" customWidth="1"/>
    <col min="11529" max="11529" width="7.625" bestFit="1" customWidth="1"/>
    <col min="11530" max="11530" width="7.75" bestFit="1" customWidth="1"/>
    <col min="11531" max="11531" width="8" bestFit="1" customWidth="1"/>
    <col min="11532" max="11532" width="9.875" bestFit="1" customWidth="1"/>
    <col min="11533" max="11533" width="9" customWidth="1"/>
    <col min="11538" max="11538" width="7.625" bestFit="1" customWidth="1"/>
    <col min="11539" max="11539" width="7.75" bestFit="1" customWidth="1"/>
    <col min="11540" max="11540" width="8" bestFit="1" customWidth="1"/>
    <col min="11541" max="11541" width="9.875" bestFit="1" customWidth="1"/>
    <col min="11547" max="11547" width="7.625" bestFit="1" customWidth="1"/>
    <col min="11779" max="11779" width="9.875" bestFit="1" customWidth="1"/>
    <col min="11780" max="11780" width="9" customWidth="1"/>
    <col min="11785" max="11785" width="7.625" bestFit="1" customWidth="1"/>
    <col min="11786" max="11786" width="7.75" bestFit="1" customWidth="1"/>
    <col min="11787" max="11787" width="8" bestFit="1" customWidth="1"/>
    <col min="11788" max="11788" width="9.875" bestFit="1" customWidth="1"/>
    <col min="11789" max="11789" width="9" customWidth="1"/>
    <col min="11794" max="11794" width="7.625" bestFit="1" customWidth="1"/>
    <col min="11795" max="11795" width="7.75" bestFit="1" customWidth="1"/>
    <col min="11796" max="11796" width="8" bestFit="1" customWidth="1"/>
    <col min="11797" max="11797" width="9.875" bestFit="1" customWidth="1"/>
    <col min="11803" max="11803" width="7.625" bestFit="1" customWidth="1"/>
    <col min="12035" max="12035" width="9.875" bestFit="1" customWidth="1"/>
    <col min="12036" max="12036" width="9" customWidth="1"/>
    <col min="12041" max="12041" width="7.625" bestFit="1" customWidth="1"/>
    <col min="12042" max="12042" width="7.75" bestFit="1" customWidth="1"/>
    <col min="12043" max="12043" width="8" bestFit="1" customWidth="1"/>
    <col min="12044" max="12044" width="9.875" bestFit="1" customWidth="1"/>
    <col min="12045" max="12045" width="9" customWidth="1"/>
    <col min="12050" max="12050" width="7.625" bestFit="1" customWidth="1"/>
    <col min="12051" max="12051" width="7.75" bestFit="1" customWidth="1"/>
    <col min="12052" max="12052" width="8" bestFit="1" customWidth="1"/>
    <col min="12053" max="12053" width="9.875" bestFit="1" customWidth="1"/>
    <col min="12059" max="12059" width="7.625" bestFit="1" customWidth="1"/>
    <col min="12291" max="12291" width="9.875" bestFit="1" customWidth="1"/>
    <col min="12292" max="12292" width="9" customWidth="1"/>
    <col min="12297" max="12297" width="7.625" bestFit="1" customWidth="1"/>
    <col min="12298" max="12298" width="7.75" bestFit="1" customWidth="1"/>
    <col min="12299" max="12299" width="8" bestFit="1" customWidth="1"/>
    <col min="12300" max="12300" width="9.875" bestFit="1" customWidth="1"/>
    <col min="12301" max="12301" width="9" customWidth="1"/>
    <col min="12306" max="12306" width="7.625" bestFit="1" customWidth="1"/>
    <col min="12307" max="12307" width="7.75" bestFit="1" customWidth="1"/>
    <col min="12308" max="12308" width="8" bestFit="1" customWidth="1"/>
    <col min="12309" max="12309" width="9.875" bestFit="1" customWidth="1"/>
    <col min="12315" max="12315" width="7.625" bestFit="1" customWidth="1"/>
    <col min="12547" max="12547" width="9.875" bestFit="1" customWidth="1"/>
    <col min="12548" max="12548" width="9" customWidth="1"/>
    <col min="12553" max="12553" width="7.625" bestFit="1" customWidth="1"/>
    <col min="12554" max="12554" width="7.75" bestFit="1" customWidth="1"/>
    <col min="12555" max="12555" width="8" bestFit="1" customWidth="1"/>
    <col min="12556" max="12556" width="9.875" bestFit="1" customWidth="1"/>
    <col min="12557" max="12557" width="9" customWidth="1"/>
    <col min="12562" max="12562" width="7.625" bestFit="1" customWidth="1"/>
    <col min="12563" max="12563" width="7.75" bestFit="1" customWidth="1"/>
    <col min="12564" max="12564" width="8" bestFit="1" customWidth="1"/>
    <col min="12565" max="12565" width="9.875" bestFit="1" customWidth="1"/>
    <col min="12571" max="12571" width="7.625" bestFit="1" customWidth="1"/>
    <col min="12803" max="12803" width="9.875" bestFit="1" customWidth="1"/>
    <col min="12804" max="12804" width="9" customWidth="1"/>
    <col min="12809" max="12809" width="7.625" bestFit="1" customWidth="1"/>
    <col min="12810" max="12810" width="7.75" bestFit="1" customWidth="1"/>
    <col min="12811" max="12811" width="8" bestFit="1" customWidth="1"/>
    <col min="12812" max="12812" width="9.875" bestFit="1" customWidth="1"/>
    <col min="12813" max="12813" width="9" customWidth="1"/>
    <col min="12818" max="12818" width="7.625" bestFit="1" customWidth="1"/>
    <col min="12819" max="12819" width="7.75" bestFit="1" customWidth="1"/>
    <col min="12820" max="12820" width="8" bestFit="1" customWidth="1"/>
    <col min="12821" max="12821" width="9.875" bestFit="1" customWidth="1"/>
    <col min="12827" max="12827" width="7.625" bestFit="1" customWidth="1"/>
    <col min="13059" max="13059" width="9.875" bestFit="1" customWidth="1"/>
    <col min="13060" max="13060" width="9" customWidth="1"/>
    <col min="13065" max="13065" width="7.625" bestFit="1" customWidth="1"/>
    <col min="13066" max="13066" width="7.75" bestFit="1" customWidth="1"/>
    <col min="13067" max="13067" width="8" bestFit="1" customWidth="1"/>
    <col min="13068" max="13068" width="9.875" bestFit="1" customWidth="1"/>
    <col min="13069" max="13069" width="9" customWidth="1"/>
    <col min="13074" max="13074" width="7.625" bestFit="1" customWidth="1"/>
    <col min="13075" max="13075" width="7.75" bestFit="1" customWidth="1"/>
    <col min="13076" max="13076" width="8" bestFit="1" customWidth="1"/>
    <col min="13077" max="13077" width="9.875" bestFit="1" customWidth="1"/>
    <col min="13083" max="13083" width="7.625" bestFit="1" customWidth="1"/>
    <col min="13315" max="13315" width="9.875" bestFit="1" customWidth="1"/>
    <col min="13316" max="13316" width="9" customWidth="1"/>
    <col min="13321" max="13321" width="7.625" bestFit="1" customWidth="1"/>
    <col min="13322" max="13322" width="7.75" bestFit="1" customWidth="1"/>
    <col min="13323" max="13323" width="8" bestFit="1" customWidth="1"/>
    <col min="13324" max="13324" width="9.875" bestFit="1" customWidth="1"/>
    <col min="13325" max="13325" width="9" customWidth="1"/>
    <col min="13330" max="13330" width="7.625" bestFit="1" customWidth="1"/>
    <col min="13331" max="13331" width="7.75" bestFit="1" customWidth="1"/>
    <col min="13332" max="13332" width="8" bestFit="1" customWidth="1"/>
    <col min="13333" max="13333" width="9.875" bestFit="1" customWidth="1"/>
    <col min="13339" max="13339" width="7.625" bestFit="1" customWidth="1"/>
    <col min="13571" max="13571" width="9.875" bestFit="1" customWidth="1"/>
    <col min="13572" max="13572" width="9" customWidth="1"/>
    <col min="13577" max="13577" width="7.625" bestFit="1" customWidth="1"/>
    <col min="13578" max="13578" width="7.75" bestFit="1" customWidth="1"/>
    <col min="13579" max="13579" width="8" bestFit="1" customWidth="1"/>
    <col min="13580" max="13580" width="9.875" bestFit="1" customWidth="1"/>
    <col min="13581" max="13581" width="9" customWidth="1"/>
    <col min="13586" max="13586" width="7.625" bestFit="1" customWidth="1"/>
    <col min="13587" max="13587" width="7.75" bestFit="1" customWidth="1"/>
    <col min="13588" max="13588" width="8" bestFit="1" customWidth="1"/>
    <col min="13589" max="13589" width="9.875" bestFit="1" customWidth="1"/>
    <col min="13595" max="13595" width="7.625" bestFit="1" customWidth="1"/>
    <col min="13827" max="13827" width="9.875" bestFit="1" customWidth="1"/>
    <col min="13828" max="13828" width="9" customWidth="1"/>
    <col min="13833" max="13833" width="7.625" bestFit="1" customWidth="1"/>
    <col min="13834" max="13834" width="7.75" bestFit="1" customWidth="1"/>
    <col min="13835" max="13835" width="8" bestFit="1" customWidth="1"/>
    <col min="13836" max="13836" width="9.875" bestFit="1" customWidth="1"/>
    <col min="13837" max="13837" width="9" customWidth="1"/>
    <col min="13842" max="13842" width="7.625" bestFit="1" customWidth="1"/>
    <col min="13843" max="13843" width="7.75" bestFit="1" customWidth="1"/>
    <col min="13844" max="13844" width="8" bestFit="1" customWidth="1"/>
    <col min="13845" max="13845" width="9.875" bestFit="1" customWidth="1"/>
    <col min="13851" max="13851" width="7.625" bestFit="1" customWidth="1"/>
    <col min="14083" max="14083" width="9.875" bestFit="1" customWidth="1"/>
    <col min="14084" max="14084" width="9" customWidth="1"/>
    <col min="14089" max="14089" width="7.625" bestFit="1" customWidth="1"/>
    <col min="14090" max="14090" width="7.75" bestFit="1" customWidth="1"/>
    <col min="14091" max="14091" width="8" bestFit="1" customWidth="1"/>
    <col min="14092" max="14092" width="9.875" bestFit="1" customWidth="1"/>
    <col min="14093" max="14093" width="9" customWidth="1"/>
    <col min="14098" max="14098" width="7.625" bestFit="1" customWidth="1"/>
    <col min="14099" max="14099" width="7.75" bestFit="1" customWidth="1"/>
    <col min="14100" max="14100" width="8" bestFit="1" customWidth="1"/>
    <col min="14101" max="14101" width="9.875" bestFit="1" customWidth="1"/>
    <col min="14107" max="14107" width="7.625" bestFit="1" customWidth="1"/>
    <col min="14339" max="14339" width="9.875" bestFit="1" customWidth="1"/>
    <col min="14340" max="14340" width="9" customWidth="1"/>
    <col min="14345" max="14345" width="7.625" bestFit="1" customWidth="1"/>
    <col min="14346" max="14346" width="7.75" bestFit="1" customWidth="1"/>
    <col min="14347" max="14347" width="8" bestFit="1" customWidth="1"/>
    <col min="14348" max="14348" width="9.875" bestFit="1" customWidth="1"/>
    <col min="14349" max="14349" width="9" customWidth="1"/>
    <col min="14354" max="14354" width="7.625" bestFit="1" customWidth="1"/>
    <col min="14355" max="14355" width="7.75" bestFit="1" customWidth="1"/>
    <col min="14356" max="14356" width="8" bestFit="1" customWidth="1"/>
    <col min="14357" max="14357" width="9.875" bestFit="1" customWidth="1"/>
    <col min="14363" max="14363" width="7.625" bestFit="1" customWidth="1"/>
    <col min="14595" max="14595" width="9.875" bestFit="1" customWidth="1"/>
    <col min="14596" max="14596" width="9" customWidth="1"/>
    <col min="14601" max="14601" width="7.625" bestFit="1" customWidth="1"/>
    <col min="14602" max="14602" width="7.75" bestFit="1" customWidth="1"/>
    <col min="14603" max="14603" width="8" bestFit="1" customWidth="1"/>
    <col min="14604" max="14604" width="9.875" bestFit="1" customWidth="1"/>
    <col min="14605" max="14605" width="9" customWidth="1"/>
    <col min="14610" max="14610" width="7.625" bestFit="1" customWidth="1"/>
    <col min="14611" max="14611" width="7.75" bestFit="1" customWidth="1"/>
    <col min="14612" max="14612" width="8" bestFit="1" customWidth="1"/>
    <col min="14613" max="14613" width="9.875" bestFit="1" customWidth="1"/>
    <col min="14619" max="14619" width="7.625" bestFit="1" customWidth="1"/>
    <col min="14851" max="14851" width="9.875" bestFit="1" customWidth="1"/>
    <col min="14852" max="14852" width="9" customWidth="1"/>
    <col min="14857" max="14857" width="7.625" bestFit="1" customWidth="1"/>
    <col min="14858" max="14858" width="7.75" bestFit="1" customWidth="1"/>
    <col min="14859" max="14859" width="8" bestFit="1" customWidth="1"/>
    <col min="14860" max="14860" width="9.875" bestFit="1" customWidth="1"/>
    <col min="14861" max="14861" width="9" customWidth="1"/>
    <col min="14866" max="14866" width="7.625" bestFit="1" customWidth="1"/>
    <col min="14867" max="14867" width="7.75" bestFit="1" customWidth="1"/>
    <col min="14868" max="14868" width="8" bestFit="1" customWidth="1"/>
    <col min="14869" max="14869" width="9.875" bestFit="1" customWidth="1"/>
    <col min="14875" max="14875" width="7.625" bestFit="1" customWidth="1"/>
    <col min="15107" max="15107" width="9.875" bestFit="1" customWidth="1"/>
    <col min="15108" max="15108" width="9" customWidth="1"/>
    <col min="15113" max="15113" width="7.625" bestFit="1" customWidth="1"/>
    <col min="15114" max="15114" width="7.75" bestFit="1" customWidth="1"/>
    <col min="15115" max="15115" width="8" bestFit="1" customWidth="1"/>
    <col min="15116" max="15116" width="9.875" bestFit="1" customWidth="1"/>
    <col min="15117" max="15117" width="9" customWidth="1"/>
    <col min="15122" max="15122" width="7.625" bestFit="1" customWidth="1"/>
    <col min="15123" max="15123" width="7.75" bestFit="1" customWidth="1"/>
    <col min="15124" max="15124" width="8" bestFit="1" customWidth="1"/>
    <col min="15125" max="15125" width="9.875" bestFit="1" customWidth="1"/>
    <col min="15131" max="15131" width="7.625" bestFit="1" customWidth="1"/>
    <col min="15363" max="15363" width="9.875" bestFit="1" customWidth="1"/>
    <col min="15364" max="15364" width="9" customWidth="1"/>
    <col min="15369" max="15369" width="7.625" bestFit="1" customWidth="1"/>
    <col min="15370" max="15370" width="7.75" bestFit="1" customWidth="1"/>
    <col min="15371" max="15371" width="8" bestFit="1" customWidth="1"/>
    <col min="15372" max="15372" width="9.875" bestFit="1" customWidth="1"/>
    <col min="15373" max="15373" width="9" customWidth="1"/>
    <col min="15378" max="15378" width="7.625" bestFit="1" customWidth="1"/>
    <col min="15379" max="15379" width="7.75" bestFit="1" customWidth="1"/>
    <col min="15380" max="15380" width="8" bestFit="1" customWidth="1"/>
    <col min="15381" max="15381" width="9.875" bestFit="1" customWidth="1"/>
    <col min="15387" max="15387" width="7.625" bestFit="1" customWidth="1"/>
    <col min="15619" max="15619" width="9.875" bestFit="1" customWidth="1"/>
    <col min="15620" max="15620" width="9" customWidth="1"/>
    <col min="15625" max="15625" width="7.625" bestFit="1" customWidth="1"/>
    <col min="15626" max="15626" width="7.75" bestFit="1" customWidth="1"/>
    <col min="15627" max="15627" width="8" bestFit="1" customWidth="1"/>
    <col min="15628" max="15628" width="9.875" bestFit="1" customWidth="1"/>
    <col min="15629" max="15629" width="9" customWidth="1"/>
    <col min="15634" max="15634" width="7.625" bestFit="1" customWidth="1"/>
    <col min="15635" max="15635" width="7.75" bestFit="1" customWidth="1"/>
    <col min="15636" max="15636" width="8" bestFit="1" customWidth="1"/>
    <col min="15637" max="15637" width="9.875" bestFit="1" customWidth="1"/>
    <col min="15643" max="15643" width="7.625" bestFit="1" customWidth="1"/>
    <col min="15875" max="15875" width="9.875" bestFit="1" customWidth="1"/>
    <col min="15876" max="15876" width="9" customWidth="1"/>
    <col min="15881" max="15881" width="7.625" bestFit="1" customWidth="1"/>
    <col min="15882" max="15882" width="7.75" bestFit="1" customWidth="1"/>
    <col min="15883" max="15883" width="8" bestFit="1" customWidth="1"/>
    <col min="15884" max="15884" width="9.875" bestFit="1" customWidth="1"/>
    <col min="15885" max="15885" width="9" customWidth="1"/>
    <col min="15890" max="15890" width="7.625" bestFit="1" customWidth="1"/>
    <col min="15891" max="15891" width="7.75" bestFit="1" customWidth="1"/>
    <col min="15892" max="15892" width="8" bestFit="1" customWidth="1"/>
    <col min="15893" max="15893" width="9.875" bestFit="1" customWidth="1"/>
    <col min="15899" max="15899" width="7.625" bestFit="1" customWidth="1"/>
    <col min="16131" max="16131" width="9.875" bestFit="1" customWidth="1"/>
    <col min="16132" max="16132" width="9" customWidth="1"/>
    <col min="16137" max="16137" width="7.625" bestFit="1" customWidth="1"/>
    <col min="16138" max="16138" width="7.75" bestFit="1" customWidth="1"/>
    <col min="16139" max="16139" width="8" bestFit="1" customWidth="1"/>
    <col min="16140" max="16140" width="9.875" bestFit="1" customWidth="1"/>
    <col min="16141" max="16141" width="9" customWidth="1"/>
    <col min="16146" max="16146" width="7.625" bestFit="1" customWidth="1"/>
    <col min="16147" max="16147" width="7.75" bestFit="1" customWidth="1"/>
    <col min="16148" max="16148" width="8" bestFit="1" customWidth="1"/>
    <col min="16149" max="16149" width="9.875" bestFit="1" customWidth="1"/>
    <col min="16155" max="16155" width="7.625" bestFit="1" customWidth="1"/>
  </cols>
  <sheetData>
    <row r="1" spans="1:99" ht="35.25">
      <c r="A1" s="1" t="s">
        <v>87</v>
      </c>
      <c r="B1" s="78" t="s">
        <v>61</v>
      </c>
      <c r="C1" s="78"/>
      <c r="D1" s="78"/>
      <c r="E1" s="78"/>
      <c r="F1" s="78"/>
      <c r="G1" s="78"/>
      <c r="H1" s="78"/>
      <c r="I1" s="78"/>
      <c r="J1" s="78"/>
      <c r="K1" s="78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99" ht="14.25">
      <c r="A2" s="3" t="s">
        <v>23</v>
      </c>
      <c r="B2" s="79" t="s">
        <v>24</v>
      </c>
      <c r="C2" s="80"/>
      <c r="D2" s="80"/>
      <c r="E2" s="80"/>
      <c r="F2" s="80"/>
      <c r="G2" s="80"/>
      <c r="H2" s="80"/>
      <c r="I2" s="80"/>
      <c r="J2" s="80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99" ht="14.25">
      <c r="A3" s="3" t="s">
        <v>0</v>
      </c>
      <c r="B3" s="79" t="s">
        <v>25</v>
      </c>
      <c r="C3" s="80"/>
      <c r="D3" s="80"/>
      <c r="E3" s="80"/>
      <c r="F3" s="80"/>
      <c r="G3" s="80"/>
      <c r="H3" s="80"/>
      <c r="I3" s="80"/>
      <c r="J3" s="80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99" ht="28.5">
      <c r="A4" s="19" t="s">
        <v>167</v>
      </c>
      <c r="B4" s="5" t="s">
        <v>26</v>
      </c>
      <c r="C4" s="5" t="s">
        <v>27</v>
      </c>
      <c r="D4" s="5" t="s">
        <v>28</v>
      </c>
      <c r="E4" s="5" t="s">
        <v>56</v>
      </c>
      <c r="F4" s="5" t="s">
        <v>57</v>
      </c>
      <c r="G4" s="21" t="s">
        <v>3</v>
      </c>
      <c r="H4" s="41" t="s">
        <v>4</v>
      </c>
      <c r="I4" s="81" t="s">
        <v>29</v>
      </c>
      <c r="J4" s="19" t="s">
        <v>167</v>
      </c>
      <c r="K4" s="20" t="s">
        <v>26</v>
      </c>
      <c r="L4" s="20" t="s">
        <v>27</v>
      </c>
      <c r="M4" s="20" t="s">
        <v>28</v>
      </c>
      <c r="N4" s="20" t="s">
        <v>56</v>
      </c>
      <c r="O4" s="20" t="s">
        <v>57</v>
      </c>
      <c r="P4" s="21" t="s">
        <v>3</v>
      </c>
      <c r="Q4" s="41" t="s">
        <v>4</v>
      </c>
      <c r="R4" s="86" t="s">
        <v>29</v>
      </c>
      <c r="S4" s="19" t="s">
        <v>167</v>
      </c>
      <c r="T4" s="5" t="s">
        <v>26</v>
      </c>
      <c r="U4" s="5" t="s">
        <v>27</v>
      </c>
      <c r="V4" s="5" t="s">
        <v>28</v>
      </c>
      <c r="W4" s="5" t="s">
        <v>56</v>
      </c>
      <c r="X4" s="5" t="s">
        <v>57</v>
      </c>
      <c r="Y4" s="21" t="s">
        <v>3</v>
      </c>
      <c r="Z4" s="41" t="s">
        <v>4</v>
      </c>
      <c r="AA4" s="81" t="s">
        <v>29</v>
      </c>
      <c r="AB4" s="19" t="s">
        <v>167</v>
      </c>
      <c r="AC4" s="20" t="s">
        <v>26</v>
      </c>
      <c r="AD4" s="20" t="s">
        <v>27</v>
      </c>
      <c r="AE4" s="20" t="s">
        <v>28</v>
      </c>
      <c r="AF4" s="20" t="s">
        <v>56</v>
      </c>
      <c r="AG4" s="20" t="s">
        <v>57</v>
      </c>
      <c r="AH4" s="21" t="s">
        <v>3</v>
      </c>
      <c r="AI4" s="41" t="s">
        <v>4</v>
      </c>
      <c r="AJ4" s="86" t="s">
        <v>29</v>
      </c>
      <c r="AK4" s="19" t="s">
        <v>167</v>
      </c>
      <c r="AL4" s="20" t="s">
        <v>26</v>
      </c>
      <c r="AM4" s="20" t="s">
        <v>27</v>
      </c>
      <c r="AN4" s="20" t="s">
        <v>28</v>
      </c>
      <c r="AO4" s="20" t="s">
        <v>56</v>
      </c>
      <c r="AP4" s="20" t="s">
        <v>57</v>
      </c>
      <c r="AQ4" s="21" t="s">
        <v>3</v>
      </c>
      <c r="AR4" s="41" t="s">
        <v>4</v>
      </c>
      <c r="AS4" s="41" t="s">
        <v>29</v>
      </c>
      <c r="AT4" s="19" t="s">
        <v>167</v>
      </c>
      <c r="AU4" s="20" t="s">
        <v>26</v>
      </c>
      <c r="AV4" s="20" t="s">
        <v>27</v>
      </c>
      <c r="AW4" s="20" t="s">
        <v>28</v>
      </c>
      <c r="AX4" s="20" t="s">
        <v>56</v>
      </c>
      <c r="AY4" s="20" t="s">
        <v>57</v>
      </c>
      <c r="AZ4" s="21" t="s">
        <v>3</v>
      </c>
      <c r="BA4" s="41" t="s">
        <v>4</v>
      </c>
      <c r="BB4" s="49" t="s">
        <v>29</v>
      </c>
      <c r="BC4" s="19" t="s">
        <v>167</v>
      </c>
      <c r="BD4" s="20" t="s">
        <v>26</v>
      </c>
      <c r="BE4" s="20" t="s">
        <v>27</v>
      </c>
      <c r="BF4" s="20" t="s">
        <v>28</v>
      </c>
      <c r="BG4" s="20" t="s">
        <v>56</v>
      </c>
      <c r="BH4" s="20" t="s">
        <v>57</v>
      </c>
      <c r="BI4" s="21" t="s">
        <v>3</v>
      </c>
      <c r="BJ4" s="41" t="s">
        <v>4</v>
      </c>
      <c r="BK4" s="41" t="s">
        <v>29</v>
      </c>
      <c r="BL4" s="19" t="s">
        <v>167</v>
      </c>
      <c r="BM4" s="5" t="s">
        <v>26</v>
      </c>
      <c r="BN4" s="5" t="s">
        <v>27</v>
      </c>
      <c r="BO4" s="5" t="s">
        <v>28</v>
      </c>
      <c r="BP4" s="5" t="s">
        <v>56</v>
      </c>
      <c r="BQ4" s="5" t="s">
        <v>57</v>
      </c>
      <c r="BR4" s="21" t="s">
        <v>3</v>
      </c>
      <c r="BS4" s="41" t="s">
        <v>4</v>
      </c>
      <c r="BT4" s="47" t="s">
        <v>29</v>
      </c>
      <c r="BU4" s="19" t="s">
        <v>167</v>
      </c>
      <c r="BV4" s="20" t="s">
        <v>26</v>
      </c>
      <c r="BW4" s="20" t="s">
        <v>27</v>
      </c>
      <c r="BX4" s="20" t="s">
        <v>28</v>
      </c>
      <c r="BY4" s="20" t="s">
        <v>56</v>
      </c>
      <c r="BZ4" s="20" t="s">
        <v>57</v>
      </c>
      <c r="CA4" s="21" t="s">
        <v>3</v>
      </c>
      <c r="CB4" s="41" t="s">
        <v>4</v>
      </c>
      <c r="CC4" s="41" t="s">
        <v>29</v>
      </c>
      <c r="CD4" s="19" t="s">
        <v>167</v>
      </c>
      <c r="CE4" s="5" t="s">
        <v>26</v>
      </c>
      <c r="CF4" s="5" t="s">
        <v>27</v>
      </c>
      <c r="CG4" s="5" t="s">
        <v>28</v>
      </c>
      <c r="CH4" s="5" t="s">
        <v>56</v>
      </c>
      <c r="CI4" s="5" t="s">
        <v>57</v>
      </c>
      <c r="CJ4" s="21" t="s">
        <v>3</v>
      </c>
      <c r="CK4" s="41" t="s">
        <v>4</v>
      </c>
      <c r="CL4" s="47" t="s">
        <v>29</v>
      </c>
      <c r="CM4" s="19" t="s">
        <v>167</v>
      </c>
      <c r="CN4" s="20" t="s">
        <v>26</v>
      </c>
      <c r="CO4" s="20" t="s">
        <v>27</v>
      </c>
      <c r="CP4" s="20" t="s">
        <v>28</v>
      </c>
      <c r="CQ4" s="20" t="s">
        <v>56</v>
      </c>
      <c r="CR4" s="20" t="s">
        <v>57</v>
      </c>
      <c r="CS4" s="21" t="s">
        <v>3</v>
      </c>
      <c r="CT4" s="41" t="s">
        <v>4</v>
      </c>
      <c r="CU4" s="41" t="s">
        <v>29</v>
      </c>
    </row>
    <row r="5" spans="1:99" ht="15">
      <c r="A5" s="7" t="s">
        <v>30</v>
      </c>
      <c r="B5" s="8">
        <v>21457</v>
      </c>
      <c r="C5" s="8">
        <v>880.7</v>
      </c>
      <c r="D5" s="4">
        <v>1.4</v>
      </c>
      <c r="E5" s="8" t="s">
        <v>10</v>
      </c>
      <c r="F5" s="50">
        <v>1</v>
      </c>
      <c r="G5" s="24" t="s">
        <v>15</v>
      </c>
      <c r="H5" s="25" t="s">
        <v>6</v>
      </c>
      <c r="I5" s="82"/>
      <c r="J5" s="22" t="s">
        <v>31</v>
      </c>
      <c r="K5" s="28">
        <v>21793</v>
      </c>
      <c r="L5" s="28">
        <v>914.3</v>
      </c>
      <c r="M5" s="23">
        <v>1.4</v>
      </c>
      <c r="N5" s="28" t="s">
        <v>10</v>
      </c>
      <c r="O5" s="29">
        <v>1</v>
      </c>
      <c r="P5" s="24" t="s">
        <v>31</v>
      </c>
      <c r="Q5" s="25" t="s">
        <v>7</v>
      </c>
      <c r="R5" s="86"/>
      <c r="S5" s="7" t="s">
        <v>30</v>
      </c>
      <c r="T5" s="8">
        <v>21475</v>
      </c>
      <c r="U5" s="8">
        <v>882.5</v>
      </c>
      <c r="V5" s="4">
        <v>5</v>
      </c>
      <c r="W5" s="8" t="s">
        <v>10</v>
      </c>
      <c r="X5" s="50">
        <v>1</v>
      </c>
      <c r="Y5" s="24" t="s">
        <v>15</v>
      </c>
      <c r="Z5" s="25" t="s">
        <v>6</v>
      </c>
      <c r="AA5" s="82"/>
      <c r="AB5" s="22" t="s">
        <v>32</v>
      </c>
      <c r="AC5" s="28">
        <v>21625</v>
      </c>
      <c r="AD5" s="28">
        <v>897.5</v>
      </c>
      <c r="AE5" s="23">
        <v>5</v>
      </c>
      <c r="AF5" s="28" t="s">
        <v>10</v>
      </c>
      <c r="AG5" s="29">
        <v>1</v>
      </c>
      <c r="AH5" s="24" t="s">
        <v>15</v>
      </c>
      <c r="AI5" s="25" t="s">
        <v>7</v>
      </c>
      <c r="AJ5" s="86"/>
      <c r="AK5" s="27" t="s">
        <v>31</v>
      </c>
      <c r="AL5" s="28">
        <v>21775</v>
      </c>
      <c r="AM5" s="28">
        <v>912.5</v>
      </c>
      <c r="AN5" s="23">
        <v>5</v>
      </c>
      <c r="AO5" s="28" t="s">
        <v>10</v>
      </c>
      <c r="AP5" s="29">
        <v>1</v>
      </c>
      <c r="AQ5" s="24" t="s">
        <v>31</v>
      </c>
      <c r="AR5" s="25" t="s">
        <v>7</v>
      </c>
      <c r="AS5" s="41"/>
      <c r="AT5" s="27" t="s">
        <v>30</v>
      </c>
      <c r="AU5" s="28">
        <v>21475</v>
      </c>
      <c r="AV5" s="28">
        <v>882.5</v>
      </c>
      <c r="AW5" s="23">
        <v>5</v>
      </c>
      <c r="AX5" s="28" t="s">
        <v>10</v>
      </c>
      <c r="AY5" s="29">
        <v>25</v>
      </c>
      <c r="AZ5" s="24" t="s">
        <v>30</v>
      </c>
      <c r="BA5" s="25" t="s">
        <v>6</v>
      </c>
      <c r="BB5" s="51"/>
      <c r="BC5" s="27" t="s">
        <v>31</v>
      </c>
      <c r="BD5" s="28">
        <v>21775</v>
      </c>
      <c r="BE5" s="28">
        <v>912.5</v>
      </c>
      <c r="BF5" s="23">
        <v>5</v>
      </c>
      <c r="BG5" s="28" t="s">
        <v>10</v>
      </c>
      <c r="BH5" s="29">
        <v>25</v>
      </c>
      <c r="BI5" s="24" t="s">
        <v>31</v>
      </c>
      <c r="BJ5" s="25" t="s">
        <v>7</v>
      </c>
      <c r="BK5" s="41"/>
      <c r="BL5" s="7" t="s">
        <v>30</v>
      </c>
      <c r="BM5" s="8">
        <v>21500</v>
      </c>
      <c r="BN5" s="8">
        <v>885</v>
      </c>
      <c r="BO5" s="4">
        <v>10</v>
      </c>
      <c r="BP5" s="8" t="s">
        <v>10</v>
      </c>
      <c r="BQ5" s="50">
        <v>1</v>
      </c>
      <c r="BR5" s="24" t="s">
        <v>15</v>
      </c>
      <c r="BS5" s="25" t="s">
        <v>6</v>
      </c>
      <c r="BT5" s="48"/>
      <c r="BU5" s="27" t="s">
        <v>31</v>
      </c>
      <c r="BV5" s="28">
        <v>21750</v>
      </c>
      <c r="BW5" s="28">
        <v>910</v>
      </c>
      <c r="BX5" s="23">
        <v>10</v>
      </c>
      <c r="BY5" s="28" t="s">
        <v>10</v>
      </c>
      <c r="BZ5" s="29">
        <v>1</v>
      </c>
      <c r="CA5" s="24" t="s">
        <v>31</v>
      </c>
      <c r="CB5" s="25" t="s">
        <v>7</v>
      </c>
      <c r="CC5" s="41"/>
      <c r="CD5" s="7" t="s">
        <v>30</v>
      </c>
      <c r="CE5" s="8">
        <v>21500</v>
      </c>
      <c r="CF5" s="8">
        <v>885</v>
      </c>
      <c r="CG5" s="4">
        <v>10</v>
      </c>
      <c r="CH5" s="8" t="s">
        <v>10</v>
      </c>
      <c r="CI5" s="50">
        <v>50</v>
      </c>
      <c r="CJ5" s="24" t="s">
        <v>30</v>
      </c>
      <c r="CK5" s="25" t="s">
        <v>6</v>
      </c>
      <c r="CL5" s="48"/>
      <c r="CM5" s="27" t="s">
        <v>31</v>
      </c>
      <c r="CN5" s="28">
        <v>21750</v>
      </c>
      <c r="CO5" s="28">
        <v>910</v>
      </c>
      <c r="CP5" s="23">
        <v>10</v>
      </c>
      <c r="CQ5" s="28" t="s">
        <v>10</v>
      </c>
      <c r="CR5" s="29">
        <v>50</v>
      </c>
      <c r="CS5" s="24" t="s">
        <v>30</v>
      </c>
      <c r="CT5" s="25" t="s">
        <v>7</v>
      </c>
      <c r="CU5" s="41"/>
    </row>
    <row r="6" spans="1:99" ht="14.25">
      <c r="A6" s="83" t="s">
        <v>16</v>
      </c>
      <c r="B6" s="84"/>
      <c r="C6" s="6" t="s">
        <v>17</v>
      </c>
      <c r="D6" s="6" t="s">
        <v>33</v>
      </c>
      <c r="E6" s="83" t="s">
        <v>34</v>
      </c>
      <c r="F6" s="85"/>
      <c r="G6" s="84"/>
      <c r="H6" s="26" t="s">
        <v>5</v>
      </c>
      <c r="I6" s="2"/>
      <c r="J6" s="83" t="s">
        <v>16</v>
      </c>
      <c r="K6" s="84"/>
      <c r="L6" s="18" t="s">
        <v>17</v>
      </c>
      <c r="M6" s="18" t="s">
        <v>33</v>
      </c>
      <c r="N6" s="83" t="s">
        <v>34</v>
      </c>
      <c r="O6" s="85"/>
      <c r="P6" s="84"/>
      <c r="Q6" s="26" t="s">
        <v>5</v>
      </c>
      <c r="R6" s="19"/>
      <c r="S6" s="83" t="s">
        <v>16</v>
      </c>
      <c r="T6" s="84"/>
      <c r="U6" s="6" t="s">
        <v>17</v>
      </c>
      <c r="V6" s="6" t="s">
        <v>33</v>
      </c>
      <c r="W6" s="83" t="s">
        <v>34</v>
      </c>
      <c r="X6" s="85"/>
      <c r="Y6" s="84"/>
      <c r="Z6" s="26" t="s">
        <v>5</v>
      </c>
      <c r="AA6" s="2"/>
      <c r="AB6" s="83" t="s">
        <v>16</v>
      </c>
      <c r="AC6" s="84"/>
      <c r="AD6" s="18" t="s">
        <v>17</v>
      </c>
      <c r="AE6" s="18" t="s">
        <v>33</v>
      </c>
      <c r="AF6" s="83" t="s">
        <v>34</v>
      </c>
      <c r="AG6" s="85"/>
      <c r="AH6" s="84"/>
      <c r="AI6" s="26" t="s">
        <v>5</v>
      </c>
      <c r="AJ6" s="19"/>
      <c r="AK6" s="42" t="s">
        <v>16</v>
      </c>
      <c r="AL6" s="43"/>
      <c r="AM6" s="18" t="s">
        <v>17</v>
      </c>
      <c r="AN6" s="18" t="s">
        <v>33</v>
      </c>
      <c r="AO6" s="83" t="s">
        <v>34</v>
      </c>
      <c r="AP6" s="85"/>
      <c r="AQ6" s="84"/>
      <c r="AR6" s="26" t="s">
        <v>5</v>
      </c>
      <c r="AS6" s="19"/>
      <c r="AT6" s="42" t="s">
        <v>16</v>
      </c>
      <c r="AU6" s="43"/>
      <c r="AV6" s="18" t="s">
        <v>17</v>
      </c>
      <c r="AW6" s="18" t="s">
        <v>33</v>
      </c>
      <c r="AX6" s="83" t="s">
        <v>34</v>
      </c>
      <c r="AY6" s="85"/>
      <c r="AZ6" s="84"/>
      <c r="BA6" s="26" t="s">
        <v>5</v>
      </c>
      <c r="BB6" s="19"/>
      <c r="BC6" s="42" t="s">
        <v>16</v>
      </c>
      <c r="BD6" s="43"/>
      <c r="BE6" s="18" t="s">
        <v>17</v>
      </c>
      <c r="BF6" s="18" t="s">
        <v>33</v>
      </c>
      <c r="BG6" s="83" t="s">
        <v>34</v>
      </c>
      <c r="BH6" s="85"/>
      <c r="BI6" s="84"/>
      <c r="BJ6" s="26" t="s">
        <v>5</v>
      </c>
      <c r="BK6" s="19"/>
      <c r="BL6" s="52" t="s">
        <v>16</v>
      </c>
      <c r="BM6" s="53"/>
      <c r="BN6" s="6" t="s">
        <v>17</v>
      </c>
      <c r="BO6" s="6" t="s">
        <v>33</v>
      </c>
      <c r="BP6" s="83" t="s">
        <v>34</v>
      </c>
      <c r="BQ6" s="85"/>
      <c r="BR6" s="84"/>
      <c r="BS6" s="26" t="s">
        <v>5</v>
      </c>
      <c r="BT6" s="2"/>
      <c r="BU6" s="42" t="s">
        <v>16</v>
      </c>
      <c r="BV6" s="43"/>
      <c r="BW6" s="18" t="s">
        <v>17</v>
      </c>
      <c r="BX6" s="18" t="s">
        <v>33</v>
      </c>
      <c r="BY6" s="83" t="s">
        <v>34</v>
      </c>
      <c r="BZ6" s="85"/>
      <c r="CA6" s="84"/>
      <c r="CB6" s="26" t="s">
        <v>5</v>
      </c>
      <c r="CC6" s="19"/>
      <c r="CD6" s="52" t="s">
        <v>16</v>
      </c>
      <c r="CE6" s="53"/>
      <c r="CF6" s="6" t="s">
        <v>17</v>
      </c>
      <c r="CG6" s="6" t="s">
        <v>33</v>
      </c>
      <c r="CH6" s="83" t="s">
        <v>34</v>
      </c>
      <c r="CI6" s="85"/>
      <c r="CJ6" s="84"/>
      <c r="CK6" s="26" t="s">
        <v>5</v>
      </c>
      <c r="CL6" s="2"/>
      <c r="CM6" s="42" t="s">
        <v>16</v>
      </c>
      <c r="CN6" s="43"/>
      <c r="CO6" s="18" t="s">
        <v>17</v>
      </c>
      <c r="CP6" s="18" t="s">
        <v>33</v>
      </c>
      <c r="CQ6" s="83" t="s">
        <v>34</v>
      </c>
      <c r="CR6" s="85"/>
      <c r="CS6" s="84"/>
      <c r="CT6" s="26" t="s">
        <v>5</v>
      </c>
      <c r="CU6" s="19"/>
    </row>
    <row r="7" spans="1:99" ht="15">
      <c r="A7" s="54">
        <f>((C5-2.5*0.18)-0.2)*2</f>
        <v>1760.1</v>
      </c>
      <c r="B7" s="54">
        <f>((C5-2.5*0.18)+0.2)*2</f>
        <v>1760.9</v>
      </c>
      <c r="C7" s="10" t="s">
        <v>9</v>
      </c>
      <c r="D7" s="10" t="s">
        <v>9</v>
      </c>
      <c r="E7" s="87" t="s">
        <v>35</v>
      </c>
      <c r="F7" s="88"/>
      <c r="G7" s="89"/>
      <c r="H7" s="75"/>
      <c r="I7" s="55" t="s">
        <v>36</v>
      </c>
      <c r="J7" s="54">
        <f>((L5-2.5*0.18)-0.2)*2</f>
        <v>1827.2999999999997</v>
      </c>
      <c r="K7" s="54">
        <f>((L5-2.5*0.18)+0.2)*2</f>
        <v>1828.1</v>
      </c>
      <c r="L7" s="10" t="s">
        <v>9</v>
      </c>
      <c r="M7" s="10" t="s">
        <v>9</v>
      </c>
      <c r="N7" s="87" t="s">
        <v>35</v>
      </c>
      <c r="O7" s="88"/>
      <c r="P7" s="89"/>
      <c r="Q7" s="75"/>
      <c r="R7" s="55" t="s">
        <v>36</v>
      </c>
      <c r="S7" s="54">
        <f>((U5-INT((V5*5)/2)*0.18)-0.2)*2</f>
        <v>1760.28</v>
      </c>
      <c r="T7" s="54">
        <f>((U5-INT((V5*5)/2)*0.18)+0.2)*2</f>
        <v>1761.0800000000002</v>
      </c>
      <c r="U7" s="10" t="s">
        <v>9</v>
      </c>
      <c r="V7" s="10" t="s">
        <v>9</v>
      </c>
      <c r="W7" s="87" t="s">
        <v>35</v>
      </c>
      <c r="X7" s="88"/>
      <c r="Y7" s="89"/>
      <c r="Z7" s="75"/>
      <c r="AA7" s="55" t="s">
        <v>36</v>
      </c>
      <c r="AB7" s="54">
        <f>((AD5-INT((AE5*5)/2)*0.18)-0.2)*2</f>
        <v>1790.28</v>
      </c>
      <c r="AC7" s="54">
        <f>((AD5-INT((AE5*5)/2)*0.18)+0.2)*2</f>
        <v>1791.0800000000002</v>
      </c>
      <c r="AD7" s="10" t="s">
        <v>9</v>
      </c>
      <c r="AE7" s="10" t="s">
        <v>9</v>
      </c>
      <c r="AF7" s="87" t="s">
        <v>35</v>
      </c>
      <c r="AG7" s="88"/>
      <c r="AH7" s="89"/>
      <c r="AI7" s="75"/>
      <c r="AJ7" s="55" t="s">
        <v>36</v>
      </c>
      <c r="AK7" s="54">
        <f>((AM5+INT((AN5*5)/2)*0.18)-0.2)*2</f>
        <v>1828.9199999999998</v>
      </c>
      <c r="AL7" s="54">
        <f>((AM5+INT((AN5*5)/2)*0.18)+0.2)*2</f>
        <v>1829.72</v>
      </c>
      <c r="AM7" s="10" t="s">
        <v>9</v>
      </c>
      <c r="AN7" s="10" t="s">
        <v>9</v>
      </c>
      <c r="AO7" s="87" t="s">
        <v>35</v>
      </c>
      <c r="AP7" s="88"/>
      <c r="AQ7" s="89"/>
      <c r="AR7" s="75"/>
      <c r="AS7" s="55" t="s">
        <v>36</v>
      </c>
      <c r="AT7" s="54">
        <f>(AV5-AW5/2)*2</f>
        <v>1760</v>
      </c>
      <c r="AU7" s="54">
        <f>(AV5+AW5/2)*2</f>
        <v>1770</v>
      </c>
      <c r="AV7" s="10" t="s">
        <v>9</v>
      </c>
      <c r="AW7" s="10" t="s">
        <v>9</v>
      </c>
      <c r="AX7" s="87" t="s">
        <v>35</v>
      </c>
      <c r="AY7" s="88"/>
      <c r="AZ7" s="89"/>
      <c r="BA7" s="75"/>
      <c r="BB7" s="55" t="s">
        <v>36</v>
      </c>
      <c r="BC7" s="54">
        <f>(BE5-BF5/2)*2</f>
        <v>1820</v>
      </c>
      <c r="BD7" s="54">
        <f>(BE5+BF5/2)*2</f>
        <v>1830</v>
      </c>
      <c r="BE7" s="10" t="s">
        <v>9</v>
      </c>
      <c r="BF7" s="10" t="s">
        <v>9</v>
      </c>
      <c r="BG7" s="87" t="s">
        <v>35</v>
      </c>
      <c r="BH7" s="88"/>
      <c r="BI7" s="89"/>
      <c r="BJ7" s="75"/>
      <c r="BK7" s="55" t="s">
        <v>36</v>
      </c>
      <c r="BL7" s="54">
        <f>((BN5-(INT((BO5*5)/2)-0.5)*0.18)-0.2)*2</f>
        <v>1760.78</v>
      </c>
      <c r="BM7" s="54">
        <f>((BN5-(INT((BO5*5)/2)-0.5)*0.18)+0.2)*2</f>
        <v>1761.5800000000002</v>
      </c>
      <c r="BN7" s="10" t="s">
        <v>9</v>
      </c>
      <c r="BO7" s="10" t="s">
        <v>9</v>
      </c>
      <c r="BP7" s="87" t="s">
        <v>35</v>
      </c>
      <c r="BQ7" s="88"/>
      <c r="BR7" s="89"/>
      <c r="BS7" s="75"/>
      <c r="BT7" s="55" t="s">
        <v>36</v>
      </c>
      <c r="BU7" s="54">
        <f>((BW5+(INT((BX5*5)/2)-0.5)*0.18)-0.2)*2</f>
        <v>1828.4199999999998</v>
      </c>
      <c r="BV7" s="54">
        <f>((BW5+(INT((BX5*5)/2)-0.5)*0.18)+0.2)*2</f>
        <v>1829.22</v>
      </c>
      <c r="BW7" s="10" t="s">
        <v>9</v>
      </c>
      <c r="BX7" s="10" t="s">
        <v>9</v>
      </c>
      <c r="BY7" s="87" t="s">
        <v>35</v>
      </c>
      <c r="BZ7" s="88"/>
      <c r="CA7" s="89"/>
      <c r="CB7" s="75"/>
      <c r="CC7" s="55" t="s">
        <v>36</v>
      </c>
      <c r="CD7" s="54">
        <f>(CF5-CG5/2)*2</f>
        <v>1760</v>
      </c>
      <c r="CE7" s="54">
        <f>(CF5+CG5/2)*2</f>
        <v>1780</v>
      </c>
      <c r="CF7" s="10" t="s">
        <v>9</v>
      </c>
      <c r="CG7" s="10" t="s">
        <v>9</v>
      </c>
      <c r="CH7" s="87" t="s">
        <v>35</v>
      </c>
      <c r="CI7" s="88"/>
      <c r="CJ7" s="89"/>
      <c r="CK7" s="75"/>
      <c r="CL7" s="55" t="s">
        <v>36</v>
      </c>
      <c r="CM7" s="54">
        <f>(CO5-CP5/2)*2</f>
        <v>1810</v>
      </c>
      <c r="CN7" s="54">
        <f>(CO5+CP5/2)*2</f>
        <v>1830</v>
      </c>
      <c r="CO7" s="10" t="s">
        <v>9</v>
      </c>
      <c r="CP7" s="10" t="s">
        <v>9</v>
      </c>
      <c r="CQ7" s="87" t="s">
        <v>35</v>
      </c>
      <c r="CR7" s="88"/>
      <c r="CS7" s="89"/>
      <c r="CT7" s="75"/>
      <c r="CU7" s="55" t="s">
        <v>36</v>
      </c>
    </row>
    <row r="8" spans="1:99" ht="15">
      <c r="A8" s="54">
        <f>((C5-2.5*0.18)-0.2)*3</f>
        <v>2640.1499999999996</v>
      </c>
      <c r="B8" s="54">
        <f>((C5-2.5*0.18)+0.2)*2</f>
        <v>1760.9</v>
      </c>
      <c r="C8" s="10" t="s">
        <v>9</v>
      </c>
      <c r="D8" s="10" t="s">
        <v>9</v>
      </c>
      <c r="E8" s="87" t="s">
        <v>35</v>
      </c>
      <c r="F8" s="88"/>
      <c r="G8" s="89"/>
      <c r="H8" s="75"/>
      <c r="I8" s="55" t="s">
        <v>37</v>
      </c>
      <c r="J8" s="54">
        <f>((L5-2.5*0.18)-0.2)*3</f>
        <v>2740.95</v>
      </c>
      <c r="K8" s="54">
        <f>((L5-2.5*0.18)+0.2)*2</f>
        <v>1828.1</v>
      </c>
      <c r="L8" s="10" t="s">
        <v>9</v>
      </c>
      <c r="M8" s="10" t="s">
        <v>9</v>
      </c>
      <c r="N8" s="87" t="s">
        <v>35</v>
      </c>
      <c r="O8" s="88"/>
      <c r="P8" s="89"/>
      <c r="Q8" s="75"/>
      <c r="R8" s="55" t="s">
        <v>37</v>
      </c>
      <c r="S8" s="54">
        <f>((U5-INT((V5*5)/2)*0.18)-0.2)*3</f>
        <v>2640.42</v>
      </c>
      <c r="T8" s="54">
        <f>((U5-INT((V5*5)/2)*0.18)+0.2)*3</f>
        <v>2641.6200000000003</v>
      </c>
      <c r="U8" s="10" t="s">
        <v>9</v>
      </c>
      <c r="V8" s="10" t="s">
        <v>9</v>
      </c>
      <c r="W8" s="87" t="s">
        <v>35</v>
      </c>
      <c r="X8" s="88"/>
      <c r="Y8" s="89"/>
      <c r="Z8" s="75"/>
      <c r="AA8" s="55" t="s">
        <v>37</v>
      </c>
      <c r="AB8" s="54">
        <f>((AD5-INT((AE5*5)/2)*0.18)-0.2)*3</f>
        <v>2685.42</v>
      </c>
      <c r="AC8" s="54">
        <f>((AD5-INT((AE5*5)/2)*0.18)+0.2)*3</f>
        <v>2686.6200000000003</v>
      </c>
      <c r="AD8" s="10" t="s">
        <v>9</v>
      </c>
      <c r="AE8" s="10" t="s">
        <v>9</v>
      </c>
      <c r="AF8" s="87" t="s">
        <v>35</v>
      </c>
      <c r="AG8" s="88"/>
      <c r="AH8" s="89"/>
      <c r="AI8" s="75"/>
      <c r="AJ8" s="55" t="s">
        <v>37</v>
      </c>
      <c r="AK8" s="54">
        <f>((AM5+INT((AN5*5)/2)*0.18)-0.2)*3</f>
        <v>2743.3799999999997</v>
      </c>
      <c r="AL8" s="54">
        <f>((AM5+INT((AN5*5)/2)*0.18)+0.2)*3</f>
        <v>2744.58</v>
      </c>
      <c r="AM8" s="10" t="s">
        <v>9</v>
      </c>
      <c r="AN8" s="10" t="s">
        <v>9</v>
      </c>
      <c r="AO8" s="87" t="s">
        <v>35</v>
      </c>
      <c r="AP8" s="88"/>
      <c r="AQ8" s="89"/>
      <c r="AR8" s="75"/>
      <c r="AS8" s="55" t="s">
        <v>37</v>
      </c>
      <c r="AT8" s="54">
        <f>(AV5-AW5/2)*3</f>
        <v>2640</v>
      </c>
      <c r="AU8" s="54">
        <f>(AV5+AW5/2)*3</f>
        <v>2655</v>
      </c>
      <c r="AV8" s="10" t="s">
        <v>9</v>
      </c>
      <c r="AW8" s="10" t="s">
        <v>9</v>
      </c>
      <c r="AX8" s="87" t="s">
        <v>35</v>
      </c>
      <c r="AY8" s="88"/>
      <c r="AZ8" s="89"/>
      <c r="BA8" s="75"/>
      <c r="BB8" s="55" t="s">
        <v>37</v>
      </c>
      <c r="BC8" s="54">
        <f>(BE5-BF5/2)*3</f>
        <v>2730</v>
      </c>
      <c r="BD8" s="54">
        <f>(BE5+BF5/2)*3</f>
        <v>2745</v>
      </c>
      <c r="BE8" s="10" t="s">
        <v>9</v>
      </c>
      <c r="BF8" s="10" t="s">
        <v>9</v>
      </c>
      <c r="BG8" s="87" t="s">
        <v>35</v>
      </c>
      <c r="BH8" s="88"/>
      <c r="BI8" s="89"/>
      <c r="BJ8" s="75"/>
      <c r="BK8" s="55" t="s">
        <v>37</v>
      </c>
      <c r="BL8" s="54">
        <f>((BN5-(INT((BO5*5)/2)-0.5)*0.18)-0.2)*3</f>
        <v>2641.17</v>
      </c>
      <c r="BM8" s="54">
        <f>((BN5-(INT((BO5*5)/2)-0.5)*0.18)+0.2)*3</f>
        <v>2642.3700000000003</v>
      </c>
      <c r="BN8" s="10" t="s">
        <v>9</v>
      </c>
      <c r="BO8" s="10" t="s">
        <v>9</v>
      </c>
      <c r="BP8" s="87" t="s">
        <v>35</v>
      </c>
      <c r="BQ8" s="88"/>
      <c r="BR8" s="89"/>
      <c r="BS8" s="75"/>
      <c r="BT8" s="55" t="s">
        <v>37</v>
      </c>
      <c r="BU8" s="54">
        <f>((BW5+(INT((BX5*5)/2)-0.5)*0.18)-0.2)*3</f>
        <v>2742.6299999999997</v>
      </c>
      <c r="BV8" s="54">
        <f>((BW5+(INT((BX5*5)/2)-0.5)*0.18)+0.2)*3</f>
        <v>2743.83</v>
      </c>
      <c r="BW8" s="10" t="s">
        <v>9</v>
      </c>
      <c r="BX8" s="10" t="s">
        <v>9</v>
      </c>
      <c r="BY8" s="87" t="s">
        <v>35</v>
      </c>
      <c r="BZ8" s="88"/>
      <c r="CA8" s="89"/>
      <c r="CB8" s="75"/>
      <c r="CC8" s="55" t="s">
        <v>37</v>
      </c>
      <c r="CD8" s="54">
        <f>(CF5-CG5/2)*3</f>
        <v>2640</v>
      </c>
      <c r="CE8" s="54">
        <f>(CF5+CG5/2)*3</f>
        <v>2670</v>
      </c>
      <c r="CF8" s="10" t="s">
        <v>9</v>
      </c>
      <c r="CG8" s="10" t="s">
        <v>9</v>
      </c>
      <c r="CH8" s="87" t="s">
        <v>35</v>
      </c>
      <c r="CI8" s="88"/>
      <c r="CJ8" s="89"/>
      <c r="CK8" s="75"/>
      <c r="CL8" s="55" t="s">
        <v>37</v>
      </c>
      <c r="CM8" s="54">
        <f>(CO5-CP5/2)*3</f>
        <v>2715</v>
      </c>
      <c r="CN8" s="54">
        <f>(CO5+CP5/2)*3</f>
        <v>2745</v>
      </c>
      <c r="CO8" s="10" t="s">
        <v>9</v>
      </c>
      <c r="CP8" s="10" t="s">
        <v>9</v>
      </c>
      <c r="CQ8" s="87" t="s">
        <v>35</v>
      </c>
      <c r="CR8" s="88"/>
      <c r="CS8" s="89"/>
      <c r="CT8" s="75"/>
      <c r="CU8" s="55" t="s">
        <v>37</v>
      </c>
    </row>
    <row r="9" spans="1:99" ht="15">
      <c r="A9" s="54">
        <f>((C5-2.5*0.18)-0.2)*4</f>
        <v>3520.2</v>
      </c>
      <c r="B9" s="54">
        <f>((C5-2.5*0.18)+0.2)*4</f>
        <v>3521.8</v>
      </c>
      <c r="C9" s="10" t="s">
        <v>9</v>
      </c>
      <c r="D9" s="10" t="s">
        <v>9</v>
      </c>
      <c r="E9" s="90" t="s">
        <v>35</v>
      </c>
      <c r="F9" s="90"/>
      <c r="G9" s="90"/>
      <c r="H9" s="75"/>
      <c r="I9" s="55" t="s">
        <v>38</v>
      </c>
      <c r="J9" s="54">
        <f>((L5-2.5*0.18)-0.2)*4</f>
        <v>3654.5999999999995</v>
      </c>
      <c r="K9" s="54">
        <f>((L5-2.5*0.18)+0.2)*4</f>
        <v>3656.2</v>
      </c>
      <c r="L9" s="10" t="s">
        <v>9</v>
      </c>
      <c r="M9" s="10" t="s">
        <v>9</v>
      </c>
      <c r="N9" s="90" t="s">
        <v>35</v>
      </c>
      <c r="O9" s="90"/>
      <c r="P9" s="90"/>
      <c r="Q9" s="75"/>
      <c r="R9" s="55" t="s">
        <v>38</v>
      </c>
      <c r="S9" s="54">
        <f>((U5-INT((V5*5)/2)*0.18)-0.2)*4</f>
        <v>3520.56</v>
      </c>
      <c r="T9" s="54">
        <f>((U5-INT((V5*5)/2)*0.18)+0.2)*4</f>
        <v>3522.1600000000003</v>
      </c>
      <c r="U9" s="10" t="s">
        <v>9</v>
      </c>
      <c r="V9" s="10" t="s">
        <v>9</v>
      </c>
      <c r="W9" s="90" t="s">
        <v>35</v>
      </c>
      <c r="X9" s="90"/>
      <c r="Y9" s="90"/>
      <c r="Z9" s="75"/>
      <c r="AA9" s="55" t="s">
        <v>38</v>
      </c>
      <c r="AB9" s="54">
        <f>((AD5-INT((AE5*5)/2)*0.18)-0.2)*4</f>
        <v>3580.56</v>
      </c>
      <c r="AC9" s="54">
        <f>((AD5-INT((AE5*5)/2)*0.18)+0.2)*4</f>
        <v>3582.1600000000003</v>
      </c>
      <c r="AD9" s="10" t="s">
        <v>9</v>
      </c>
      <c r="AE9" s="10" t="s">
        <v>9</v>
      </c>
      <c r="AF9" s="90" t="s">
        <v>35</v>
      </c>
      <c r="AG9" s="90"/>
      <c r="AH9" s="90"/>
      <c r="AI9" s="75"/>
      <c r="AJ9" s="55" t="s">
        <v>38</v>
      </c>
      <c r="AK9" s="54">
        <f>((AM5+INT((AN5*5)/2)*0.18)-0.2)*4</f>
        <v>3657.8399999999997</v>
      </c>
      <c r="AL9" s="54">
        <f>((AM5+INT((AN5*5)/2)*0.18)+0.2)*4</f>
        <v>3659.44</v>
      </c>
      <c r="AM9" s="10" t="s">
        <v>9</v>
      </c>
      <c r="AN9" s="10" t="s">
        <v>9</v>
      </c>
      <c r="AO9" s="87" t="s">
        <v>39</v>
      </c>
      <c r="AP9" s="88"/>
      <c r="AQ9" s="89"/>
      <c r="AR9" s="75"/>
      <c r="AS9" s="55" t="s">
        <v>38</v>
      </c>
      <c r="AT9" s="54">
        <f>(AV5-AW5/2)*4</f>
        <v>3520</v>
      </c>
      <c r="AU9" s="54">
        <f>(AV5+AW5/2)*4</f>
        <v>3540</v>
      </c>
      <c r="AV9" s="10" t="s">
        <v>9</v>
      </c>
      <c r="AW9" s="10" t="s">
        <v>9</v>
      </c>
      <c r="AX9" s="87" t="s">
        <v>39</v>
      </c>
      <c r="AY9" s="88"/>
      <c r="AZ9" s="89"/>
      <c r="BA9" s="75"/>
      <c r="BB9" s="55" t="s">
        <v>38</v>
      </c>
      <c r="BC9" s="54">
        <f>(BE5-BF5/2)*4</f>
        <v>3640</v>
      </c>
      <c r="BD9" s="54">
        <f>(BE5+BF5/2)*4</f>
        <v>3660</v>
      </c>
      <c r="BE9" s="10" t="s">
        <v>9</v>
      </c>
      <c r="BF9" s="10" t="s">
        <v>9</v>
      </c>
      <c r="BG9" s="87" t="s">
        <v>39</v>
      </c>
      <c r="BH9" s="88"/>
      <c r="BI9" s="89"/>
      <c r="BJ9" s="75"/>
      <c r="BK9" s="55" t="s">
        <v>38</v>
      </c>
      <c r="BL9" s="54">
        <f>((BN5-(INT((BO5*5)/2)-0.5)*0.18)-0.2)*4</f>
        <v>3521.56</v>
      </c>
      <c r="BM9" s="54">
        <f>((BN5-(INT((BO5*5)/2)-0.5)*0.18)+0.2)*4</f>
        <v>3523.1600000000003</v>
      </c>
      <c r="BN9" s="10" t="s">
        <v>9</v>
      </c>
      <c r="BO9" s="10" t="s">
        <v>9</v>
      </c>
      <c r="BP9" s="87" t="s">
        <v>39</v>
      </c>
      <c r="BQ9" s="88"/>
      <c r="BR9" s="89"/>
      <c r="BS9" s="75"/>
      <c r="BT9" s="55" t="s">
        <v>38</v>
      </c>
      <c r="BU9" s="54">
        <f>((BW5+(INT((BX5*5)/2)-0.5)*0.18)-0.2)*4</f>
        <v>3656.8399999999997</v>
      </c>
      <c r="BV9" s="54">
        <f>((BW5+(INT((BX5*5)/2)-0.5)*0.18)+0.2)*4</f>
        <v>3658.44</v>
      </c>
      <c r="BW9" s="10" t="s">
        <v>9</v>
      </c>
      <c r="BX9" s="10" t="s">
        <v>9</v>
      </c>
      <c r="BY9" s="87" t="s">
        <v>39</v>
      </c>
      <c r="BZ9" s="88"/>
      <c r="CA9" s="89"/>
      <c r="CB9" s="75"/>
      <c r="CC9" s="55" t="s">
        <v>38</v>
      </c>
      <c r="CD9" s="54">
        <f>(CF5-CG5/2)*4</f>
        <v>3520</v>
      </c>
      <c r="CE9" s="54">
        <f>(CF5+CG5/2)*4</f>
        <v>3560</v>
      </c>
      <c r="CF9" s="10" t="s">
        <v>9</v>
      </c>
      <c r="CG9" s="10" t="s">
        <v>9</v>
      </c>
      <c r="CH9" s="87" t="s">
        <v>39</v>
      </c>
      <c r="CI9" s="88"/>
      <c r="CJ9" s="89"/>
      <c r="CK9" s="75"/>
      <c r="CL9" s="55" t="s">
        <v>38</v>
      </c>
      <c r="CM9" s="54">
        <f>(CO5-CP5/2)*4</f>
        <v>3620</v>
      </c>
      <c r="CN9" s="54">
        <f>(CO5+CP5/2)*4</f>
        <v>3660</v>
      </c>
      <c r="CO9" s="10" t="s">
        <v>9</v>
      </c>
      <c r="CP9" s="10" t="s">
        <v>9</v>
      </c>
      <c r="CQ9" s="87" t="s">
        <v>35</v>
      </c>
      <c r="CR9" s="88"/>
      <c r="CS9" s="89"/>
      <c r="CT9" s="75"/>
      <c r="CU9" s="55" t="s">
        <v>38</v>
      </c>
    </row>
    <row r="10" spans="1:99" ht="15">
      <c r="A10" s="54">
        <f>((C5-2.5*0.18)-0.2)*5</f>
        <v>4400.25</v>
      </c>
      <c r="B10" s="54">
        <f>((C5-2.5*0.18)+0.2)*5</f>
        <v>4402.25</v>
      </c>
      <c r="C10" s="10" t="s">
        <v>9</v>
      </c>
      <c r="D10" s="10" t="s">
        <v>9</v>
      </c>
      <c r="E10" s="87" t="s">
        <v>35</v>
      </c>
      <c r="F10" s="88"/>
      <c r="G10" s="89"/>
      <c r="H10" s="75"/>
      <c r="I10" s="55" t="s">
        <v>40</v>
      </c>
      <c r="J10" s="54">
        <f>((L5-2.5*0.18)-0.2)*5</f>
        <v>4568.2499999999991</v>
      </c>
      <c r="K10" s="54">
        <f>((L5-2.5*0.18)+0.2)*5</f>
        <v>4570.25</v>
      </c>
      <c r="L10" s="10" t="s">
        <v>9</v>
      </c>
      <c r="M10" s="10" t="s">
        <v>9</v>
      </c>
      <c r="N10" s="87" t="s">
        <v>35</v>
      </c>
      <c r="O10" s="88"/>
      <c r="P10" s="89"/>
      <c r="Q10" s="75"/>
      <c r="R10" s="55" t="s">
        <v>40</v>
      </c>
      <c r="S10" s="54">
        <f>((U5-INT((V5*5)/2)*0.18)-0.2)*5</f>
        <v>4400.7</v>
      </c>
      <c r="T10" s="54">
        <f>((U5-INT((V5*5)/2)*0.18)+0.2)*5</f>
        <v>4402.7000000000007</v>
      </c>
      <c r="U10" s="10" t="s">
        <v>9</v>
      </c>
      <c r="V10" s="10" t="s">
        <v>9</v>
      </c>
      <c r="W10" s="87" t="s">
        <v>35</v>
      </c>
      <c r="X10" s="88"/>
      <c r="Y10" s="89"/>
      <c r="Z10" s="75"/>
      <c r="AA10" s="55" t="s">
        <v>40</v>
      </c>
      <c r="AB10" s="54">
        <f>((AD5-INT((AE5*5)/2)*0.18)-0.2)*5</f>
        <v>4475.7</v>
      </c>
      <c r="AC10" s="54">
        <f>((AD5-INT((AE5*5)/2)*0.18)+0.2)*5</f>
        <v>4477.7000000000007</v>
      </c>
      <c r="AD10" s="10" t="s">
        <v>9</v>
      </c>
      <c r="AE10" s="10" t="s">
        <v>9</v>
      </c>
      <c r="AF10" s="87" t="s">
        <v>35</v>
      </c>
      <c r="AG10" s="88"/>
      <c r="AH10" s="89"/>
      <c r="AI10" s="75"/>
      <c r="AJ10" s="55" t="s">
        <v>40</v>
      </c>
      <c r="AK10" s="54">
        <f>((AM5+INT((AN5*5)/2)*0.18)-0.2)*5</f>
        <v>4572.2999999999993</v>
      </c>
      <c r="AL10" s="54">
        <f>((AM5+INT((AN5*5)/2)*0.18)+0.2)*5</f>
        <v>4574.3</v>
      </c>
      <c r="AM10" s="10" t="s">
        <v>9</v>
      </c>
      <c r="AN10" s="10" t="s">
        <v>9</v>
      </c>
      <c r="AO10" s="87" t="s">
        <v>39</v>
      </c>
      <c r="AP10" s="88"/>
      <c r="AQ10" s="89"/>
      <c r="AR10" s="75"/>
      <c r="AS10" s="55" t="s">
        <v>40</v>
      </c>
      <c r="AT10" s="54">
        <f>(AV5-AW5/2)*5</f>
        <v>4400</v>
      </c>
      <c r="AU10" s="54">
        <f>(AV5+AW5/2)*5</f>
        <v>4425</v>
      </c>
      <c r="AV10" s="10" t="s">
        <v>9</v>
      </c>
      <c r="AW10" s="10" t="s">
        <v>9</v>
      </c>
      <c r="AX10" s="87" t="s">
        <v>39</v>
      </c>
      <c r="AY10" s="88"/>
      <c r="AZ10" s="89"/>
      <c r="BA10" s="75"/>
      <c r="BB10" s="55" t="s">
        <v>40</v>
      </c>
      <c r="BC10" s="54">
        <f>(BE5-BF5/2)*5</f>
        <v>4550</v>
      </c>
      <c r="BD10" s="54">
        <f>(BE5+BF5/2)*5</f>
        <v>4575</v>
      </c>
      <c r="BE10" s="10" t="s">
        <v>9</v>
      </c>
      <c r="BF10" s="10" t="s">
        <v>9</v>
      </c>
      <c r="BG10" s="87" t="s">
        <v>39</v>
      </c>
      <c r="BH10" s="88"/>
      <c r="BI10" s="89"/>
      <c r="BJ10" s="75"/>
      <c r="BK10" s="55" t="s">
        <v>40</v>
      </c>
      <c r="BL10" s="54">
        <f>((BN5-(INT((BO5*5)/2)-0.5)*0.18)-0.2)*5</f>
        <v>4401.95</v>
      </c>
      <c r="BM10" s="54">
        <f>((BN5-(INT((BO5*5)/2)-0.5)*0.18)+0.2)*5</f>
        <v>4403.9500000000007</v>
      </c>
      <c r="BN10" s="10" t="s">
        <v>9</v>
      </c>
      <c r="BO10" s="10" t="s">
        <v>9</v>
      </c>
      <c r="BP10" s="87" t="s">
        <v>39</v>
      </c>
      <c r="BQ10" s="88"/>
      <c r="BR10" s="89"/>
      <c r="BS10" s="75"/>
      <c r="BT10" s="55" t="s">
        <v>40</v>
      </c>
      <c r="BU10" s="54">
        <f>((BW5+(INT((BX5*5)/2)-0.5)*0.18)-0.2)*5</f>
        <v>4571.0499999999993</v>
      </c>
      <c r="BV10" s="54">
        <f>((BW5+(INT((BX5*5)/2)-0.5)*0.18)+0.2)*5</f>
        <v>4573.05</v>
      </c>
      <c r="BW10" s="10" t="s">
        <v>9</v>
      </c>
      <c r="BX10" s="10" t="s">
        <v>9</v>
      </c>
      <c r="BY10" s="87" t="s">
        <v>39</v>
      </c>
      <c r="BZ10" s="88"/>
      <c r="CA10" s="89"/>
      <c r="CB10" s="75"/>
      <c r="CC10" s="55" t="s">
        <v>40</v>
      </c>
      <c r="CD10" s="54">
        <f>(CF5-CG5/2)*5</f>
        <v>4400</v>
      </c>
      <c r="CE10" s="54">
        <f>(CF5+CG5/2)*5</f>
        <v>4450</v>
      </c>
      <c r="CF10" s="10" t="s">
        <v>9</v>
      </c>
      <c r="CG10" s="10" t="s">
        <v>9</v>
      </c>
      <c r="CH10" s="87" t="s">
        <v>39</v>
      </c>
      <c r="CI10" s="88"/>
      <c r="CJ10" s="89"/>
      <c r="CK10" s="75"/>
      <c r="CL10" s="55" t="s">
        <v>40</v>
      </c>
      <c r="CM10" s="54">
        <f>(CO5-CP5/2)*5</f>
        <v>4525</v>
      </c>
      <c r="CN10" s="54">
        <f>(CO5+CP5/2)*5</f>
        <v>4575</v>
      </c>
      <c r="CO10" s="10" t="s">
        <v>9</v>
      </c>
      <c r="CP10" s="10" t="s">
        <v>9</v>
      </c>
      <c r="CQ10" s="87" t="s">
        <v>35</v>
      </c>
      <c r="CR10" s="88"/>
      <c r="CS10" s="89"/>
      <c r="CT10" s="75"/>
      <c r="CU10" s="55" t="s">
        <v>40</v>
      </c>
    </row>
    <row r="11" spans="1:99" ht="15">
      <c r="A11" s="54">
        <f>((C5-2.5*0.18)-0.2)*6</f>
        <v>5280.2999999999993</v>
      </c>
      <c r="B11" s="54">
        <f>((C5-2.5*0.18)+0.2)*6</f>
        <v>5282.7000000000007</v>
      </c>
      <c r="C11" s="10" t="s">
        <v>9</v>
      </c>
      <c r="D11" s="10" t="s">
        <v>9</v>
      </c>
      <c r="E11" s="90" t="s">
        <v>35</v>
      </c>
      <c r="F11" s="90"/>
      <c r="G11" s="90"/>
      <c r="H11" s="75"/>
      <c r="I11" s="55" t="s">
        <v>41</v>
      </c>
      <c r="J11" s="54">
        <f>((L5-2.5*0.18)-0.2)*6</f>
        <v>5481.9</v>
      </c>
      <c r="K11" s="54">
        <f>((L5-2.5*0.18)+0.2)*6</f>
        <v>5484.2999999999993</v>
      </c>
      <c r="L11" s="10" t="s">
        <v>9</v>
      </c>
      <c r="M11" s="10" t="s">
        <v>9</v>
      </c>
      <c r="N11" s="90" t="s">
        <v>35</v>
      </c>
      <c r="O11" s="90"/>
      <c r="P11" s="90"/>
      <c r="Q11" s="75"/>
      <c r="R11" s="55" t="s">
        <v>41</v>
      </c>
      <c r="S11" s="54">
        <f>((U5-INT((V5*5)/2)*0.18)-0.2)*6</f>
        <v>5280.84</v>
      </c>
      <c r="T11" s="54">
        <f>((U5-INT((V5*5)/2)*0.18)+0.2)*6</f>
        <v>5283.2400000000007</v>
      </c>
      <c r="U11" s="10" t="s">
        <v>9</v>
      </c>
      <c r="V11" s="10" t="s">
        <v>9</v>
      </c>
      <c r="W11" s="90" t="s">
        <v>35</v>
      </c>
      <c r="X11" s="90"/>
      <c r="Y11" s="90"/>
      <c r="Z11" s="75"/>
      <c r="AA11" s="55" t="s">
        <v>41</v>
      </c>
      <c r="AB11" s="54">
        <f>((AD5-INT((AE5*5)/2)*0.18)-0.2)*6</f>
        <v>5370.84</v>
      </c>
      <c r="AC11" s="54">
        <f>((AD5-INT((AE5*5)/2)*0.18)+0.2)*6</f>
        <v>5373.2400000000007</v>
      </c>
      <c r="AD11" s="10" t="s">
        <v>9</v>
      </c>
      <c r="AE11" s="10" t="s">
        <v>9</v>
      </c>
      <c r="AF11" s="90" t="s">
        <v>35</v>
      </c>
      <c r="AG11" s="90"/>
      <c r="AH11" s="90"/>
      <c r="AI11" s="75"/>
      <c r="AJ11" s="55" t="s">
        <v>41</v>
      </c>
      <c r="AK11" s="54">
        <f>((AM5+INT((AN5*5)/2)*0.18)-0.2)*6</f>
        <v>5486.7599999999993</v>
      </c>
      <c r="AL11" s="54">
        <f>((AM5+INT((AN5*5)/2)*0.18)+0.2)*6</f>
        <v>5489.16</v>
      </c>
      <c r="AM11" s="10" t="s">
        <v>9</v>
      </c>
      <c r="AN11" s="10" t="s">
        <v>9</v>
      </c>
      <c r="AO11" s="87" t="s">
        <v>39</v>
      </c>
      <c r="AP11" s="88"/>
      <c r="AQ11" s="89"/>
      <c r="AR11" s="75"/>
      <c r="AS11" s="55" t="s">
        <v>41</v>
      </c>
      <c r="AT11" s="54">
        <f>(AV5-AW5/2)*6</f>
        <v>5280</v>
      </c>
      <c r="AU11" s="54">
        <f>(AV5+AW5/2)*6</f>
        <v>5310</v>
      </c>
      <c r="AV11" s="10" t="s">
        <v>9</v>
      </c>
      <c r="AW11" s="10" t="s">
        <v>9</v>
      </c>
      <c r="AX11" s="87" t="s">
        <v>39</v>
      </c>
      <c r="AY11" s="88"/>
      <c r="AZ11" s="89"/>
      <c r="BA11" s="75"/>
      <c r="BB11" s="55" t="s">
        <v>41</v>
      </c>
      <c r="BC11" s="54">
        <f>(BE5-BF5/2)*6</f>
        <v>5460</v>
      </c>
      <c r="BD11" s="54">
        <f>(BE5+BF5/2)*6</f>
        <v>5490</v>
      </c>
      <c r="BE11" s="10" t="s">
        <v>9</v>
      </c>
      <c r="BF11" s="10" t="s">
        <v>9</v>
      </c>
      <c r="BG11" s="87" t="s">
        <v>39</v>
      </c>
      <c r="BH11" s="88"/>
      <c r="BI11" s="89"/>
      <c r="BJ11" s="75"/>
      <c r="BK11" s="55" t="s">
        <v>41</v>
      </c>
      <c r="BL11" s="54">
        <f>((BN5-(INT((BO5*5)/2)-0.5)*0.18)-0.2)*6</f>
        <v>5282.34</v>
      </c>
      <c r="BM11" s="54">
        <f>((BN5-(INT((BO5*5)/2)-0.5)*0.18)+0.2)*6</f>
        <v>5284.7400000000007</v>
      </c>
      <c r="BN11" s="10" t="s">
        <v>9</v>
      </c>
      <c r="BO11" s="10" t="s">
        <v>9</v>
      </c>
      <c r="BP11" s="87" t="s">
        <v>39</v>
      </c>
      <c r="BQ11" s="88"/>
      <c r="BR11" s="89"/>
      <c r="BS11" s="75"/>
      <c r="BT11" s="55" t="s">
        <v>41</v>
      </c>
      <c r="BU11" s="54">
        <f>((BW5+(INT((BX5*5)/2)-0.5)*0.18)-0.2)*6</f>
        <v>5485.2599999999993</v>
      </c>
      <c r="BV11" s="54">
        <f>((BW5+(INT((BX5*5)/2)-0.5)*0.18)+0.2)*6</f>
        <v>5487.66</v>
      </c>
      <c r="BW11" s="10" t="s">
        <v>9</v>
      </c>
      <c r="BX11" s="10" t="s">
        <v>9</v>
      </c>
      <c r="BY11" s="87" t="s">
        <v>39</v>
      </c>
      <c r="BZ11" s="88"/>
      <c r="CA11" s="89"/>
      <c r="CB11" s="75"/>
      <c r="CC11" s="55" t="s">
        <v>41</v>
      </c>
      <c r="CD11" s="54">
        <f>(CF5-CG5/2)*6</f>
        <v>5280</v>
      </c>
      <c r="CE11" s="54">
        <f>(CF5+CG5/2)*6</f>
        <v>5340</v>
      </c>
      <c r="CF11" s="10" t="s">
        <v>9</v>
      </c>
      <c r="CG11" s="10" t="s">
        <v>9</v>
      </c>
      <c r="CH11" s="87" t="s">
        <v>39</v>
      </c>
      <c r="CI11" s="88"/>
      <c r="CJ11" s="89"/>
      <c r="CK11" s="75"/>
      <c r="CL11" s="55" t="s">
        <v>41</v>
      </c>
      <c r="CM11" s="54">
        <f>(CO5-CP5/2)*6</f>
        <v>5430</v>
      </c>
      <c r="CN11" s="54">
        <f>(CO5+CP5/2)*6</f>
        <v>5490</v>
      </c>
      <c r="CO11" s="10" t="s">
        <v>9</v>
      </c>
      <c r="CP11" s="10" t="s">
        <v>9</v>
      </c>
      <c r="CQ11" s="87" t="s">
        <v>35</v>
      </c>
      <c r="CR11" s="88"/>
      <c r="CS11" s="89"/>
      <c r="CT11" s="75"/>
      <c r="CU11" s="55" t="s">
        <v>41</v>
      </c>
    </row>
    <row r="12" spans="1:99" ht="15">
      <c r="A12" s="54">
        <f>((C5-2.5*0.18)-0.2)*7</f>
        <v>6160.3499999999995</v>
      </c>
      <c r="B12" s="54">
        <f>((C5-2.5*0.18)+0.2)*7</f>
        <v>6163.1500000000005</v>
      </c>
      <c r="C12" s="10" t="s">
        <v>9</v>
      </c>
      <c r="D12" s="10" t="s">
        <v>9</v>
      </c>
      <c r="E12" s="90" t="s">
        <v>35</v>
      </c>
      <c r="F12" s="90"/>
      <c r="G12" s="90"/>
      <c r="H12" s="75"/>
      <c r="I12" s="55" t="s">
        <v>62</v>
      </c>
      <c r="J12" s="54">
        <f>((L5-2.5*0.18)-0.2)*7</f>
        <v>6395.5499999999993</v>
      </c>
      <c r="K12" s="54">
        <f>((L5-2.5*0.18)+0.2)*7</f>
        <v>6398.3499999999995</v>
      </c>
      <c r="L12" s="10" t="s">
        <v>63</v>
      </c>
      <c r="M12" s="10" t="s">
        <v>9</v>
      </c>
      <c r="N12" s="87" t="s">
        <v>39</v>
      </c>
      <c r="O12" s="88"/>
      <c r="P12" s="89"/>
      <c r="Q12" s="75"/>
      <c r="R12" s="55" t="s">
        <v>62</v>
      </c>
      <c r="S12" s="54">
        <f>((U5-INT((V5*5)/2)*0.18)-0.2)*7</f>
        <v>6160.98</v>
      </c>
      <c r="T12" s="54">
        <f>((U5-INT((V5*5)/2)*0.18)+0.2)*7</f>
        <v>6163.7800000000007</v>
      </c>
      <c r="U12" s="10" t="s">
        <v>63</v>
      </c>
      <c r="V12" s="10" t="s">
        <v>9</v>
      </c>
      <c r="W12" s="87" t="s">
        <v>39</v>
      </c>
      <c r="X12" s="88"/>
      <c r="Y12" s="89"/>
      <c r="Z12" s="75"/>
      <c r="AA12" s="55" t="s">
        <v>62</v>
      </c>
      <c r="AB12" s="54">
        <f>((AD5-INT((AE5*5)/2)*0.18)-0.2)*7</f>
        <v>6265.98</v>
      </c>
      <c r="AC12" s="54">
        <f>((AD5-INT((AE5*5)/2)*0.18)+0.2)*7</f>
        <v>6268.7800000000007</v>
      </c>
      <c r="AD12" s="10" t="s">
        <v>9</v>
      </c>
      <c r="AE12" s="10" t="s">
        <v>9</v>
      </c>
      <c r="AF12" s="90" t="s">
        <v>64</v>
      </c>
      <c r="AG12" s="90"/>
      <c r="AH12" s="90"/>
      <c r="AI12" s="75"/>
      <c r="AJ12" s="55" t="s">
        <v>65</v>
      </c>
      <c r="AK12" s="54">
        <f>((AM5+INT((AN5*5)/2)*0.18)-0.2)*7</f>
        <v>6401.2199999999993</v>
      </c>
      <c r="AL12" s="54">
        <f>((AM5+INT((AN5*5)/2)*0.18)+0.2)*7</f>
        <v>6404.02</v>
      </c>
      <c r="AM12" s="10" t="s">
        <v>9</v>
      </c>
      <c r="AN12" s="10" t="s">
        <v>9</v>
      </c>
      <c r="AO12" s="87" t="s">
        <v>39</v>
      </c>
      <c r="AP12" s="88"/>
      <c r="AQ12" s="89"/>
      <c r="AR12" s="75"/>
      <c r="AS12" s="55" t="s">
        <v>65</v>
      </c>
      <c r="AT12" s="54">
        <f>(AV5-AW5/2)*7</f>
        <v>6160</v>
      </c>
      <c r="AU12" s="54">
        <f>(AV5+AW5/2)*7</f>
        <v>6195</v>
      </c>
      <c r="AV12" s="10" t="s">
        <v>9</v>
      </c>
      <c r="AW12" s="10" t="s">
        <v>9</v>
      </c>
      <c r="AX12" s="87" t="s">
        <v>39</v>
      </c>
      <c r="AY12" s="88"/>
      <c r="AZ12" s="89"/>
      <c r="BA12" s="75"/>
      <c r="BB12" s="55" t="s">
        <v>65</v>
      </c>
      <c r="BC12" s="54">
        <f>(BE5-BF5/2)*7</f>
        <v>6370</v>
      </c>
      <c r="BD12" s="54">
        <f>(BE5+BF5/2)*7</f>
        <v>6405</v>
      </c>
      <c r="BE12" s="10" t="s">
        <v>9</v>
      </c>
      <c r="BF12" s="10" t="s">
        <v>9</v>
      </c>
      <c r="BG12" s="87" t="s">
        <v>64</v>
      </c>
      <c r="BH12" s="88"/>
      <c r="BI12" s="89"/>
      <c r="BJ12" s="75"/>
      <c r="BK12" s="55" t="s">
        <v>65</v>
      </c>
      <c r="BL12" s="54">
        <f>((BN5-(INT((BO5*5)/2)-0.5)*0.18)-0.2)*7</f>
        <v>6162.73</v>
      </c>
      <c r="BM12" s="54">
        <f>((BN5-(INT((BO5*5)/2)-0.5)*0.18)+0.2)*7</f>
        <v>6165.5300000000007</v>
      </c>
      <c r="BN12" s="10" t="s">
        <v>9</v>
      </c>
      <c r="BO12" s="10" t="s">
        <v>9</v>
      </c>
      <c r="BP12" s="87" t="s">
        <v>39</v>
      </c>
      <c r="BQ12" s="88"/>
      <c r="BR12" s="89"/>
      <c r="BS12" s="75"/>
      <c r="BT12" s="55" t="s">
        <v>65</v>
      </c>
      <c r="BU12" s="54">
        <f>((BW5+(INT((BX5*5)/2)-0.5)*0.18)-0.2)*7</f>
        <v>6399.4699999999993</v>
      </c>
      <c r="BV12" s="54">
        <f>((BW5+(INT((BX5*5)/2)-0.5)*0.18)+0.2)*7</f>
        <v>6402.27</v>
      </c>
      <c r="BW12" s="10" t="s">
        <v>9</v>
      </c>
      <c r="BX12" s="10" t="s">
        <v>9</v>
      </c>
      <c r="BY12" s="87" t="s">
        <v>39</v>
      </c>
      <c r="BZ12" s="88"/>
      <c r="CA12" s="89"/>
      <c r="CB12" s="75"/>
      <c r="CC12" s="55" t="s">
        <v>65</v>
      </c>
      <c r="CD12" s="54">
        <f>(CF5-CG5/2)*7</f>
        <v>6160</v>
      </c>
      <c r="CE12" s="54">
        <f>(CF5+CG5/2)*7</f>
        <v>6230</v>
      </c>
      <c r="CF12" s="10" t="s">
        <v>9</v>
      </c>
      <c r="CG12" s="10" t="s">
        <v>9</v>
      </c>
      <c r="CH12" s="87" t="s">
        <v>39</v>
      </c>
      <c r="CI12" s="88"/>
      <c r="CJ12" s="89"/>
      <c r="CK12" s="75"/>
      <c r="CL12" s="55" t="s">
        <v>65</v>
      </c>
      <c r="CM12" s="54">
        <f>(CO5-CP5/2)*7</f>
        <v>6335</v>
      </c>
      <c r="CN12" s="54">
        <f>(CO5+CP5/2)*7</f>
        <v>6405</v>
      </c>
      <c r="CO12" s="10" t="s">
        <v>9</v>
      </c>
      <c r="CP12" s="10" t="s">
        <v>9</v>
      </c>
      <c r="CQ12" s="87" t="s">
        <v>64</v>
      </c>
      <c r="CR12" s="88"/>
      <c r="CS12" s="89"/>
      <c r="CT12" s="75"/>
      <c r="CU12" s="55" t="s">
        <v>65</v>
      </c>
    </row>
    <row r="13" spans="1:99" ht="15">
      <c r="A13" s="54">
        <f>((C5-2.5*0.18)-0.2)*8</f>
        <v>7040.4</v>
      </c>
      <c r="B13" s="54">
        <f>((C5-2.5*0.18)+0.2)*8</f>
        <v>7043.6</v>
      </c>
      <c r="C13" s="10" t="s">
        <v>9</v>
      </c>
      <c r="D13" s="10" t="s">
        <v>9</v>
      </c>
      <c r="E13" s="90" t="s">
        <v>35</v>
      </c>
      <c r="F13" s="90"/>
      <c r="G13" s="90"/>
      <c r="H13" s="75"/>
      <c r="I13" s="55" t="s">
        <v>66</v>
      </c>
      <c r="J13" s="54">
        <f>((L5-2.5*0.18)-0.2)*8</f>
        <v>7309.1999999999989</v>
      </c>
      <c r="K13" s="54">
        <f>((L5-2.5*0.18)+0.2)*8</f>
        <v>7312.4</v>
      </c>
      <c r="L13" s="10" t="s">
        <v>9</v>
      </c>
      <c r="M13" s="10" t="s">
        <v>9</v>
      </c>
      <c r="N13" s="87" t="s">
        <v>39</v>
      </c>
      <c r="O13" s="88"/>
      <c r="P13" s="89"/>
      <c r="Q13" s="75"/>
      <c r="R13" s="55" t="s">
        <v>66</v>
      </c>
      <c r="S13" s="54">
        <f>((U5-INT((V5*5)/2)*0.18)-0.2)*8</f>
        <v>7041.12</v>
      </c>
      <c r="T13" s="54">
        <f>((U5-INT((V5*5)/2)*0.18)+0.2)*8</f>
        <v>7044.3200000000006</v>
      </c>
      <c r="U13" s="10" t="s">
        <v>9</v>
      </c>
      <c r="V13" s="10" t="s">
        <v>9</v>
      </c>
      <c r="W13" s="87" t="s">
        <v>39</v>
      </c>
      <c r="X13" s="88"/>
      <c r="Y13" s="89"/>
      <c r="Z13" s="75"/>
      <c r="AA13" s="55" t="s">
        <v>66</v>
      </c>
      <c r="AB13" s="54">
        <f>((AD5-INT((AE5*5)/2)*0.18)-0.2)*8</f>
        <v>7161.12</v>
      </c>
      <c r="AC13" s="54">
        <f>((AD5-INT((AE5*5)/2)*0.18)+0.2)*8</f>
        <v>7164.3200000000006</v>
      </c>
      <c r="AD13" s="10" t="s">
        <v>9</v>
      </c>
      <c r="AE13" s="10" t="s">
        <v>9</v>
      </c>
      <c r="AF13" s="90" t="s">
        <v>67</v>
      </c>
      <c r="AG13" s="90"/>
      <c r="AH13" s="90"/>
      <c r="AI13" s="75"/>
      <c r="AJ13" s="55" t="s">
        <v>68</v>
      </c>
      <c r="AK13" s="54">
        <f>((AM5+INT((AN5*5)/2)*0.18)-0.2)*8</f>
        <v>7315.6799999999994</v>
      </c>
      <c r="AL13" s="54">
        <f>((AM5+INT((AN5*5)/2)*0.18)+0.2)*8</f>
        <v>7318.88</v>
      </c>
      <c r="AM13" s="10" t="s">
        <v>9</v>
      </c>
      <c r="AN13" s="10" t="s">
        <v>9</v>
      </c>
      <c r="AO13" s="87" t="s">
        <v>39</v>
      </c>
      <c r="AP13" s="88"/>
      <c r="AQ13" s="89"/>
      <c r="AR13" s="75"/>
      <c r="AS13" s="55" t="s">
        <v>68</v>
      </c>
      <c r="AT13" s="54">
        <f>(AV5-AW5/2)*8</f>
        <v>7040</v>
      </c>
      <c r="AU13" s="54">
        <f>(AV5+AW5/2)*8</f>
        <v>7080</v>
      </c>
      <c r="AV13" s="10" t="s">
        <v>9</v>
      </c>
      <c r="AW13" s="10" t="s">
        <v>9</v>
      </c>
      <c r="AX13" s="87" t="s">
        <v>39</v>
      </c>
      <c r="AY13" s="88"/>
      <c r="AZ13" s="89"/>
      <c r="BA13" s="75"/>
      <c r="BB13" s="55" t="s">
        <v>68</v>
      </c>
      <c r="BC13" s="54">
        <f>(BE5-BF5/2)*8</f>
        <v>7280</v>
      </c>
      <c r="BD13" s="54">
        <f>(BE5+BF5/2)*8</f>
        <v>7320</v>
      </c>
      <c r="BE13" s="10" t="s">
        <v>9</v>
      </c>
      <c r="BF13" s="10" t="s">
        <v>9</v>
      </c>
      <c r="BG13" s="87" t="s">
        <v>67</v>
      </c>
      <c r="BH13" s="88"/>
      <c r="BI13" s="89"/>
      <c r="BJ13" s="75"/>
      <c r="BK13" s="55" t="s">
        <v>68</v>
      </c>
      <c r="BL13" s="54">
        <f>((BN5-(INT((BO5*5)/2)-0.5)*0.18)-0.2)*8</f>
        <v>7043.12</v>
      </c>
      <c r="BM13" s="54">
        <f>((BN5-(INT((BO5*5)/2)-0.5)*0.18)+0.2)*8</f>
        <v>7046.3200000000006</v>
      </c>
      <c r="BN13" s="10" t="s">
        <v>9</v>
      </c>
      <c r="BO13" s="10" t="s">
        <v>9</v>
      </c>
      <c r="BP13" s="87" t="s">
        <v>39</v>
      </c>
      <c r="BQ13" s="88"/>
      <c r="BR13" s="89"/>
      <c r="BS13" s="75"/>
      <c r="BT13" s="55" t="s">
        <v>68</v>
      </c>
      <c r="BU13" s="54">
        <f>((BW5+(INT((BX5*5)/2)-0.5)*0.18)-0.2)*8</f>
        <v>7313.6799999999994</v>
      </c>
      <c r="BV13" s="54">
        <f>((BW5+(INT((BX5*5)/2)-0.5)*0.18)+0.2)*8</f>
        <v>7316.88</v>
      </c>
      <c r="BW13" s="10" t="s">
        <v>9</v>
      </c>
      <c r="BX13" s="10" t="s">
        <v>9</v>
      </c>
      <c r="BY13" s="87" t="s">
        <v>39</v>
      </c>
      <c r="BZ13" s="88"/>
      <c r="CA13" s="89"/>
      <c r="CB13" s="75"/>
      <c r="CC13" s="55" t="s">
        <v>68</v>
      </c>
      <c r="CD13" s="54">
        <f>(CF5-CG5/2)*8</f>
        <v>7040</v>
      </c>
      <c r="CE13" s="54">
        <f>(CF5+CG5/2)*8</f>
        <v>7120</v>
      </c>
      <c r="CF13" s="10" t="s">
        <v>9</v>
      </c>
      <c r="CG13" s="10" t="s">
        <v>9</v>
      </c>
      <c r="CH13" s="87" t="s">
        <v>39</v>
      </c>
      <c r="CI13" s="88"/>
      <c r="CJ13" s="89"/>
      <c r="CK13" s="75"/>
      <c r="CL13" s="55" t="s">
        <v>68</v>
      </c>
      <c r="CM13" s="54">
        <f>(CO5-CP5/2)*8</f>
        <v>7240</v>
      </c>
      <c r="CN13" s="54">
        <f>(CO5+CP5/2)*8</f>
        <v>7320</v>
      </c>
      <c r="CO13" s="10" t="s">
        <v>9</v>
      </c>
      <c r="CP13" s="10" t="s">
        <v>9</v>
      </c>
      <c r="CQ13" s="87" t="s">
        <v>67</v>
      </c>
      <c r="CR13" s="88"/>
      <c r="CS13" s="89"/>
      <c r="CT13" s="75"/>
      <c r="CU13" s="55" t="s">
        <v>68</v>
      </c>
    </row>
    <row r="14" spans="1:99" ht="15">
      <c r="A14" s="54">
        <f>((C5-2.5*0.18)-0.2)*9</f>
        <v>7920.45</v>
      </c>
      <c r="B14" s="54">
        <f>((C5-2.5*0.18)+0.2)*9</f>
        <v>7924.05</v>
      </c>
      <c r="C14" s="10" t="s">
        <v>9</v>
      </c>
      <c r="D14" s="10" t="s">
        <v>9</v>
      </c>
      <c r="E14" s="90" t="s">
        <v>35</v>
      </c>
      <c r="F14" s="90"/>
      <c r="G14" s="90"/>
      <c r="H14" s="75"/>
      <c r="I14" s="55" t="s">
        <v>69</v>
      </c>
      <c r="J14" s="54">
        <f>((L5-2.5*0.18)-0.2)*9</f>
        <v>8222.8499999999985</v>
      </c>
      <c r="K14" s="54">
        <f>((L5-2.5*0.18)+0.2)*9</f>
        <v>8226.4499999999989</v>
      </c>
      <c r="L14" s="10" t="s">
        <v>9</v>
      </c>
      <c r="M14" s="10" t="s">
        <v>9</v>
      </c>
      <c r="N14" s="87" t="s">
        <v>39</v>
      </c>
      <c r="O14" s="88"/>
      <c r="P14" s="89"/>
      <c r="Q14" s="75"/>
      <c r="R14" s="55" t="s">
        <v>69</v>
      </c>
      <c r="S14" s="54">
        <f>((U5-INT((V5*5)/2)*0.18)-0.2)*9</f>
        <v>7921.26</v>
      </c>
      <c r="T14" s="54">
        <f>((U5-INT((V5*5)/2)*0.18)+0.2)*9</f>
        <v>7924.8600000000006</v>
      </c>
      <c r="U14" s="10" t="s">
        <v>9</v>
      </c>
      <c r="V14" s="10" t="s">
        <v>9</v>
      </c>
      <c r="W14" s="87" t="s">
        <v>39</v>
      </c>
      <c r="X14" s="88"/>
      <c r="Y14" s="89"/>
      <c r="Z14" s="75"/>
      <c r="AA14" s="55" t="s">
        <v>69</v>
      </c>
      <c r="AB14" s="54">
        <f>((AD5-INT((AE5*5)/2)*0.18)-0.2)*9</f>
        <v>8056.26</v>
      </c>
      <c r="AC14" s="54">
        <f>((AD5-INT((AE5*5)/2)*0.18)+0.2)*9</f>
        <v>8059.8600000000006</v>
      </c>
      <c r="AD14" s="10" t="s">
        <v>9</v>
      </c>
      <c r="AE14" s="10" t="s">
        <v>9</v>
      </c>
      <c r="AF14" s="90" t="s">
        <v>70</v>
      </c>
      <c r="AG14" s="90"/>
      <c r="AH14" s="90"/>
      <c r="AI14" s="75"/>
      <c r="AJ14" s="55" t="s">
        <v>71</v>
      </c>
      <c r="AK14" s="54">
        <f>((AM5+INT((AN5*5)/2)*0.18)-0.2)*9</f>
        <v>8230.14</v>
      </c>
      <c r="AL14" s="54">
        <f>((AM5+INT((AN5*5)/2)*0.18)+0.2)*9</f>
        <v>8233.74</v>
      </c>
      <c r="AM14" s="10" t="s">
        <v>9</v>
      </c>
      <c r="AN14" s="10" t="s">
        <v>9</v>
      </c>
      <c r="AO14" s="87" t="s">
        <v>39</v>
      </c>
      <c r="AP14" s="88"/>
      <c r="AQ14" s="89"/>
      <c r="AR14" s="75"/>
      <c r="AS14" s="55" t="s">
        <v>71</v>
      </c>
      <c r="AT14" s="54">
        <f>(AV5-AW5/2)*9</f>
        <v>7920</v>
      </c>
      <c r="AU14" s="54">
        <f>(AV5+AW5/2)*9</f>
        <v>7965</v>
      </c>
      <c r="AV14" s="10" t="s">
        <v>9</v>
      </c>
      <c r="AW14" s="10" t="s">
        <v>9</v>
      </c>
      <c r="AX14" s="87" t="s">
        <v>39</v>
      </c>
      <c r="AY14" s="88"/>
      <c r="AZ14" s="89"/>
      <c r="BA14" s="75"/>
      <c r="BB14" s="55" t="s">
        <v>71</v>
      </c>
      <c r="BC14" s="54">
        <f>(BE5-BF5/2)*9</f>
        <v>8190</v>
      </c>
      <c r="BD14" s="54">
        <f>(BE5+BF5/2)*9</f>
        <v>8235</v>
      </c>
      <c r="BE14" s="10" t="s">
        <v>9</v>
      </c>
      <c r="BF14" s="10" t="s">
        <v>9</v>
      </c>
      <c r="BG14" s="87" t="s">
        <v>70</v>
      </c>
      <c r="BH14" s="88"/>
      <c r="BI14" s="89"/>
      <c r="BJ14" s="75"/>
      <c r="BK14" s="55" t="s">
        <v>71</v>
      </c>
      <c r="BL14" s="54">
        <f>((BN5-(INT((BO5*5)/2)-0.5)*0.18)-0.2)*9</f>
        <v>7923.51</v>
      </c>
      <c r="BM14" s="54">
        <f>((BN5-(INT((BO5*5)/2)-0.5)*0.18)+0.2)*9</f>
        <v>7927.1100000000006</v>
      </c>
      <c r="BN14" s="10" t="s">
        <v>9</v>
      </c>
      <c r="BO14" s="10" t="s">
        <v>9</v>
      </c>
      <c r="BP14" s="87" t="s">
        <v>39</v>
      </c>
      <c r="BQ14" s="88"/>
      <c r="BR14" s="89"/>
      <c r="BS14" s="75"/>
      <c r="BT14" s="55" t="s">
        <v>71</v>
      </c>
      <c r="BU14" s="54">
        <f>((BW5+(INT((BX5*5)/2)-0.5)*0.18)-0.2)*9</f>
        <v>8227.89</v>
      </c>
      <c r="BV14" s="54">
        <f>((BW5+(INT((BX5*5)/2)-0.5)*0.18)+0.2)*9</f>
        <v>8231.49</v>
      </c>
      <c r="BW14" s="10" t="s">
        <v>9</v>
      </c>
      <c r="BX14" s="10" t="s">
        <v>9</v>
      </c>
      <c r="BY14" s="87" t="s">
        <v>39</v>
      </c>
      <c r="BZ14" s="88"/>
      <c r="CA14" s="89"/>
      <c r="CB14" s="75"/>
      <c r="CC14" s="55" t="s">
        <v>71</v>
      </c>
      <c r="CD14" s="54">
        <f>(CF5-CG5/2)*9</f>
        <v>7920</v>
      </c>
      <c r="CE14" s="54">
        <f>(CF5+CG5/2)*9</f>
        <v>8010</v>
      </c>
      <c r="CF14" s="10" t="s">
        <v>9</v>
      </c>
      <c r="CG14" s="10" t="s">
        <v>9</v>
      </c>
      <c r="CH14" s="87" t="s">
        <v>39</v>
      </c>
      <c r="CI14" s="88"/>
      <c r="CJ14" s="89"/>
      <c r="CK14" s="75"/>
      <c r="CL14" s="55" t="s">
        <v>71</v>
      </c>
      <c r="CM14" s="54">
        <f>(CO5-CP5/2)*9</f>
        <v>8145</v>
      </c>
      <c r="CN14" s="54">
        <f>(CO5+CP5/2)*9</f>
        <v>8235</v>
      </c>
      <c r="CO14" s="10" t="s">
        <v>9</v>
      </c>
      <c r="CP14" s="10" t="s">
        <v>9</v>
      </c>
      <c r="CQ14" s="87" t="s">
        <v>70</v>
      </c>
      <c r="CR14" s="88"/>
      <c r="CS14" s="89"/>
      <c r="CT14" s="75"/>
      <c r="CU14" s="55" t="s">
        <v>71</v>
      </c>
    </row>
    <row r="15" spans="1:99" ht="15">
      <c r="A15" s="54">
        <f>((C5-2.5*0.18)-0.2)*10</f>
        <v>8800.5</v>
      </c>
      <c r="B15" s="54">
        <f>((C5-2.5*0.18)+0.2)*10</f>
        <v>8804.5</v>
      </c>
      <c r="C15" s="10" t="s">
        <v>9</v>
      </c>
      <c r="D15" s="10" t="s">
        <v>9</v>
      </c>
      <c r="E15" s="90" t="s">
        <v>35</v>
      </c>
      <c r="F15" s="90"/>
      <c r="G15" s="90"/>
      <c r="H15" s="75"/>
      <c r="I15" s="55" t="s">
        <v>72</v>
      </c>
      <c r="J15" s="54">
        <f>((L5-2.5*0.18)-0.2)*10</f>
        <v>9136.4999999999982</v>
      </c>
      <c r="K15" s="54">
        <f>((L5-2.5*0.18)+0.2)*10</f>
        <v>9140.5</v>
      </c>
      <c r="L15" s="10" t="s">
        <v>9</v>
      </c>
      <c r="M15" s="10" t="s">
        <v>9</v>
      </c>
      <c r="N15" s="87" t="s">
        <v>39</v>
      </c>
      <c r="O15" s="88"/>
      <c r="P15" s="89"/>
      <c r="Q15" s="75"/>
      <c r="R15" s="55" t="s">
        <v>72</v>
      </c>
      <c r="S15" s="54">
        <f>((U5-INT((V5*5)/2)*0.18)-0.2)*10</f>
        <v>8801.4</v>
      </c>
      <c r="T15" s="54">
        <f>((U5-INT((V5*5)/2)*0.18)+0.2)*10</f>
        <v>8805.4000000000015</v>
      </c>
      <c r="U15" s="10" t="s">
        <v>9</v>
      </c>
      <c r="V15" s="10" t="s">
        <v>9</v>
      </c>
      <c r="W15" s="87" t="s">
        <v>39</v>
      </c>
      <c r="X15" s="88"/>
      <c r="Y15" s="89"/>
      <c r="Z15" s="75"/>
      <c r="AA15" s="55" t="s">
        <v>72</v>
      </c>
      <c r="AB15" s="54">
        <f>((AD5-INT((AE5*5)/2)*0.18)-0.2)*10</f>
        <v>8951.4</v>
      </c>
      <c r="AC15" s="54">
        <f>((AD5-INT((AE5*5)/2)*0.18)+0.2)*10</f>
        <v>8955.4000000000015</v>
      </c>
      <c r="AD15" s="10" t="s">
        <v>9</v>
      </c>
      <c r="AE15" s="10" t="s">
        <v>9</v>
      </c>
      <c r="AF15" s="90" t="s">
        <v>73</v>
      </c>
      <c r="AG15" s="90"/>
      <c r="AH15" s="90"/>
      <c r="AI15" s="75"/>
      <c r="AJ15" s="55" t="s">
        <v>74</v>
      </c>
      <c r="AK15" s="54">
        <f>((AM5+INT((AN5*5)/2)*0.18)-0.2)*10</f>
        <v>9144.5999999999985</v>
      </c>
      <c r="AL15" s="54">
        <f>((AM5+INT((AN5*5)/2)*0.18)+0.2)*10</f>
        <v>9148.6</v>
      </c>
      <c r="AM15" s="10" t="s">
        <v>9</v>
      </c>
      <c r="AN15" s="10" t="s">
        <v>9</v>
      </c>
      <c r="AO15" s="87" t="s">
        <v>39</v>
      </c>
      <c r="AP15" s="88"/>
      <c r="AQ15" s="89"/>
      <c r="AR15" s="75"/>
      <c r="AS15" s="55" t="s">
        <v>74</v>
      </c>
      <c r="AT15" s="54">
        <f>(AV5-AW5/2)*10</f>
        <v>8800</v>
      </c>
      <c r="AU15" s="54">
        <f>(AV5+AW5/2)*10</f>
        <v>8850</v>
      </c>
      <c r="AV15" s="10" t="s">
        <v>9</v>
      </c>
      <c r="AW15" s="10" t="s">
        <v>9</v>
      </c>
      <c r="AX15" s="87" t="s">
        <v>39</v>
      </c>
      <c r="AY15" s="88"/>
      <c r="AZ15" s="89"/>
      <c r="BA15" s="75"/>
      <c r="BB15" s="55" t="s">
        <v>74</v>
      </c>
      <c r="BC15" s="54">
        <f>(BE5-BF5/2)*10</f>
        <v>9100</v>
      </c>
      <c r="BD15" s="54">
        <f>(BE5+BF5/2)*10</f>
        <v>9150</v>
      </c>
      <c r="BE15" s="10" t="s">
        <v>9</v>
      </c>
      <c r="BF15" s="10" t="s">
        <v>9</v>
      </c>
      <c r="BG15" s="87" t="s">
        <v>73</v>
      </c>
      <c r="BH15" s="88"/>
      <c r="BI15" s="89"/>
      <c r="BJ15" s="75"/>
      <c r="BK15" s="55" t="s">
        <v>74</v>
      </c>
      <c r="BL15" s="54">
        <f>((BN5-(INT((BO5*5)/2)-0.5)*0.18)-0.2)*10</f>
        <v>8803.9</v>
      </c>
      <c r="BM15" s="54">
        <f>((BN5-(INT((BO5*5)/2)-0.5)*0.18)+0.2)*10</f>
        <v>8807.9000000000015</v>
      </c>
      <c r="BN15" s="10" t="s">
        <v>9</v>
      </c>
      <c r="BO15" s="10" t="s">
        <v>9</v>
      </c>
      <c r="BP15" s="87" t="s">
        <v>39</v>
      </c>
      <c r="BQ15" s="88"/>
      <c r="BR15" s="89"/>
      <c r="BS15" s="75"/>
      <c r="BT15" s="55" t="s">
        <v>74</v>
      </c>
      <c r="BU15" s="54">
        <f>((BW5+(INT((BX5*5)/2)-0.5)*0.18)-0.2)*10</f>
        <v>9142.0999999999985</v>
      </c>
      <c r="BV15" s="54">
        <f>((BW5+(INT((BX5*5)/2)-0.5)*0.18)+0.2)*10</f>
        <v>9146.1</v>
      </c>
      <c r="BW15" s="10" t="s">
        <v>9</v>
      </c>
      <c r="BX15" s="10" t="s">
        <v>9</v>
      </c>
      <c r="BY15" s="87" t="s">
        <v>39</v>
      </c>
      <c r="BZ15" s="88"/>
      <c r="CA15" s="89"/>
      <c r="CB15" s="75"/>
      <c r="CC15" s="55" t="s">
        <v>74</v>
      </c>
      <c r="CD15" s="54">
        <f>(CF5-CG5/2)*10</f>
        <v>8800</v>
      </c>
      <c r="CE15" s="54">
        <f>(CF5+CG5/2)*10</f>
        <v>8900</v>
      </c>
      <c r="CF15" s="10" t="s">
        <v>9</v>
      </c>
      <c r="CG15" s="10" t="s">
        <v>9</v>
      </c>
      <c r="CH15" s="87" t="s">
        <v>39</v>
      </c>
      <c r="CI15" s="88"/>
      <c r="CJ15" s="89"/>
      <c r="CK15" s="75"/>
      <c r="CL15" s="55" t="s">
        <v>74</v>
      </c>
      <c r="CM15" s="54">
        <f>(CO5-CP5/2)*10</f>
        <v>9050</v>
      </c>
      <c r="CN15" s="54">
        <f>(CO5+CP5/2)*10</f>
        <v>9150</v>
      </c>
      <c r="CO15" s="10" t="s">
        <v>9</v>
      </c>
      <c r="CP15" s="10" t="s">
        <v>9</v>
      </c>
      <c r="CQ15" s="87" t="s">
        <v>73</v>
      </c>
      <c r="CR15" s="88"/>
      <c r="CS15" s="89"/>
      <c r="CT15" s="75"/>
      <c r="CU15" s="55" t="s">
        <v>74</v>
      </c>
    </row>
    <row r="16" spans="1:99" ht="15">
      <c r="A16" s="54">
        <f>((C5-2.5*0.18)-0.2)*11</f>
        <v>9680.5499999999993</v>
      </c>
      <c r="B16" s="54">
        <f>((C5-2.5*0.18)+0.2)*11</f>
        <v>9684.9500000000007</v>
      </c>
      <c r="C16" s="10" t="s">
        <v>9</v>
      </c>
      <c r="D16" s="10" t="s">
        <v>9</v>
      </c>
      <c r="E16" s="90" t="s">
        <v>35</v>
      </c>
      <c r="F16" s="90"/>
      <c r="G16" s="90"/>
      <c r="H16" s="75"/>
      <c r="I16" s="55" t="s">
        <v>75</v>
      </c>
      <c r="J16" s="54">
        <f>((L5-2.5*0.18)-0.2)*11</f>
        <v>10050.149999999998</v>
      </c>
      <c r="K16" s="54">
        <f>((L5-2.5*0.18)+0.2)*11</f>
        <v>10054.549999999999</v>
      </c>
      <c r="L16" s="10" t="s">
        <v>9</v>
      </c>
      <c r="M16" s="10" t="s">
        <v>9</v>
      </c>
      <c r="N16" s="87" t="s">
        <v>39</v>
      </c>
      <c r="O16" s="88"/>
      <c r="P16" s="89"/>
      <c r="Q16" s="75"/>
      <c r="R16" s="55" t="s">
        <v>75</v>
      </c>
      <c r="S16" s="54">
        <f>((U5-INT((V5*5)/2)*0.18)-0.2)*11</f>
        <v>9681.5399999999991</v>
      </c>
      <c r="T16" s="54">
        <f>((U5-INT((V5*5)/2)*0.18)+0.2)*12</f>
        <v>10566.480000000001</v>
      </c>
      <c r="U16" s="10" t="s">
        <v>9</v>
      </c>
      <c r="V16" s="10" t="s">
        <v>9</v>
      </c>
      <c r="W16" s="87" t="s">
        <v>39</v>
      </c>
      <c r="X16" s="88"/>
      <c r="Y16" s="89"/>
      <c r="Z16" s="75"/>
      <c r="AA16" s="55" t="s">
        <v>75</v>
      </c>
      <c r="AB16" s="54">
        <f>((AD5-INT((AE5*5)/2)*0.18)-0.2)*11</f>
        <v>9846.5399999999991</v>
      </c>
      <c r="AC16" s="54">
        <f>((AD5-INT((AE5*5)/2)*0.18)+0.2)*11</f>
        <v>9850.94</v>
      </c>
      <c r="AD16" s="10" t="s">
        <v>9</v>
      </c>
      <c r="AE16" s="10" t="s">
        <v>9</v>
      </c>
      <c r="AF16" s="90" t="s">
        <v>76</v>
      </c>
      <c r="AG16" s="90"/>
      <c r="AH16" s="90"/>
      <c r="AI16" s="75"/>
      <c r="AJ16" s="55" t="s">
        <v>77</v>
      </c>
      <c r="AK16" s="54">
        <f>((AM5+INT((AN5*5)/2)*0.18)-0.2)*11</f>
        <v>10059.06</v>
      </c>
      <c r="AL16" s="54">
        <f>((AM5+INT((AN5*5)/2)*0.18)+0.2)*11</f>
        <v>10063.460000000001</v>
      </c>
      <c r="AM16" s="10" t="s">
        <v>9</v>
      </c>
      <c r="AN16" s="10" t="s">
        <v>9</v>
      </c>
      <c r="AO16" s="87" t="s">
        <v>39</v>
      </c>
      <c r="AP16" s="88"/>
      <c r="AQ16" s="89"/>
      <c r="AR16" s="75"/>
      <c r="AS16" s="55" t="s">
        <v>77</v>
      </c>
      <c r="AT16" s="54">
        <f>(AV5-AW5/2)*11</f>
        <v>9680</v>
      </c>
      <c r="AU16" s="54">
        <f>(AV5+AW5/2)*11</f>
        <v>9735</v>
      </c>
      <c r="AV16" s="10" t="s">
        <v>9</v>
      </c>
      <c r="AW16" s="10" t="s">
        <v>9</v>
      </c>
      <c r="AX16" s="87" t="s">
        <v>39</v>
      </c>
      <c r="AY16" s="88"/>
      <c r="AZ16" s="89"/>
      <c r="BA16" s="75"/>
      <c r="BB16" s="55" t="s">
        <v>77</v>
      </c>
      <c r="BC16" s="54">
        <f>(BE5-BF5/2)*11</f>
        <v>10010</v>
      </c>
      <c r="BD16" s="54">
        <f>(BE5+BF5/2)*11</f>
        <v>10065</v>
      </c>
      <c r="BE16" s="10" t="s">
        <v>9</v>
      </c>
      <c r="BF16" s="10" t="s">
        <v>9</v>
      </c>
      <c r="BG16" s="87" t="s">
        <v>76</v>
      </c>
      <c r="BH16" s="88"/>
      <c r="BI16" s="89"/>
      <c r="BJ16" s="75"/>
      <c r="BK16" s="55" t="s">
        <v>77</v>
      </c>
      <c r="BL16" s="54">
        <f>((BN5-(INT((BO5*5)/2)-0.5)*0.18)-0.2)*11</f>
        <v>9684.2899999999991</v>
      </c>
      <c r="BM16" s="54">
        <f>((BN5-(INT((BO5*5)/2)-0.5)*0.18)+0.2)*11</f>
        <v>9688.69</v>
      </c>
      <c r="BN16" s="10" t="s">
        <v>9</v>
      </c>
      <c r="BO16" s="10" t="s">
        <v>9</v>
      </c>
      <c r="BP16" s="87" t="s">
        <v>39</v>
      </c>
      <c r="BQ16" s="88"/>
      <c r="BR16" s="89"/>
      <c r="BS16" s="75"/>
      <c r="BT16" s="55" t="s">
        <v>77</v>
      </c>
      <c r="BU16" s="54">
        <f>((BW5+(INT((BX5*5)/2)-0.5)*0.18)-0.2)*11</f>
        <v>10056.31</v>
      </c>
      <c r="BV16" s="54">
        <f>((BW5+(INT((BX5*5)/2)-0.5)*0.18)+0.2)*11</f>
        <v>10060.710000000001</v>
      </c>
      <c r="BW16" s="10" t="s">
        <v>9</v>
      </c>
      <c r="BX16" s="10" t="s">
        <v>9</v>
      </c>
      <c r="BY16" s="87" t="s">
        <v>39</v>
      </c>
      <c r="BZ16" s="88"/>
      <c r="CA16" s="89"/>
      <c r="CB16" s="75"/>
      <c r="CC16" s="55" t="s">
        <v>77</v>
      </c>
      <c r="CD16" s="54">
        <f>(CF5-CG5/2)*11</f>
        <v>9680</v>
      </c>
      <c r="CE16" s="54">
        <f>(CF5+CG5/2)*11</f>
        <v>9790</v>
      </c>
      <c r="CF16" s="10" t="s">
        <v>9</v>
      </c>
      <c r="CG16" s="10" t="s">
        <v>9</v>
      </c>
      <c r="CH16" s="87" t="s">
        <v>39</v>
      </c>
      <c r="CI16" s="88"/>
      <c r="CJ16" s="89"/>
      <c r="CK16" s="75"/>
      <c r="CL16" s="55" t="s">
        <v>77</v>
      </c>
      <c r="CM16" s="54">
        <f>(CO5-CP5/2)*11</f>
        <v>9955</v>
      </c>
      <c r="CN16" s="54">
        <f>(CO5+CP5/2)*11</f>
        <v>10065</v>
      </c>
      <c r="CO16" s="10" t="s">
        <v>9</v>
      </c>
      <c r="CP16" s="10" t="s">
        <v>9</v>
      </c>
      <c r="CQ16" s="87" t="s">
        <v>76</v>
      </c>
      <c r="CR16" s="88"/>
      <c r="CS16" s="89"/>
      <c r="CT16" s="75"/>
      <c r="CU16" s="55" t="s">
        <v>77</v>
      </c>
    </row>
    <row r="17" spans="1:99" ht="15">
      <c r="A17" s="54">
        <f>((C5-2.5*0.18)-0.2)*12</f>
        <v>10560.599999999999</v>
      </c>
      <c r="B17" s="54">
        <f>((C5-2.5*0.18)+0.2)*12</f>
        <v>10565.400000000001</v>
      </c>
      <c r="C17" s="10" t="s">
        <v>9</v>
      </c>
      <c r="D17" s="10" t="s">
        <v>9</v>
      </c>
      <c r="E17" s="90" t="s">
        <v>35</v>
      </c>
      <c r="F17" s="90"/>
      <c r="G17" s="90"/>
      <c r="H17" s="75"/>
      <c r="I17" s="55" t="s">
        <v>78</v>
      </c>
      <c r="J17" s="54">
        <f>((L5-2.5*0.18)-0.2)*12</f>
        <v>10963.8</v>
      </c>
      <c r="K17" s="54">
        <f>((L5-2.5*0.18)+0.2)*12</f>
        <v>10968.599999999999</v>
      </c>
      <c r="L17" s="10" t="s">
        <v>9</v>
      </c>
      <c r="M17" s="10" t="s">
        <v>9</v>
      </c>
      <c r="N17" s="87" t="s">
        <v>39</v>
      </c>
      <c r="O17" s="88"/>
      <c r="P17" s="89"/>
      <c r="Q17" s="75"/>
      <c r="R17" s="55" t="s">
        <v>78</v>
      </c>
      <c r="S17" s="54">
        <f>((U5-INT((V5*5)/2)*0.18)-0.2)*13</f>
        <v>11441.82</v>
      </c>
      <c r="T17" s="54">
        <f>((U5-INT((V5*5)/2)*0.18)+0.2)*14</f>
        <v>12327.560000000001</v>
      </c>
      <c r="U17" s="10" t="s">
        <v>9</v>
      </c>
      <c r="V17" s="10" t="s">
        <v>9</v>
      </c>
      <c r="W17" s="87" t="s">
        <v>39</v>
      </c>
      <c r="X17" s="88"/>
      <c r="Y17" s="89"/>
      <c r="Z17" s="75"/>
      <c r="AA17" s="55" t="s">
        <v>78</v>
      </c>
      <c r="AB17" s="54">
        <f>((AD5-INT((AE5*5)/2)*0.18)-0.2)*12</f>
        <v>10741.68</v>
      </c>
      <c r="AC17" s="54">
        <f>((AD5-INT((AE5*5)/2)*0.18)+0.2)*12</f>
        <v>10746.480000000001</v>
      </c>
      <c r="AD17" s="10" t="s">
        <v>9</v>
      </c>
      <c r="AE17" s="10" t="s">
        <v>9</v>
      </c>
      <c r="AF17" s="90" t="s">
        <v>79</v>
      </c>
      <c r="AG17" s="90"/>
      <c r="AH17" s="90"/>
      <c r="AI17" s="75"/>
      <c r="AJ17" s="55" t="s">
        <v>80</v>
      </c>
      <c r="AK17" s="54">
        <f>((AM5+INT((AN5*5)/2)*0.18)-0.2)*12</f>
        <v>10973.519999999999</v>
      </c>
      <c r="AL17" s="54">
        <f>((AM5+INT((AN5*5)/2)*0.18)+0.2)*12</f>
        <v>10978.32</v>
      </c>
      <c r="AM17" s="10" t="s">
        <v>9</v>
      </c>
      <c r="AN17" s="10" t="s">
        <v>9</v>
      </c>
      <c r="AO17" s="87" t="s">
        <v>39</v>
      </c>
      <c r="AP17" s="88"/>
      <c r="AQ17" s="89"/>
      <c r="AR17" s="75"/>
      <c r="AS17" s="55" t="s">
        <v>80</v>
      </c>
      <c r="AT17" s="54">
        <f>(AV5-AW5/2)*12</f>
        <v>10560</v>
      </c>
      <c r="AU17" s="54">
        <f>(AV5+AW5/2)*12</f>
        <v>10620</v>
      </c>
      <c r="AV17" s="10" t="s">
        <v>9</v>
      </c>
      <c r="AW17" s="10" t="s">
        <v>9</v>
      </c>
      <c r="AX17" s="87" t="s">
        <v>39</v>
      </c>
      <c r="AY17" s="88"/>
      <c r="AZ17" s="89"/>
      <c r="BA17" s="75"/>
      <c r="BB17" s="55" t="s">
        <v>80</v>
      </c>
      <c r="BC17" s="54">
        <f>(BE5-BF5/2)*12</f>
        <v>10920</v>
      </c>
      <c r="BD17" s="54">
        <f>(BE5+BF5/2)*12</f>
        <v>10980</v>
      </c>
      <c r="BE17" s="10" t="s">
        <v>9</v>
      </c>
      <c r="BF17" s="10" t="s">
        <v>9</v>
      </c>
      <c r="BG17" s="87" t="s">
        <v>79</v>
      </c>
      <c r="BH17" s="88"/>
      <c r="BI17" s="89"/>
      <c r="BJ17" s="75"/>
      <c r="BK17" s="55" t="s">
        <v>80</v>
      </c>
      <c r="BL17" s="54">
        <f>((BN5-(INT((BO5*5)/2)-0.5)*0.18)-0.2)*12</f>
        <v>10564.68</v>
      </c>
      <c r="BM17" s="54">
        <f>((BN5-(INT((BO5*5)/2)-0.5)*0.18)+0.2)*12</f>
        <v>10569.480000000001</v>
      </c>
      <c r="BN17" s="10" t="s">
        <v>9</v>
      </c>
      <c r="BO17" s="10" t="s">
        <v>9</v>
      </c>
      <c r="BP17" s="87" t="s">
        <v>39</v>
      </c>
      <c r="BQ17" s="88"/>
      <c r="BR17" s="89"/>
      <c r="BS17" s="75"/>
      <c r="BT17" s="55" t="s">
        <v>80</v>
      </c>
      <c r="BU17" s="54">
        <f>((BW5+(INT((BX5*5)/2)-0.5)*0.18)-0.2)*12</f>
        <v>10970.519999999999</v>
      </c>
      <c r="BV17" s="54">
        <f>((BW5+(INT((BX5*5)/2)-0.5)*0.18)+0.2)*12</f>
        <v>10975.32</v>
      </c>
      <c r="BW17" s="10" t="s">
        <v>9</v>
      </c>
      <c r="BX17" s="10" t="s">
        <v>9</v>
      </c>
      <c r="BY17" s="87" t="s">
        <v>39</v>
      </c>
      <c r="BZ17" s="88"/>
      <c r="CA17" s="89"/>
      <c r="CB17" s="75"/>
      <c r="CC17" s="55" t="s">
        <v>80</v>
      </c>
      <c r="CD17" s="54">
        <f>(CF5-CG5/2)*12</f>
        <v>10560</v>
      </c>
      <c r="CE17" s="54">
        <f>(CF5+CG5/2)*12</f>
        <v>10680</v>
      </c>
      <c r="CF17" s="10" t="s">
        <v>9</v>
      </c>
      <c r="CG17" s="10" t="s">
        <v>9</v>
      </c>
      <c r="CH17" s="87" t="s">
        <v>39</v>
      </c>
      <c r="CI17" s="88"/>
      <c r="CJ17" s="89"/>
      <c r="CK17" s="75"/>
      <c r="CL17" s="55" t="s">
        <v>80</v>
      </c>
      <c r="CM17" s="54">
        <f>(CO5-CP5/2)*12</f>
        <v>10860</v>
      </c>
      <c r="CN17" s="54">
        <f>(CO5+CP5/2)*12</f>
        <v>10980</v>
      </c>
      <c r="CO17" s="10" t="s">
        <v>9</v>
      </c>
      <c r="CP17" s="10" t="s">
        <v>9</v>
      </c>
      <c r="CQ17" s="87" t="s">
        <v>79</v>
      </c>
      <c r="CR17" s="88"/>
      <c r="CS17" s="89"/>
      <c r="CT17" s="75"/>
      <c r="CU17" s="55" t="s">
        <v>80</v>
      </c>
    </row>
    <row r="18" spans="1:99" ht="15">
      <c r="A18" s="54">
        <f>((C5-2.5*0.18)-0.2)*13</f>
        <v>11440.65</v>
      </c>
      <c r="B18" s="54">
        <f>((C5-2.5*0.18)+0.2)*13</f>
        <v>11445.85</v>
      </c>
      <c r="C18" s="10" t="s">
        <v>9</v>
      </c>
      <c r="D18" s="10" t="s">
        <v>9</v>
      </c>
      <c r="E18" s="90" t="s">
        <v>35</v>
      </c>
      <c r="F18" s="90"/>
      <c r="G18" s="90"/>
      <c r="H18" s="75"/>
      <c r="I18" s="55" t="s">
        <v>81</v>
      </c>
      <c r="J18" s="54">
        <f>((L5-2.5*0.18)-0.2)*13</f>
        <v>11877.449999999999</v>
      </c>
      <c r="K18" s="54">
        <f>((L5-2.5*0.18)+0.2)*13</f>
        <v>11882.65</v>
      </c>
      <c r="L18" s="10" t="s">
        <v>9</v>
      </c>
      <c r="M18" s="10" t="s">
        <v>9</v>
      </c>
      <c r="N18" s="87" t="s">
        <v>39</v>
      </c>
      <c r="O18" s="88"/>
      <c r="P18" s="89"/>
      <c r="Q18" s="75"/>
      <c r="R18" s="55" t="s">
        <v>81</v>
      </c>
      <c r="S18" s="54">
        <f>((U5-INT((V5*5)/2)*0.18)-0.2)*13</f>
        <v>11441.82</v>
      </c>
      <c r="T18" s="54">
        <f>((U5-INT((V5*5)/2)*0.18)+0.2)*13</f>
        <v>11447.02</v>
      </c>
      <c r="U18" s="10" t="s">
        <v>9</v>
      </c>
      <c r="V18" s="10" t="s">
        <v>9</v>
      </c>
      <c r="W18" s="87" t="s">
        <v>39</v>
      </c>
      <c r="X18" s="88"/>
      <c r="Y18" s="89"/>
      <c r="Z18" s="75"/>
      <c r="AA18" s="55" t="s">
        <v>81</v>
      </c>
      <c r="AB18" s="54">
        <f>((AD5-INT((AE5*5)/2)*0.18)-0.2)*13</f>
        <v>11636.82</v>
      </c>
      <c r="AC18" s="54">
        <f>((AD5-INT((AE5*5)/2)*0.18)+0.2)*13</f>
        <v>11642.02</v>
      </c>
      <c r="AD18" s="10" t="s">
        <v>9</v>
      </c>
      <c r="AE18" s="10" t="s">
        <v>9</v>
      </c>
      <c r="AF18" s="90" t="s">
        <v>82</v>
      </c>
      <c r="AG18" s="90"/>
      <c r="AH18" s="90"/>
      <c r="AI18" s="75"/>
      <c r="AJ18" s="55" t="s">
        <v>83</v>
      </c>
      <c r="AK18" s="54">
        <f>((AM5+INT((AN5*5)/2)*0.18)-0.2)*13</f>
        <v>11887.98</v>
      </c>
      <c r="AL18" s="54">
        <f>((AM5+INT((AN5*5)/2)*0.18)+0.2)*13</f>
        <v>11893.18</v>
      </c>
      <c r="AM18" s="10" t="s">
        <v>9</v>
      </c>
      <c r="AN18" s="10" t="s">
        <v>9</v>
      </c>
      <c r="AO18" s="87" t="s">
        <v>39</v>
      </c>
      <c r="AP18" s="88"/>
      <c r="AQ18" s="89"/>
      <c r="AR18" s="75"/>
      <c r="AS18" s="55" t="s">
        <v>83</v>
      </c>
      <c r="AT18" s="54">
        <f>(AV5-AW5/2)*13</f>
        <v>11440</v>
      </c>
      <c r="AU18" s="54">
        <f>(AV5+AW5/2)*13</f>
        <v>11505</v>
      </c>
      <c r="AV18" s="10" t="s">
        <v>9</v>
      </c>
      <c r="AW18" s="10" t="s">
        <v>9</v>
      </c>
      <c r="AX18" s="87" t="s">
        <v>39</v>
      </c>
      <c r="AY18" s="88"/>
      <c r="AZ18" s="89"/>
      <c r="BA18" s="75"/>
      <c r="BB18" s="55" t="s">
        <v>83</v>
      </c>
      <c r="BC18" s="54">
        <f>(BE5-BF5/2)*13</f>
        <v>11830</v>
      </c>
      <c r="BD18" s="54">
        <f>(BE5+BF5/2)*13</f>
        <v>11895</v>
      </c>
      <c r="BE18" s="10" t="s">
        <v>9</v>
      </c>
      <c r="BF18" s="10" t="s">
        <v>9</v>
      </c>
      <c r="BG18" s="87" t="s">
        <v>82</v>
      </c>
      <c r="BH18" s="88"/>
      <c r="BI18" s="89"/>
      <c r="BJ18" s="75"/>
      <c r="BK18" s="55" t="s">
        <v>83</v>
      </c>
      <c r="BL18" s="54">
        <f>((BN5-(INT((BO5*5)/2)-0.5)*0.18)-0.2)*13</f>
        <v>11445.07</v>
      </c>
      <c r="BM18" s="54">
        <f>((BN5-(INT((BO5*5)/2)-0.5)*0.18)+0.2)*13</f>
        <v>11450.27</v>
      </c>
      <c r="BN18" s="10" t="s">
        <v>9</v>
      </c>
      <c r="BO18" s="10" t="s">
        <v>9</v>
      </c>
      <c r="BP18" s="87" t="s">
        <v>39</v>
      </c>
      <c r="BQ18" s="88"/>
      <c r="BR18" s="89"/>
      <c r="BS18" s="75"/>
      <c r="BT18" s="55" t="s">
        <v>83</v>
      </c>
      <c r="BU18" s="54">
        <f>((BW5+(INT((BX5*5)/2)-0.5)*0.18)-0.2)*13</f>
        <v>11884.73</v>
      </c>
      <c r="BV18" s="54">
        <f>((BW5+(INT((BX5*5)/2)-0.5)*0.18)+0.2)*13</f>
        <v>11889.93</v>
      </c>
      <c r="BW18" s="10" t="s">
        <v>9</v>
      </c>
      <c r="BX18" s="10" t="s">
        <v>9</v>
      </c>
      <c r="BY18" s="87" t="s">
        <v>39</v>
      </c>
      <c r="BZ18" s="88"/>
      <c r="CA18" s="89"/>
      <c r="CB18" s="75"/>
      <c r="CC18" s="55" t="s">
        <v>83</v>
      </c>
      <c r="CD18" s="54">
        <f>(CF5-CG5/2)*13</f>
        <v>11440</v>
      </c>
      <c r="CE18" s="54">
        <f>(CF5+CG5/2)*13</f>
        <v>11570</v>
      </c>
      <c r="CF18" s="10" t="s">
        <v>9</v>
      </c>
      <c r="CG18" s="10" t="s">
        <v>9</v>
      </c>
      <c r="CH18" s="87" t="s">
        <v>39</v>
      </c>
      <c r="CI18" s="88"/>
      <c r="CJ18" s="89"/>
      <c r="CK18" s="75"/>
      <c r="CL18" s="55" t="s">
        <v>83</v>
      </c>
      <c r="CM18" s="54">
        <f>(CO5-CP5/2)*13</f>
        <v>11765</v>
      </c>
      <c r="CN18" s="54">
        <f>(CO5+CP5/2)*13</f>
        <v>11895</v>
      </c>
      <c r="CO18" s="10" t="s">
        <v>9</v>
      </c>
      <c r="CP18" s="10" t="s">
        <v>9</v>
      </c>
      <c r="CQ18" s="87" t="s">
        <v>82</v>
      </c>
      <c r="CR18" s="88"/>
      <c r="CS18" s="89"/>
      <c r="CT18" s="75"/>
      <c r="CU18" s="55" t="s">
        <v>83</v>
      </c>
    </row>
  </sheetData>
  <mergeCells count="154">
    <mergeCell ref="AF9:AH9"/>
    <mergeCell ref="E9:G9"/>
    <mergeCell ref="W10:Y10"/>
    <mergeCell ref="AF10:AH10"/>
    <mergeCell ref="AF11:AH11"/>
    <mergeCell ref="E11:G11"/>
    <mergeCell ref="W13:Y13"/>
    <mergeCell ref="AO12:AQ12"/>
    <mergeCell ref="N14:P14"/>
    <mergeCell ref="AF14:AH14"/>
    <mergeCell ref="W14:Y14"/>
    <mergeCell ref="E14:G14"/>
    <mergeCell ref="AO11:AQ11"/>
    <mergeCell ref="BP15:BR15"/>
    <mergeCell ref="BY15:CA15"/>
    <mergeCell ref="CH15:CJ15"/>
    <mergeCell ref="CQ15:CS15"/>
    <mergeCell ref="B1:K1"/>
    <mergeCell ref="B2:J2"/>
    <mergeCell ref="B3:J3"/>
    <mergeCell ref="CH14:CJ14"/>
    <mergeCell ref="CQ14:CS14"/>
    <mergeCell ref="BG14:BI14"/>
    <mergeCell ref="BP14:BR14"/>
    <mergeCell ref="BY14:CA14"/>
    <mergeCell ref="CH12:CJ12"/>
    <mergeCell ref="CQ12:CS12"/>
    <mergeCell ref="BG13:BI13"/>
    <mergeCell ref="BP13:BR13"/>
    <mergeCell ref="BY13:CA13"/>
    <mergeCell ref="CH13:CJ13"/>
    <mergeCell ref="CQ13:CS13"/>
    <mergeCell ref="BG12:BI12"/>
    <mergeCell ref="AB6:AC6"/>
    <mergeCell ref="AF6:AH6"/>
    <mergeCell ref="AF7:AH7"/>
    <mergeCell ref="N7:P7"/>
    <mergeCell ref="CQ18:CS18"/>
    <mergeCell ref="CQ16:CS16"/>
    <mergeCell ref="CQ17:CS17"/>
    <mergeCell ref="CQ10:CS10"/>
    <mergeCell ref="CQ11:CS11"/>
    <mergeCell ref="CQ7:CS7"/>
    <mergeCell ref="BG6:BI6"/>
    <mergeCell ref="BP6:BR6"/>
    <mergeCell ref="BY6:CA6"/>
    <mergeCell ref="CH6:CJ6"/>
    <mergeCell ref="CQ6:CS6"/>
    <mergeCell ref="CH7:CJ7"/>
    <mergeCell ref="BP12:BR12"/>
    <mergeCell ref="BY12:CA12"/>
    <mergeCell ref="CQ8:CS8"/>
    <mergeCell ref="BG9:BI9"/>
    <mergeCell ref="BP9:BR9"/>
    <mergeCell ref="BY9:CA9"/>
    <mergeCell ref="CH9:CJ9"/>
    <mergeCell ref="CQ9:CS9"/>
    <mergeCell ref="BG8:BI8"/>
    <mergeCell ref="BP8:BR8"/>
    <mergeCell ref="BY8:CA8"/>
    <mergeCell ref="CH8:CJ8"/>
    <mergeCell ref="BY11:CA11"/>
    <mergeCell ref="BG10:BI10"/>
    <mergeCell ref="BP10:BR10"/>
    <mergeCell ref="BY10:CA10"/>
    <mergeCell ref="BG7:BI7"/>
    <mergeCell ref="BP7:BR7"/>
    <mergeCell ref="BY7:CA7"/>
    <mergeCell ref="CH18:CJ18"/>
    <mergeCell ref="CH16:CJ16"/>
    <mergeCell ref="CH17:CJ17"/>
    <mergeCell ref="BG17:BI17"/>
    <mergeCell ref="BP17:BR17"/>
    <mergeCell ref="BY17:CA17"/>
    <mergeCell ref="BG18:BI18"/>
    <mergeCell ref="BP18:BR18"/>
    <mergeCell ref="BY18:CA18"/>
    <mergeCell ref="BG16:BI16"/>
    <mergeCell ref="BP16:BR16"/>
    <mergeCell ref="BY16:CA16"/>
    <mergeCell ref="CH10:CJ10"/>
    <mergeCell ref="CH11:CJ11"/>
    <mergeCell ref="BG11:BI11"/>
    <mergeCell ref="BP11:BR11"/>
    <mergeCell ref="BG15:BI15"/>
    <mergeCell ref="I4:I5"/>
    <mergeCell ref="R4:R5"/>
    <mergeCell ref="AA4:AA5"/>
    <mergeCell ref="N15:P15"/>
    <mergeCell ref="W6:Y6"/>
    <mergeCell ref="N13:P13"/>
    <mergeCell ref="N9:P9"/>
    <mergeCell ref="N11:P11"/>
    <mergeCell ref="AF18:AH18"/>
    <mergeCell ref="AF17:AH17"/>
    <mergeCell ref="N8:P8"/>
    <mergeCell ref="W8:Y8"/>
    <mergeCell ref="W17:Y17"/>
    <mergeCell ref="N17:P17"/>
    <mergeCell ref="N12:P12"/>
    <mergeCell ref="W12:Y12"/>
    <mergeCell ref="W11:Y11"/>
    <mergeCell ref="W9:Y9"/>
    <mergeCell ref="N10:P10"/>
    <mergeCell ref="N18:P18"/>
    <mergeCell ref="W15:Y15"/>
    <mergeCell ref="W16:Y16"/>
    <mergeCell ref="N16:P16"/>
    <mergeCell ref="W7:Y7"/>
    <mergeCell ref="AO18:AQ18"/>
    <mergeCell ref="AX18:AZ18"/>
    <mergeCell ref="A6:B6"/>
    <mergeCell ref="E6:G6"/>
    <mergeCell ref="J6:K6"/>
    <mergeCell ref="N6:P6"/>
    <mergeCell ref="S6:T6"/>
    <mergeCell ref="AF16:AH16"/>
    <mergeCell ref="AF12:AH12"/>
    <mergeCell ref="AF13:AH13"/>
    <mergeCell ref="E8:G8"/>
    <mergeCell ref="E17:G17"/>
    <mergeCell ref="E12:G12"/>
    <mergeCell ref="E13:G13"/>
    <mergeCell ref="E10:G10"/>
    <mergeCell ref="E18:G18"/>
    <mergeCell ref="E15:G15"/>
    <mergeCell ref="E16:G16"/>
    <mergeCell ref="E7:G7"/>
    <mergeCell ref="AF8:AH8"/>
    <mergeCell ref="AX12:AZ12"/>
    <mergeCell ref="AF15:AH15"/>
    <mergeCell ref="AO15:AQ15"/>
    <mergeCell ref="W18:Y18"/>
    <mergeCell ref="AX15:AZ15"/>
    <mergeCell ref="AO14:AQ14"/>
    <mergeCell ref="AX14:AZ14"/>
    <mergeCell ref="AO13:AQ13"/>
    <mergeCell ref="AX13:AZ13"/>
    <mergeCell ref="AX6:AZ6"/>
    <mergeCell ref="AX16:AZ16"/>
    <mergeCell ref="AO17:AQ17"/>
    <mergeCell ref="AX17:AZ17"/>
    <mergeCell ref="AO16:AQ16"/>
    <mergeCell ref="AJ4:AJ5"/>
    <mergeCell ref="AO6:AQ6"/>
    <mergeCell ref="AO9:AQ9"/>
    <mergeCell ref="AX9:AZ9"/>
    <mergeCell ref="AO8:AQ8"/>
    <mergeCell ref="AX8:AZ8"/>
    <mergeCell ref="AO7:AQ7"/>
    <mergeCell ref="AX7:AZ7"/>
    <mergeCell ref="AX11:AZ11"/>
    <mergeCell ref="AO10:AQ10"/>
    <mergeCell ref="AX10:AZ10"/>
  </mergeCells>
  <phoneticPr fontId="18" type="noConversion"/>
  <conditionalFormatting sqref="Z10">
    <cfRule type="containsBlanks" priority="214" stopIfTrue="1">
      <formula>LEN(TRIM(Z10))=0</formula>
    </cfRule>
    <cfRule type="cellIs" dxfId="2173" priority="215" stopIfTrue="1" operator="greaterThan">
      <formula>-30</formula>
    </cfRule>
    <cfRule type="cellIs" dxfId="2172" priority="216" stopIfTrue="1" operator="between">
      <formula>-33</formula>
      <formula>-30</formula>
    </cfRule>
  </conditionalFormatting>
  <conditionalFormatting sqref="Z11">
    <cfRule type="containsBlanks" priority="211" stopIfTrue="1">
      <formula>LEN(TRIM(Z11))=0</formula>
    </cfRule>
    <cfRule type="cellIs" dxfId="2171" priority="212" stopIfTrue="1" operator="greaterThan">
      <formula>-30</formula>
    </cfRule>
    <cfRule type="cellIs" dxfId="2170" priority="213" stopIfTrue="1" operator="between">
      <formula>-33</formula>
      <formula>-30</formula>
    </cfRule>
  </conditionalFormatting>
  <conditionalFormatting sqref="AI10">
    <cfRule type="containsBlanks" priority="208" stopIfTrue="1">
      <formula>LEN(TRIM(AI10))=0</formula>
    </cfRule>
    <cfRule type="cellIs" dxfId="2169" priority="209" stopIfTrue="1" operator="greaterThan">
      <formula>-30</formula>
    </cfRule>
    <cfRule type="cellIs" dxfId="2168" priority="210" stopIfTrue="1" operator="between">
      <formula>-33</formula>
      <formula>-30</formula>
    </cfRule>
  </conditionalFormatting>
  <conditionalFormatting sqref="AI11:AI18">
    <cfRule type="containsBlanks" priority="205" stopIfTrue="1">
      <formula>LEN(TRIM(AI11))=0</formula>
    </cfRule>
    <cfRule type="cellIs" dxfId="2167" priority="206" stopIfTrue="1" operator="greaterThan">
      <formula>-30</formula>
    </cfRule>
    <cfRule type="cellIs" dxfId="2166" priority="207" stopIfTrue="1" operator="between">
      <formula>-33</formula>
      <formula>-30</formula>
    </cfRule>
  </conditionalFormatting>
  <conditionalFormatting sqref="H12">
    <cfRule type="containsBlanks" priority="202" stopIfTrue="1">
      <formula>LEN(TRIM(H12))=0</formula>
    </cfRule>
    <cfRule type="cellIs" dxfId="2165" priority="203" stopIfTrue="1" operator="greaterThan">
      <formula>-30</formula>
    </cfRule>
    <cfRule type="cellIs" dxfId="2164" priority="204" stopIfTrue="1" operator="between">
      <formula>-33</formula>
      <formula>-30</formula>
    </cfRule>
  </conditionalFormatting>
  <conditionalFormatting sqref="H13">
    <cfRule type="containsBlanks" priority="199" stopIfTrue="1">
      <formula>LEN(TRIM(H13))=0</formula>
    </cfRule>
    <cfRule type="cellIs" dxfId="2163" priority="200" stopIfTrue="1" operator="greaterThan">
      <formula>-30</formula>
    </cfRule>
    <cfRule type="cellIs" dxfId="2162" priority="201" stopIfTrue="1" operator="between">
      <formula>-33</formula>
      <formula>-30</formula>
    </cfRule>
  </conditionalFormatting>
  <conditionalFormatting sqref="H14">
    <cfRule type="containsBlanks" priority="196" stopIfTrue="1">
      <formula>LEN(TRIM(H14))=0</formula>
    </cfRule>
    <cfRule type="cellIs" dxfId="2161" priority="197" stopIfTrue="1" operator="greaterThan">
      <formula>-30</formula>
    </cfRule>
    <cfRule type="cellIs" dxfId="2160" priority="198" stopIfTrue="1" operator="between">
      <formula>-33</formula>
      <formula>-30</formula>
    </cfRule>
  </conditionalFormatting>
  <conditionalFormatting sqref="H15">
    <cfRule type="containsBlanks" priority="193" stopIfTrue="1">
      <formula>LEN(TRIM(H15))=0</formula>
    </cfRule>
    <cfRule type="cellIs" dxfId="2159" priority="194" stopIfTrue="1" operator="greaterThan">
      <formula>-30</formula>
    </cfRule>
    <cfRule type="cellIs" dxfId="2158" priority="195" stopIfTrue="1" operator="between">
      <formula>-33</formula>
      <formula>-30</formula>
    </cfRule>
  </conditionalFormatting>
  <conditionalFormatting sqref="H16">
    <cfRule type="containsBlanks" priority="190" stopIfTrue="1">
      <formula>LEN(TRIM(H16))=0</formula>
    </cfRule>
    <cfRule type="cellIs" dxfId="2157" priority="191" stopIfTrue="1" operator="greaterThan">
      <formula>-30</formula>
    </cfRule>
    <cfRule type="cellIs" dxfId="2156" priority="192" stopIfTrue="1" operator="between">
      <formula>-33</formula>
      <formula>-30</formula>
    </cfRule>
  </conditionalFormatting>
  <conditionalFormatting sqref="H17">
    <cfRule type="containsBlanks" priority="187" stopIfTrue="1">
      <formula>LEN(TRIM(H17))=0</formula>
    </cfRule>
    <cfRule type="cellIs" dxfId="2155" priority="188" stopIfTrue="1" operator="greaterThan">
      <formula>-30</formula>
    </cfRule>
    <cfRule type="cellIs" dxfId="2154" priority="189" stopIfTrue="1" operator="between">
      <formula>-33</formula>
      <formula>-30</formula>
    </cfRule>
  </conditionalFormatting>
  <conditionalFormatting sqref="H18">
    <cfRule type="containsBlanks" priority="184" stopIfTrue="1">
      <formula>LEN(TRIM(H18))=0</formula>
    </cfRule>
    <cfRule type="cellIs" dxfId="2153" priority="185" stopIfTrue="1" operator="greaterThan">
      <formula>-30</formula>
    </cfRule>
    <cfRule type="cellIs" dxfId="2152" priority="186" stopIfTrue="1" operator="between">
      <formula>-33</formula>
      <formula>-30</formula>
    </cfRule>
  </conditionalFormatting>
  <conditionalFormatting sqref="H7">
    <cfRule type="containsBlanks" priority="292" stopIfTrue="1">
      <formula>LEN(TRIM(H7))=0</formula>
    </cfRule>
    <cfRule type="cellIs" dxfId="2151" priority="293" stopIfTrue="1" operator="greaterThan">
      <formula>-30</formula>
    </cfRule>
    <cfRule type="cellIs" dxfId="2150" priority="294" stopIfTrue="1" operator="between">
      <formula>-33</formula>
      <formula>-30</formula>
    </cfRule>
  </conditionalFormatting>
  <conditionalFormatting sqref="H9">
    <cfRule type="containsBlanks" priority="286" stopIfTrue="1">
      <formula>LEN(TRIM(H9))=0</formula>
    </cfRule>
    <cfRule type="cellIs" dxfId="2149" priority="287" stopIfTrue="1" operator="greaterThan">
      <formula>-30</formula>
    </cfRule>
    <cfRule type="cellIs" dxfId="2148" priority="288" stopIfTrue="1" operator="between">
      <formula>-33</formula>
      <formula>-30</formula>
    </cfRule>
  </conditionalFormatting>
  <conditionalFormatting sqref="Q7">
    <cfRule type="containsBlanks" priority="283" stopIfTrue="1">
      <formula>LEN(TRIM(Q7))=0</formula>
    </cfRule>
    <cfRule type="cellIs" dxfId="2147" priority="284" stopIfTrue="1" operator="greaterThan">
      <formula>-30</formula>
    </cfRule>
    <cfRule type="cellIs" dxfId="2146" priority="285" stopIfTrue="1" operator="between">
      <formula>-33</formula>
      <formula>-30</formula>
    </cfRule>
  </conditionalFormatting>
  <conditionalFormatting sqref="Q8">
    <cfRule type="containsBlanks" priority="280" stopIfTrue="1">
      <formula>LEN(TRIM(Q8))=0</formula>
    </cfRule>
    <cfRule type="cellIs" dxfId="2145" priority="281" stopIfTrue="1" operator="greaterThan">
      <formula>-30</formula>
    </cfRule>
    <cfRule type="cellIs" dxfId="2144" priority="282" stopIfTrue="1" operator="between">
      <formula>-33</formula>
      <formula>-30</formula>
    </cfRule>
  </conditionalFormatting>
  <conditionalFormatting sqref="Q9">
    <cfRule type="containsBlanks" priority="277" stopIfTrue="1">
      <formula>LEN(TRIM(Q9))=0</formula>
    </cfRule>
    <cfRule type="cellIs" dxfId="2143" priority="278" stopIfTrue="1" operator="greaterThan">
      <formula>-30</formula>
    </cfRule>
    <cfRule type="cellIs" dxfId="2142" priority="279" stopIfTrue="1" operator="between">
      <formula>-33</formula>
      <formula>-30</formula>
    </cfRule>
  </conditionalFormatting>
  <conditionalFormatting sqref="Z7">
    <cfRule type="containsBlanks" priority="274" stopIfTrue="1">
      <formula>LEN(TRIM(Z7))=0</formula>
    </cfRule>
    <cfRule type="cellIs" dxfId="2141" priority="275" stopIfTrue="1" operator="greaterThan">
      <formula>-30</formula>
    </cfRule>
    <cfRule type="cellIs" dxfId="2140" priority="276" stopIfTrue="1" operator="between">
      <formula>-33</formula>
      <formula>-30</formula>
    </cfRule>
  </conditionalFormatting>
  <conditionalFormatting sqref="Z8">
    <cfRule type="containsBlanks" priority="271" stopIfTrue="1">
      <formula>LEN(TRIM(Z8))=0</formula>
    </cfRule>
    <cfRule type="cellIs" dxfId="2139" priority="272" stopIfTrue="1" operator="greaterThan">
      <formula>-30</formula>
    </cfRule>
    <cfRule type="cellIs" dxfId="2138" priority="273" stopIfTrue="1" operator="between">
      <formula>-33</formula>
      <formula>-30</formula>
    </cfRule>
  </conditionalFormatting>
  <conditionalFormatting sqref="Z9">
    <cfRule type="containsBlanks" priority="268" stopIfTrue="1">
      <formula>LEN(TRIM(Z9))=0</formula>
    </cfRule>
    <cfRule type="cellIs" dxfId="2137" priority="269" stopIfTrue="1" operator="greaterThan">
      <formula>-30</formula>
    </cfRule>
    <cfRule type="cellIs" dxfId="2136" priority="270" stopIfTrue="1" operator="between">
      <formula>-33</formula>
      <formula>-30</formula>
    </cfRule>
  </conditionalFormatting>
  <conditionalFormatting sqref="AI7">
    <cfRule type="containsBlanks" priority="265" stopIfTrue="1">
      <formula>LEN(TRIM(AI7))=0</formula>
    </cfRule>
    <cfRule type="cellIs" dxfId="2135" priority="266" stopIfTrue="1" operator="greaterThan">
      <formula>-30</formula>
    </cfRule>
    <cfRule type="cellIs" dxfId="2134" priority="267" stopIfTrue="1" operator="between">
      <formula>-33</formula>
      <formula>-30</formula>
    </cfRule>
  </conditionalFormatting>
  <conditionalFormatting sqref="AI8">
    <cfRule type="containsBlanks" priority="262" stopIfTrue="1">
      <formula>LEN(TRIM(AI8))=0</formula>
    </cfRule>
    <cfRule type="cellIs" dxfId="2133" priority="263" stopIfTrue="1" operator="greaterThan">
      <formula>-30</formula>
    </cfRule>
    <cfRule type="cellIs" dxfId="2132" priority="264" stopIfTrue="1" operator="between">
      <formula>-33</formula>
      <formula>-30</formula>
    </cfRule>
  </conditionalFormatting>
  <conditionalFormatting sqref="AI9">
    <cfRule type="containsBlanks" priority="259" stopIfTrue="1">
      <formula>LEN(TRIM(AI9))=0</formula>
    </cfRule>
    <cfRule type="cellIs" dxfId="2131" priority="260" stopIfTrue="1" operator="greaterThan">
      <formula>-30</formula>
    </cfRule>
    <cfRule type="cellIs" dxfId="2130" priority="261" stopIfTrue="1" operator="between">
      <formula>-33</formula>
      <formula>-30</formula>
    </cfRule>
  </conditionalFormatting>
  <conditionalFormatting sqref="Z7">
    <cfRule type="containsBlanks" priority="256" stopIfTrue="1">
      <formula>LEN(TRIM(Z7))=0</formula>
    </cfRule>
    <cfRule type="cellIs" dxfId="2129" priority="257" stopIfTrue="1" operator="greaterThan">
      <formula>-30</formula>
    </cfRule>
    <cfRule type="cellIs" dxfId="2128" priority="258" stopIfTrue="1" operator="between">
      <formula>-33</formula>
      <formula>-30</formula>
    </cfRule>
  </conditionalFormatting>
  <conditionalFormatting sqref="Z8">
    <cfRule type="containsBlanks" priority="253" stopIfTrue="1">
      <formula>LEN(TRIM(Z8))=0</formula>
    </cfRule>
    <cfRule type="cellIs" dxfId="2127" priority="254" stopIfTrue="1" operator="greaterThan">
      <formula>-30</formula>
    </cfRule>
    <cfRule type="cellIs" dxfId="2126" priority="255" stopIfTrue="1" operator="between">
      <formula>-33</formula>
      <formula>-30</formula>
    </cfRule>
  </conditionalFormatting>
  <conditionalFormatting sqref="Z9">
    <cfRule type="containsBlanks" priority="250" stopIfTrue="1">
      <formula>LEN(TRIM(Z9))=0</formula>
    </cfRule>
    <cfRule type="cellIs" dxfId="2125" priority="251" stopIfTrue="1" operator="greaterThan">
      <formula>-30</formula>
    </cfRule>
    <cfRule type="cellIs" dxfId="2124" priority="252" stopIfTrue="1" operator="between">
      <formula>-33</formula>
      <formula>-30</formula>
    </cfRule>
  </conditionalFormatting>
  <conditionalFormatting sqref="AI7">
    <cfRule type="containsBlanks" priority="247" stopIfTrue="1">
      <formula>LEN(TRIM(AI7))=0</formula>
    </cfRule>
    <cfRule type="cellIs" dxfId="2123" priority="248" stopIfTrue="1" operator="greaterThan">
      <formula>-30</formula>
    </cfRule>
    <cfRule type="cellIs" dxfId="2122" priority="249" stopIfTrue="1" operator="between">
      <formula>-33</formula>
      <formula>-30</formula>
    </cfRule>
  </conditionalFormatting>
  <conditionalFormatting sqref="AI8">
    <cfRule type="containsBlanks" priority="244" stopIfTrue="1">
      <formula>LEN(TRIM(AI8))=0</formula>
    </cfRule>
    <cfRule type="cellIs" dxfId="2121" priority="245" stopIfTrue="1" operator="greaterThan">
      <formula>-30</formula>
    </cfRule>
    <cfRule type="cellIs" dxfId="2120" priority="246" stopIfTrue="1" operator="between">
      <formula>-33</formula>
      <formula>-30</formula>
    </cfRule>
  </conditionalFormatting>
  <conditionalFormatting sqref="AI9">
    <cfRule type="containsBlanks" priority="241" stopIfTrue="1">
      <formula>LEN(TRIM(AI9))=0</formula>
    </cfRule>
    <cfRule type="cellIs" dxfId="2119" priority="242" stopIfTrue="1" operator="greaterThan">
      <formula>-30</formula>
    </cfRule>
    <cfRule type="cellIs" dxfId="2118" priority="243" stopIfTrue="1" operator="between">
      <formula>-33</formula>
      <formula>-30</formula>
    </cfRule>
  </conditionalFormatting>
  <conditionalFormatting sqref="H10">
    <cfRule type="containsBlanks" priority="238" stopIfTrue="1">
      <formula>LEN(TRIM(H10))=0</formula>
    </cfRule>
    <cfRule type="cellIs" dxfId="2117" priority="239" stopIfTrue="1" operator="greaterThan">
      <formula>-30</formula>
    </cfRule>
    <cfRule type="cellIs" dxfId="2116" priority="240" stopIfTrue="1" operator="between">
      <formula>-33</formula>
      <formula>-30</formula>
    </cfRule>
  </conditionalFormatting>
  <conditionalFormatting sqref="H11">
    <cfRule type="containsBlanks" priority="235" stopIfTrue="1">
      <formula>LEN(TRIM(H11))=0</formula>
    </cfRule>
    <cfRule type="cellIs" dxfId="2115" priority="236" stopIfTrue="1" operator="greaterThan">
      <formula>-30</formula>
    </cfRule>
    <cfRule type="cellIs" dxfId="2114" priority="237" stopIfTrue="1" operator="between">
      <formula>-33</formula>
      <formula>-30</formula>
    </cfRule>
  </conditionalFormatting>
  <conditionalFormatting sqref="Q10">
    <cfRule type="containsBlanks" priority="232" stopIfTrue="1">
      <formula>LEN(TRIM(Q10))=0</formula>
    </cfRule>
    <cfRule type="cellIs" dxfId="2113" priority="233" stopIfTrue="1" operator="greaterThan">
      <formula>-30</formula>
    </cfRule>
    <cfRule type="cellIs" dxfId="2112" priority="234" stopIfTrue="1" operator="between">
      <formula>-33</formula>
      <formula>-30</formula>
    </cfRule>
  </conditionalFormatting>
  <conditionalFormatting sqref="Q11">
    <cfRule type="containsBlanks" priority="229" stopIfTrue="1">
      <formula>LEN(TRIM(Q11))=0</formula>
    </cfRule>
    <cfRule type="cellIs" dxfId="2111" priority="230" stopIfTrue="1" operator="greaterThan">
      <formula>-30</formula>
    </cfRule>
    <cfRule type="cellIs" dxfId="2110" priority="231" stopIfTrue="1" operator="between">
      <formula>-33</formula>
      <formula>-30</formula>
    </cfRule>
  </conditionalFormatting>
  <conditionalFormatting sqref="Z10">
    <cfRule type="containsBlanks" priority="226" stopIfTrue="1">
      <formula>LEN(TRIM(Z10))=0</formula>
    </cfRule>
    <cfRule type="cellIs" dxfId="2109" priority="227" stopIfTrue="1" operator="greaterThan">
      <formula>-30</formula>
    </cfRule>
    <cfRule type="cellIs" dxfId="2108" priority="228" stopIfTrue="1" operator="between">
      <formula>-33</formula>
      <formula>-30</formula>
    </cfRule>
  </conditionalFormatting>
  <conditionalFormatting sqref="Z11">
    <cfRule type="containsBlanks" priority="223" stopIfTrue="1">
      <formula>LEN(TRIM(Z11))=0</formula>
    </cfRule>
    <cfRule type="cellIs" dxfId="2107" priority="224" stopIfTrue="1" operator="greaterThan">
      <formula>-30</formula>
    </cfRule>
    <cfRule type="cellIs" dxfId="2106" priority="225" stopIfTrue="1" operator="between">
      <formula>-33</formula>
      <formula>-30</formula>
    </cfRule>
  </conditionalFormatting>
  <conditionalFormatting sqref="AI10">
    <cfRule type="containsBlanks" priority="220" stopIfTrue="1">
      <formula>LEN(TRIM(AI10))=0</formula>
    </cfRule>
    <cfRule type="cellIs" dxfId="2105" priority="221" stopIfTrue="1" operator="greaterThan">
      <formula>-30</formula>
    </cfRule>
    <cfRule type="cellIs" dxfId="2104" priority="222" stopIfTrue="1" operator="between">
      <formula>-33</formula>
      <formula>-30</formula>
    </cfRule>
  </conditionalFormatting>
  <conditionalFormatting sqref="AI11:AI18">
    <cfRule type="containsBlanks" priority="217" stopIfTrue="1">
      <formula>LEN(TRIM(AI11))=0</formula>
    </cfRule>
    <cfRule type="cellIs" dxfId="2103" priority="218" stopIfTrue="1" operator="greaterThan">
      <formula>-30</formula>
    </cfRule>
    <cfRule type="cellIs" dxfId="2102" priority="219" stopIfTrue="1" operator="between">
      <formula>-33</formula>
      <formula>-30</formula>
    </cfRule>
  </conditionalFormatting>
  <conditionalFormatting sqref="AR10">
    <cfRule type="containsBlanks" priority="133" stopIfTrue="1">
      <formula>LEN(TRIM(AR10))=0</formula>
    </cfRule>
    <cfRule type="cellIs" dxfId="2101" priority="134" stopIfTrue="1" operator="greaterThan">
      <formula>-30</formula>
    </cfRule>
    <cfRule type="cellIs" dxfId="2100" priority="135" stopIfTrue="1" operator="between">
      <formula>-33</formula>
      <formula>-30</formula>
    </cfRule>
  </conditionalFormatting>
  <conditionalFormatting sqref="AR11:AR18">
    <cfRule type="containsBlanks" priority="130" stopIfTrue="1">
      <formula>LEN(TRIM(AR11))=0</formula>
    </cfRule>
    <cfRule type="cellIs" dxfId="2099" priority="131" stopIfTrue="1" operator="greaterThan">
      <formula>-30</formula>
    </cfRule>
    <cfRule type="cellIs" dxfId="2098" priority="132" stopIfTrue="1" operator="between">
      <formula>-33</formula>
      <formula>-30</formula>
    </cfRule>
  </conditionalFormatting>
  <conditionalFormatting sqref="BA10">
    <cfRule type="containsBlanks" priority="127" stopIfTrue="1">
      <formula>LEN(TRIM(BA10))=0</formula>
    </cfRule>
    <cfRule type="cellIs" dxfId="2097" priority="128" stopIfTrue="1" operator="greaterThan">
      <formula>-30</formula>
    </cfRule>
    <cfRule type="cellIs" dxfId="2096" priority="129" stopIfTrue="1" operator="between">
      <formula>-33</formula>
      <formula>-30</formula>
    </cfRule>
  </conditionalFormatting>
  <conditionalFormatting sqref="BA11:BA18">
    <cfRule type="containsBlanks" priority="124" stopIfTrue="1">
      <formula>LEN(TRIM(BA11))=0</formula>
    </cfRule>
    <cfRule type="cellIs" dxfId="2095" priority="125" stopIfTrue="1" operator="greaterThan">
      <formula>-30</formula>
    </cfRule>
    <cfRule type="cellIs" dxfId="2094" priority="126" stopIfTrue="1" operator="between">
      <formula>-33</formula>
      <formula>-30</formula>
    </cfRule>
  </conditionalFormatting>
  <conditionalFormatting sqref="AR7">
    <cfRule type="containsBlanks" priority="181" stopIfTrue="1">
      <formula>LEN(TRIM(AR7))=0</formula>
    </cfRule>
    <cfRule type="cellIs" dxfId="2093" priority="182" stopIfTrue="1" operator="greaterThan">
      <formula>-30</formula>
    </cfRule>
    <cfRule type="cellIs" dxfId="2092" priority="183" stopIfTrue="1" operator="between">
      <formula>-33</formula>
      <formula>-30</formula>
    </cfRule>
  </conditionalFormatting>
  <conditionalFormatting sqref="AR8">
    <cfRule type="containsBlanks" priority="178" stopIfTrue="1">
      <formula>LEN(TRIM(AR8))=0</formula>
    </cfRule>
    <cfRule type="cellIs" dxfId="2091" priority="179" stopIfTrue="1" operator="greaterThan">
      <formula>-30</formula>
    </cfRule>
    <cfRule type="cellIs" dxfId="2090" priority="180" stopIfTrue="1" operator="between">
      <formula>-33</formula>
      <formula>-30</formula>
    </cfRule>
  </conditionalFormatting>
  <conditionalFormatting sqref="AR9">
    <cfRule type="containsBlanks" priority="175" stopIfTrue="1">
      <formula>LEN(TRIM(AR9))=0</formula>
    </cfRule>
    <cfRule type="cellIs" dxfId="2089" priority="176" stopIfTrue="1" operator="greaterThan">
      <formula>-30</formula>
    </cfRule>
    <cfRule type="cellIs" dxfId="2088" priority="177" stopIfTrue="1" operator="between">
      <formula>-33</formula>
      <formula>-30</formula>
    </cfRule>
  </conditionalFormatting>
  <conditionalFormatting sqref="BA7">
    <cfRule type="containsBlanks" priority="172" stopIfTrue="1">
      <formula>LEN(TRIM(BA7))=0</formula>
    </cfRule>
    <cfRule type="cellIs" dxfId="2087" priority="173" stopIfTrue="1" operator="greaterThan">
      <formula>-30</formula>
    </cfRule>
    <cfRule type="cellIs" dxfId="2086" priority="174" stopIfTrue="1" operator="between">
      <formula>-33</formula>
      <formula>-30</formula>
    </cfRule>
  </conditionalFormatting>
  <conditionalFormatting sqref="BA8">
    <cfRule type="containsBlanks" priority="169" stopIfTrue="1">
      <formula>LEN(TRIM(BA8))=0</formula>
    </cfRule>
    <cfRule type="cellIs" dxfId="2085" priority="170" stopIfTrue="1" operator="greaterThan">
      <formula>-30</formula>
    </cfRule>
    <cfRule type="cellIs" dxfId="2084" priority="171" stopIfTrue="1" operator="between">
      <formula>-33</formula>
      <formula>-30</formula>
    </cfRule>
  </conditionalFormatting>
  <conditionalFormatting sqref="BA9">
    <cfRule type="containsBlanks" priority="166" stopIfTrue="1">
      <formula>LEN(TRIM(BA9))=0</formula>
    </cfRule>
    <cfRule type="cellIs" dxfId="2083" priority="167" stopIfTrue="1" operator="greaterThan">
      <formula>-30</formula>
    </cfRule>
    <cfRule type="cellIs" dxfId="2082" priority="168" stopIfTrue="1" operator="between">
      <formula>-33</formula>
      <formula>-30</formula>
    </cfRule>
  </conditionalFormatting>
  <conditionalFormatting sqref="AR7">
    <cfRule type="containsBlanks" priority="163" stopIfTrue="1">
      <formula>LEN(TRIM(AR7))=0</formula>
    </cfRule>
    <cfRule type="cellIs" dxfId="2081" priority="164" stopIfTrue="1" operator="greaterThan">
      <formula>-30</formula>
    </cfRule>
    <cfRule type="cellIs" dxfId="2080" priority="165" stopIfTrue="1" operator="between">
      <formula>-33</formula>
      <formula>-30</formula>
    </cfRule>
  </conditionalFormatting>
  <conditionalFormatting sqref="AR8">
    <cfRule type="containsBlanks" priority="160" stopIfTrue="1">
      <formula>LEN(TRIM(AR8))=0</formula>
    </cfRule>
    <cfRule type="cellIs" dxfId="2079" priority="161" stopIfTrue="1" operator="greaterThan">
      <formula>-30</formula>
    </cfRule>
    <cfRule type="cellIs" dxfId="2078" priority="162" stopIfTrue="1" operator="between">
      <formula>-33</formula>
      <formula>-30</formula>
    </cfRule>
  </conditionalFormatting>
  <conditionalFormatting sqref="AR9">
    <cfRule type="containsBlanks" priority="157" stopIfTrue="1">
      <formula>LEN(TRIM(AR9))=0</formula>
    </cfRule>
    <cfRule type="cellIs" dxfId="2077" priority="158" stopIfTrue="1" operator="greaterThan">
      <formula>-30</formula>
    </cfRule>
    <cfRule type="cellIs" dxfId="2076" priority="159" stopIfTrue="1" operator="between">
      <formula>-33</formula>
      <formula>-30</formula>
    </cfRule>
  </conditionalFormatting>
  <conditionalFormatting sqref="BA7">
    <cfRule type="containsBlanks" priority="154" stopIfTrue="1">
      <formula>LEN(TRIM(BA7))=0</formula>
    </cfRule>
    <cfRule type="cellIs" dxfId="2075" priority="155" stopIfTrue="1" operator="greaterThan">
      <formula>-30</formula>
    </cfRule>
    <cfRule type="cellIs" dxfId="2074" priority="156" stopIfTrue="1" operator="between">
      <formula>-33</formula>
      <formula>-30</formula>
    </cfRule>
  </conditionalFormatting>
  <conditionalFormatting sqref="BA8">
    <cfRule type="containsBlanks" priority="151" stopIfTrue="1">
      <formula>LEN(TRIM(BA8))=0</formula>
    </cfRule>
    <cfRule type="cellIs" dxfId="2073" priority="152" stopIfTrue="1" operator="greaterThan">
      <formula>-30</formula>
    </cfRule>
    <cfRule type="cellIs" dxfId="2072" priority="153" stopIfTrue="1" operator="between">
      <formula>-33</formula>
      <formula>-30</formula>
    </cfRule>
  </conditionalFormatting>
  <conditionalFormatting sqref="BA9">
    <cfRule type="containsBlanks" priority="148" stopIfTrue="1">
      <formula>LEN(TRIM(BA9))=0</formula>
    </cfRule>
    <cfRule type="cellIs" dxfId="2071" priority="149" stopIfTrue="1" operator="greaterThan">
      <formula>-30</formula>
    </cfRule>
    <cfRule type="cellIs" dxfId="2070" priority="150" stopIfTrue="1" operator="between">
      <formula>-33</formula>
      <formula>-30</formula>
    </cfRule>
  </conditionalFormatting>
  <conditionalFormatting sqref="AR10">
    <cfRule type="containsBlanks" priority="145" stopIfTrue="1">
      <formula>LEN(TRIM(AR10))=0</formula>
    </cfRule>
    <cfRule type="cellIs" dxfId="2069" priority="146" stopIfTrue="1" operator="greaterThan">
      <formula>-30</formula>
    </cfRule>
    <cfRule type="cellIs" dxfId="2068" priority="147" stopIfTrue="1" operator="between">
      <formula>-33</formula>
      <formula>-30</formula>
    </cfRule>
  </conditionalFormatting>
  <conditionalFormatting sqref="AR11:AR18">
    <cfRule type="containsBlanks" priority="142" stopIfTrue="1">
      <formula>LEN(TRIM(AR11))=0</formula>
    </cfRule>
    <cfRule type="cellIs" dxfId="2067" priority="143" stopIfTrue="1" operator="greaterThan">
      <formula>-30</formula>
    </cfRule>
    <cfRule type="cellIs" dxfId="2066" priority="144" stopIfTrue="1" operator="between">
      <formula>-33</formula>
      <formula>-30</formula>
    </cfRule>
  </conditionalFormatting>
  <conditionalFormatting sqref="BA10">
    <cfRule type="containsBlanks" priority="139" stopIfTrue="1">
      <formula>LEN(TRIM(BA10))=0</formula>
    </cfRule>
    <cfRule type="cellIs" dxfId="2065" priority="140" stopIfTrue="1" operator="greaterThan">
      <formula>-30</formula>
    </cfRule>
    <cfRule type="cellIs" dxfId="2064" priority="141" stopIfTrue="1" operator="between">
      <formula>-33</formula>
      <formula>-30</formula>
    </cfRule>
  </conditionalFormatting>
  <conditionalFormatting sqref="BA11:BA18">
    <cfRule type="containsBlanks" priority="136" stopIfTrue="1">
      <formula>LEN(TRIM(BA11))=0</formula>
    </cfRule>
    <cfRule type="cellIs" dxfId="2063" priority="137" stopIfTrue="1" operator="greaterThan">
      <formula>-30</formula>
    </cfRule>
    <cfRule type="cellIs" dxfId="2062" priority="138" stopIfTrue="1" operator="between">
      <formula>-33</formula>
      <formula>-30</formula>
    </cfRule>
  </conditionalFormatting>
  <conditionalFormatting sqref="CB11:CB18">
    <cfRule type="containsBlanks" priority="34" stopIfTrue="1">
      <formula>LEN(TRIM(CB11))=0</formula>
    </cfRule>
    <cfRule type="cellIs" dxfId="2061" priority="35" stopIfTrue="1" operator="greaterThan">
      <formula>-30</formula>
    </cfRule>
    <cfRule type="cellIs" dxfId="2060" priority="36" stopIfTrue="1" operator="between">
      <formula>-33</formula>
      <formula>-30</formula>
    </cfRule>
  </conditionalFormatting>
  <conditionalFormatting sqref="BJ10">
    <cfRule type="containsBlanks" priority="31" stopIfTrue="1">
      <formula>LEN(TRIM(BJ10))=0</formula>
    </cfRule>
    <cfRule type="cellIs" dxfId="2059" priority="32" stopIfTrue="1" operator="greaterThan">
      <formula>-30</formula>
    </cfRule>
    <cfRule type="cellIs" dxfId="2058" priority="33" stopIfTrue="1" operator="between">
      <formula>-33</formula>
      <formula>-30</formula>
    </cfRule>
  </conditionalFormatting>
  <conditionalFormatting sqref="BJ11:BJ18">
    <cfRule type="containsBlanks" priority="28" stopIfTrue="1">
      <formula>LEN(TRIM(BJ11))=0</formula>
    </cfRule>
    <cfRule type="cellIs" dxfId="2057" priority="29" stopIfTrue="1" operator="greaterThan">
      <formula>-30</formula>
    </cfRule>
    <cfRule type="cellIs" dxfId="2056" priority="30" stopIfTrue="1" operator="between">
      <formula>-33</formula>
      <formula>-30</formula>
    </cfRule>
  </conditionalFormatting>
  <conditionalFormatting sqref="BS10">
    <cfRule type="containsBlanks" priority="25" stopIfTrue="1">
      <formula>LEN(TRIM(BS10))=0</formula>
    </cfRule>
    <cfRule type="cellIs" dxfId="2055" priority="26" stopIfTrue="1" operator="greaterThan">
      <formula>-30</formula>
    </cfRule>
    <cfRule type="cellIs" dxfId="2054" priority="27" stopIfTrue="1" operator="between">
      <formula>-33</formula>
      <formula>-30</formula>
    </cfRule>
  </conditionalFormatting>
  <conditionalFormatting sqref="BS11:BS18">
    <cfRule type="containsBlanks" priority="22" stopIfTrue="1">
      <formula>LEN(TRIM(BS11))=0</formula>
    </cfRule>
    <cfRule type="cellIs" dxfId="2053" priority="23" stopIfTrue="1" operator="greaterThan">
      <formula>-30</formula>
    </cfRule>
    <cfRule type="cellIs" dxfId="2052" priority="24" stopIfTrue="1" operator="between">
      <formula>-33</formula>
      <formula>-30</formula>
    </cfRule>
  </conditionalFormatting>
  <conditionalFormatting sqref="CB10">
    <cfRule type="containsBlanks" priority="19" stopIfTrue="1">
      <formula>LEN(TRIM(CB10))=0</formula>
    </cfRule>
    <cfRule type="cellIs" dxfId="2051" priority="20" stopIfTrue="1" operator="greaterThan">
      <formula>-30</formula>
    </cfRule>
    <cfRule type="cellIs" dxfId="2050" priority="21" stopIfTrue="1" operator="between">
      <formula>-33</formula>
      <formula>-30</formula>
    </cfRule>
  </conditionalFormatting>
  <conditionalFormatting sqref="CB11:CB18">
    <cfRule type="containsBlanks" priority="16" stopIfTrue="1">
      <formula>LEN(TRIM(CB11))=0</formula>
    </cfRule>
    <cfRule type="cellIs" dxfId="2049" priority="17" stopIfTrue="1" operator="greaterThan">
      <formula>-30</formula>
    </cfRule>
    <cfRule type="cellIs" dxfId="2048" priority="18" stopIfTrue="1" operator="between">
      <formula>-33</formula>
      <formula>-30</formula>
    </cfRule>
  </conditionalFormatting>
  <conditionalFormatting sqref="CK10">
    <cfRule type="containsBlanks" priority="13" stopIfTrue="1">
      <formula>LEN(TRIM(CK10))=0</formula>
    </cfRule>
    <cfRule type="cellIs" dxfId="2047" priority="14" stopIfTrue="1" operator="greaterThan">
      <formula>-30</formula>
    </cfRule>
    <cfRule type="cellIs" dxfId="2046" priority="15" stopIfTrue="1" operator="between">
      <formula>-33</formula>
      <formula>-30</formula>
    </cfRule>
  </conditionalFormatting>
  <conditionalFormatting sqref="CK11:CK18">
    <cfRule type="containsBlanks" priority="10" stopIfTrue="1">
      <formula>LEN(TRIM(CK11))=0</formula>
    </cfRule>
    <cfRule type="cellIs" dxfId="2045" priority="11" stopIfTrue="1" operator="greaterThan">
      <formula>-30</formula>
    </cfRule>
    <cfRule type="cellIs" dxfId="2044" priority="12" stopIfTrue="1" operator="between">
      <formula>-33</formula>
      <formula>-30</formula>
    </cfRule>
  </conditionalFormatting>
  <conditionalFormatting sqref="CT10">
    <cfRule type="containsBlanks" priority="7" stopIfTrue="1">
      <formula>LEN(TRIM(CT10))=0</formula>
    </cfRule>
    <cfRule type="cellIs" dxfId="2043" priority="8" stopIfTrue="1" operator="greaterThan">
      <formula>-30</formula>
    </cfRule>
    <cfRule type="cellIs" dxfId="2042" priority="9" stopIfTrue="1" operator="between">
      <formula>-33</formula>
      <formula>-30</formula>
    </cfRule>
  </conditionalFormatting>
  <conditionalFormatting sqref="CT11:CT18">
    <cfRule type="containsBlanks" priority="4" stopIfTrue="1">
      <formula>LEN(TRIM(CT11))=0</formula>
    </cfRule>
    <cfRule type="cellIs" dxfId="2041" priority="5" stopIfTrue="1" operator="greaterThan">
      <formula>-30</formula>
    </cfRule>
    <cfRule type="cellIs" dxfId="2040" priority="6" stopIfTrue="1" operator="between">
      <formula>-33</formula>
      <formula>-30</formula>
    </cfRule>
  </conditionalFormatting>
  <conditionalFormatting sqref="BJ7">
    <cfRule type="containsBlanks" priority="121" stopIfTrue="1">
      <formula>LEN(TRIM(BJ7))=0</formula>
    </cfRule>
    <cfRule type="cellIs" dxfId="2039" priority="122" stopIfTrue="1" operator="greaterThan">
      <formula>-30</formula>
    </cfRule>
    <cfRule type="cellIs" dxfId="2038" priority="123" stopIfTrue="1" operator="between">
      <formula>-33</formula>
      <formula>-30</formula>
    </cfRule>
  </conditionalFormatting>
  <conditionalFormatting sqref="BJ8">
    <cfRule type="containsBlanks" priority="118" stopIfTrue="1">
      <formula>LEN(TRIM(BJ8))=0</formula>
    </cfRule>
    <cfRule type="cellIs" dxfId="2037" priority="119" stopIfTrue="1" operator="greaterThan">
      <formula>-30</formula>
    </cfRule>
    <cfRule type="cellIs" dxfId="2036" priority="120" stopIfTrue="1" operator="between">
      <formula>-33</formula>
      <formula>-30</formula>
    </cfRule>
  </conditionalFormatting>
  <conditionalFormatting sqref="BJ9">
    <cfRule type="containsBlanks" priority="115" stopIfTrue="1">
      <formula>LEN(TRIM(BJ9))=0</formula>
    </cfRule>
    <cfRule type="cellIs" dxfId="2035" priority="116" stopIfTrue="1" operator="greaterThan">
      <formula>-30</formula>
    </cfRule>
    <cfRule type="cellIs" dxfId="2034" priority="117" stopIfTrue="1" operator="between">
      <formula>-33</formula>
      <formula>-30</formula>
    </cfRule>
  </conditionalFormatting>
  <conditionalFormatting sqref="BS7">
    <cfRule type="containsBlanks" priority="112" stopIfTrue="1">
      <formula>LEN(TRIM(BS7))=0</formula>
    </cfRule>
    <cfRule type="cellIs" dxfId="2033" priority="113" stopIfTrue="1" operator="greaterThan">
      <formula>-30</formula>
    </cfRule>
    <cfRule type="cellIs" dxfId="2032" priority="114" stopIfTrue="1" operator="between">
      <formula>-33</formula>
      <formula>-30</formula>
    </cfRule>
  </conditionalFormatting>
  <conditionalFormatting sqref="BS8">
    <cfRule type="containsBlanks" priority="109" stopIfTrue="1">
      <formula>LEN(TRIM(BS8))=0</formula>
    </cfRule>
    <cfRule type="cellIs" dxfId="2031" priority="110" stopIfTrue="1" operator="greaterThan">
      <formula>-30</formula>
    </cfRule>
    <cfRule type="cellIs" dxfId="2030" priority="111" stopIfTrue="1" operator="between">
      <formula>-33</formula>
      <formula>-30</formula>
    </cfRule>
  </conditionalFormatting>
  <conditionalFormatting sqref="BS9">
    <cfRule type="containsBlanks" priority="106" stopIfTrue="1">
      <formula>LEN(TRIM(BS9))=0</formula>
    </cfRule>
    <cfRule type="cellIs" dxfId="2029" priority="107" stopIfTrue="1" operator="greaterThan">
      <formula>-30</formula>
    </cfRule>
    <cfRule type="cellIs" dxfId="2028" priority="108" stopIfTrue="1" operator="between">
      <formula>-33</formula>
      <formula>-30</formula>
    </cfRule>
  </conditionalFormatting>
  <conditionalFormatting sqref="CB7">
    <cfRule type="containsBlanks" priority="103" stopIfTrue="1">
      <formula>LEN(TRIM(CB7))=0</formula>
    </cfRule>
    <cfRule type="cellIs" dxfId="2027" priority="104" stopIfTrue="1" operator="greaterThan">
      <formula>-30</formula>
    </cfRule>
    <cfRule type="cellIs" dxfId="2026" priority="105" stopIfTrue="1" operator="between">
      <formula>-33</formula>
      <formula>-30</formula>
    </cfRule>
  </conditionalFormatting>
  <conditionalFormatting sqref="CB8">
    <cfRule type="containsBlanks" priority="100" stopIfTrue="1">
      <formula>LEN(TRIM(CB8))=0</formula>
    </cfRule>
    <cfRule type="cellIs" dxfId="2025" priority="101" stopIfTrue="1" operator="greaterThan">
      <formula>-30</formula>
    </cfRule>
    <cfRule type="cellIs" dxfId="2024" priority="102" stopIfTrue="1" operator="between">
      <formula>-33</formula>
      <formula>-30</formula>
    </cfRule>
  </conditionalFormatting>
  <conditionalFormatting sqref="CB9">
    <cfRule type="containsBlanks" priority="97" stopIfTrue="1">
      <formula>LEN(TRIM(CB9))=0</formula>
    </cfRule>
    <cfRule type="cellIs" dxfId="2023" priority="98" stopIfTrue="1" operator="greaterThan">
      <formula>-30</formula>
    </cfRule>
    <cfRule type="cellIs" dxfId="2022" priority="99" stopIfTrue="1" operator="between">
      <formula>-33</formula>
      <formula>-30</formula>
    </cfRule>
  </conditionalFormatting>
  <conditionalFormatting sqref="BJ7">
    <cfRule type="containsBlanks" priority="94" stopIfTrue="1">
      <formula>LEN(TRIM(BJ7))=0</formula>
    </cfRule>
    <cfRule type="cellIs" dxfId="2021" priority="95" stopIfTrue="1" operator="greaterThan">
      <formula>-30</formula>
    </cfRule>
    <cfRule type="cellIs" dxfId="2020" priority="96" stopIfTrue="1" operator="between">
      <formula>-33</formula>
      <formula>-30</formula>
    </cfRule>
  </conditionalFormatting>
  <conditionalFormatting sqref="BJ8">
    <cfRule type="containsBlanks" priority="91" stopIfTrue="1">
      <formula>LEN(TRIM(BJ8))=0</formula>
    </cfRule>
    <cfRule type="cellIs" dxfId="2019" priority="92" stopIfTrue="1" operator="greaterThan">
      <formula>-30</formula>
    </cfRule>
    <cfRule type="cellIs" dxfId="2018" priority="93" stopIfTrue="1" operator="between">
      <formula>-33</formula>
      <formula>-30</formula>
    </cfRule>
  </conditionalFormatting>
  <conditionalFormatting sqref="BJ9">
    <cfRule type="containsBlanks" priority="88" stopIfTrue="1">
      <formula>LEN(TRIM(BJ9))=0</formula>
    </cfRule>
    <cfRule type="cellIs" dxfId="2017" priority="89" stopIfTrue="1" operator="greaterThan">
      <formula>-30</formula>
    </cfRule>
    <cfRule type="cellIs" dxfId="2016" priority="90" stopIfTrue="1" operator="between">
      <formula>-33</formula>
      <formula>-30</formula>
    </cfRule>
  </conditionalFormatting>
  <conditionalFormatting sqref="BS7">
    <cfRule type="containsBlanks" priority="85" stopIfTrue="1">
      <formula>LEN(TRIM(BS7))=0</formula>
    </cfRule>
    <cfRule type="cellIs" dxfId="2015" priority="86" stopIfTrue="1" operator="greaterThan">
      <formula>-30</formula>
    </cfRule>
    <cfRule type="cellIs" dxfId="2014" priority="87" stopIfTrue="1" operator="between">
      <formula>-33</formula>
      <formula>-30</formula>
    </cfRule>
  </conditionalFormatting>
  <conditionalFormatting sqref="BS8">
    <cfRule type="containsBlanks" priority="82" stopIfTrue="1">
      <formula>LEN(TRIM(BS8))=0</formula>
    </cfRule>
    <cfRule type="cellIs" dxfId="2013" priority="83" stopIfTrue="1" operator="greaterThan">
      <formula>-30</formula>
    </cfRule>
    <cfRule type="cellIs" dxfId="2012" priority="84" stopIfTrue="1" operator="between">
      <formula>-33</formula>
      <formula>-30</formula>
    </cfRule>
  </conditionalFormatting>
  <conditionalFormatting sqref="BS9">
    <cfRule type="containsBlanks" priority="79" stopIfTrue="1">
      <formula>LEN(TRIM(BS9))=0</formula>
    </cfRule>
    <cfRule type="cellIs" dxfId="2011" priority="80" stopIfTrue="1" operator="greaterThan">
      <formula>-30</formula>
    </cfRule>
    <cfRule type="cellIs" dxfId="2010" priority="81" stopIfTrue="1" operator="between">
      <formula>-33</formula>
      <formula>-30</formula>
    </cfRule>
  </conditionalFormatting>
  <conditionalFormatting sqref="CB7">
    <cfRule type="containsBlanks" priority="76" stopIfTrue="1">
      <formula>LEN(TRIM(CB7))=0</formula>
    </cfRule>
    <cfRule type="cellIs" dxfId="2009" priority="77" stopIfTrue="1" operator="greaterThan">
      <formula>-30</formula>
    </cfRule>
    <cfRule type="cellIs" dxfId="2008" priority="78" stopIfTrue="1" operator="between">
      <formula>-33</formula>
      <formula>-30</formula>
    </cfRule>
  </conditionalFormatting>
  <conditionalFormatting sqref="CB8">
    <cfRule type="containsBlanks" priority="73" stopIfTrue="1">
      <formula>LEN(TRIM(CB8))=0</formula>
    </cfRule>
    <cfRule type="cellIs" dxfId="2007" priority="74" stopIfTrue="1" operator="greaterThan">
      <formula>-30</formula>
    </cfRule>
    <cfRule type="cellIs" dxfId="2006" priority="75" stopIfTrue="1" operator="between">
      <formula>-33</formula>
      <formula>-30</formula>
    </cfRule>
  </conditionalFormatting>
  <conditionalFormatting sqref="CB9">
    <cfRule type="containsBlanks" priority="70" stopIfTrue="1">
      <formula>LEN(TRIM(CB9))=0</formula>
    </cfRule>
    <cfRule type="cellIs" dxfId="2005" priority="71" stopIfTrue="1" operator="greaterThan">
      <formula>-30</formula>
    </cfRule>
    <cfRule type="cellIs" dxfId="2004" priority="72" stopIfTrue="1" operator="between">
      <formula>-33</formula>
      <formula>-30</formula>
    </cfRule>
  </conditionalFormatting>
  <conditionalFormatting sqref="CK7">
    <cfRule type="containsBlanks" priority="67" stopIfTrue="1">
      <formula>LEN(TRIM(CK7))=0</formula>
    </cfRule>
    <cfRule type="cellIs" dxfId="2003" priority="68" stopIfTrue="1" operator="greaterThan">
      <formula>-30</formula>
    </cfRule>
    <cfRule type="cellIs" dxfId="2002" priority="69" stopIfTrue="1" operator="between">
      <formula>-33</formula>
      <formula>-30</formula>
    </cfRule>
  </conditionalFormatting>
  <conditionalFormatting sqref="CK8">
    <cfRule type="containsBlanks" priority="64" stopIfTrue="1">
      <formula>LEN(TRIM(CK8))=0</formula>
    </cfRule>
    <cfRule type="cellIs" dxfId="2001" priority="65" stopIfTrue="1" operator="greaterThan">
      <formula>-30</formula>
    </cfRule>
    <cfRule type="cellIs" dxfId="2000" priority="66" stopIfTrue="1" operator="between">
      <formula>-33</formula>
      <formula>-30</formula>
    </cfRule>
  </conditionalFormatting>
  <conditionalFormatting sqref="CK9">
    <cfRule type="containsBlanks" priority="61" stopIfTrue="1">
      <formula>LEN(TRIM(CK9))=0</formula>
    </cfRule>
    <cfRule type="cellIs" dxfId="1999" priority="62" stopIfTrue="1" operator="greaterThan">
      <formula>-30</formula>
    </cfRule>
    <cfRule type="cellIs" dxfId="1998" priority="63" stopIfTrue="1" operator="between">
      <formula>-33</formula>
      <formula>-30</formula>
    </cfRule>
  </conditionalFormatting>
  <conditionalFormatting sqref="CT7">
    <cfRule type="containsBlanks" priority="58" stopIfTrue="1">
      <formula>LEN(TRIM(CT7))=0</formula>
    </cfRule>
    <cfRule type="cellIs" dxfId="1997" priority="59" stopIfTrue="1" operator="greaterThan">
      <formula>-30</formula>
    </cfRule>
    <cfRule type="cellIs" dxfId="1996" priority="60" stopIfTrue="1" operator="between">
      <formula>-33</formula>
      <formula>-30</formula>
    </cfRule>
  </conditionalFormatting>
  <conditionalFormatting sqref="CT8">
    <cfRule type="containsBlanks" priority="55" stopIfTrue="1">
      <formula>LEN(TRIM(CT8))=0</formula>
    </cfRule>
    <cfRule type="cellIs" dxfId="1995" priority="56" stopIfTrue="1" operator="greaterThan">
      <formula>-30</formula>
    </cfRule>
    <cfRule type="cellIs" dxfId="1994" priority="57" stopIfTrue="1" operator="between">
      <formula>-33</formula>
      <formula>-30</formula>
    </cfRule>
  </conditionalFormatting>
  <conditionalFormatting sqref="CT9">
    <cfRule type="containsBlanks" priority="52" stopIfTrue="1">
      <formula>LEN(TRIM(CT9))=0</formula>
    </cfRule>
    <cfRule type="cellIs" dxfId="1993" priority="53" stopIfTrue="1" operator="greaterThan">
      <formula>-30</formula>
    </cfRule>
    <cfRule type="cellIs" dxfId="1992" priority="54" stopIfTrue="1" operator="between">
      <formula>-33</formula>
      <formula>-30</formula>
    </cfRule>
  </conditionalFormatting>
  <conditionalFormatting sqref="BJ10">
    <cfRule type="containsBlanks" priority="49" stopIfTrue="1">
      <formula>LEN(TRIM(BJ10))=0</formula>
    </cfRule>
    <cfRule type="cellIs" dxfId="1991" priority="50" stopIfTrue="1" operator="greaterThan">
      <formula>-30</formula>
    </cfRule>
    <cfRule type="cellIs" dxfId="1990" priority="51" stopIfTrue="1" operator="between">
      <formula>-33</formula>
      <formula>-30</formula>
    </cfRule>
  </conditionalFormatting>
  <conditionalFormatting sqref="BJ11:BJ18">
    <cfRule type="containsBlanks" priority="46" stopIfTrue="1">
      <formula>LEN(TRIM(BJ11))=0</formula>
    </cfRule>
    <cfRule type="cellIs" dxfId="1989" priority="47" stopIfTrue="1" operator="greaterThan">
      <formula>-30</formula>
    </cfRule>
    <cfRule type="cellIs" dxfId="1988" priority="48" stopIfTrue="1" operator="between">
      <formula>-33</formula>
      <formula>-30</formula>
    </cfRule>
  </conditionalFormatting>
  <conditionalFormatting sqref="BS10">
    <cfRule type="containsBlanks" priority="43" stopIfTrue="1">
      <formula>LEN(TRIM(BS10))=0</formula>
    </cfRule>
    <cfRule type="cellIs" dxfId="1987" priority="44" stopIfTrue="1" operator="greaterThan">
      <formula>-30</formula>
    </cfRule>
    <cfRule type="cellIs" dxfId="1986" priority="45" stopIfTrue="1" operator="between">
      <formula>-33</formula>
      <formula>-30</formula>
    </cfRule>
  </conditionalFormatting>
  <conditionalFormatting sqref="BS11:BS18">
    <cfRule type="containsBlanks" priority="40" stopIfTrue="1">
      <formula>LEN(TRIM(BS11))=0</formula>
    </cfRule>
    <cfRule type="cellIs" dxfId="1985" priority="41" stopIfTrue="1" operator="greaterThan">
      <formula>-30</formula>
    </cfRule>
    <cfRule type="cellIs" dxfId="1984" priority="42" stopIfTrue="1" operator="between">
      <formula>-33</formula>
      <formula>-30</formula>
    </cfRule>
  </conditionalFormatting>
  <conditionalFormatting sqref="CB10">
    <cfRule type="containsBlanks" priority="37" stopIfTrue="1">
      <formula>LEN(TRIM(CB10))=0</formula>
    </cfRule>
    <cfRule type="cellIs" dxfId="1983" priority="38" stopIfTrue="1" operator="greaterThan">
      <formula>-30</formula>
    </cfRule>
    <cfRule type="cellIs" dxfId="1982" priority="39" stopIfTrue="1" operator="between">
      <formula>-33</formula>
      <formula>-30</formula>
    </cfRule>
  </conditionalFormatting>
  <conditionalFormatting sqref="H8">
    <cfRule type="containsBlanks" priority="1" stopIfTrue="1">
      <formula>LEN(TRIM(H8))=0</formula>
    </cfRule>
    <cfRule type="cellIs" dxfId="1981" priority="2" stopIfTrue="1" operator="greaterThan">
      <formula>-30</formula>
    </cfRule>
    <cfRule type="cellIs" dxfId="1980" priority="3" stopIfTrue="1" operator="between">
      <formula>-33</formula>
      <formula>-30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CU22"/>
  <sheetViews>
    <sheetView topLeftCell="BR1" zoomScale="80" zoomScaleNormal="80" workbookViewId="0">
      <selection activeCell="CB7" sqref="CB7:CB22"/>
    </sheetView>
  </sheetViews>
  <sheetFormatPr defaultRowHeight="13.5"/>
  <cols>
    <col min="3" max="3" width="9.875" bestFit="1" customWidth="1"/>
    <col min="4" max="4" width="9" customWidth="1"/>
    <col min="9" max="9" width="7.625" bestFit="1" customWidth="1"/>
    <col min="10" max="10" width="7.75" bestFit="1" customWidth="1"/>
    <col min="11" max="11" width="8" bestFit="1" customWidth="1"/>
    <col min="12" max="12" width="9.875" bestFit="1" customWidth="1"/>
    <col min="18" max="18" width="7.625" bestFit="1" customWidth="1"/>
    <col min="19" max="19" width="7.75" bestFit="1" customWidth="1"/>
    <col min="20" max="20" width="8" bestFit="1" customWidth="1"/>
    <col min="21" max="21" width="9.875" bestFit="1" customWidth="1"/>
    <col min="22" max="22" width="9" customWidth="1"/>
    <col min="259" max="259" width="9.875" bestFit="1" customWidth="1"/>
    <col min="260" max="260" width="9" customWidth="1"/>
    <col min="265" max="265" width="7.625" bestFit="1" customWidth="1"/>
    <col min="266" max="266" width="7.75" bestFit="1" customWidth="1"/>
    <col min="267" max="267" width="8" bestFit="1" customWidth="1"/>
    <col min="268" max="268" width="9.875" bestFit="1" customWidth="1"/>
    <col min="274" max="274" width="7.625" bestFit="1" customWidth="1"/>
    <col min="275" max="275" width="7.75" bestFit="1" customWidth="1"/>
    <col min="276" max="276" width="8" bestFit="1" customWidth="1"/>
    <col min="277" max="277" width="9.875" bestFit="1" customWidth="1"/>
    <col min="278" max="278" width="9" customWidth="1"/>
    <col min="515" max="515" width="9.875" bestFit="1" customWidth="1"/>
    <col min="516" max="516" width="9" customWidth="1"/>
    <col min="521" max="521" width="7.625" bestFit="1" customWidth="1"/>
    <col min="522" max="522" width="7.75" bestFit="1" customWidth="1"/>
    <col min="523" max="523" width="8" bestFit="1" customWidth="1"/>
    <col min="524" max="524" width="9.875" bestFit="1" customWidth="1"/>
    <col min="530" max="530" width="7.625" bestFit="1" customWidth="1"/>
    <col min="531" max="531" width="7.75" bestFit="1" customWidth="1"/>
    <col min="532" max="532" width="8" bestFit="1" customWidth="1"/>
    <col min="533" max="533" width="9.875" bestFit="1" customWidth="1"/>
    <col min="534" max="534" width="9" customWidth="1"/>
    <col min="771" max="771" width="9.875" bestFit="1" customWidth="1"/>
    <col min="772" max="772" width="9" customWidth="1"/>
    <col min="777" max="777" width="7.625" bestFit="1" customWidth="1"/>
    <col min="778" max="778" width="7.75" bestFit="1" customWidth="1"/>
    <col min="779" max="779" width="8" bestFit="1" customWidth="1"/>
    <col min="780" max="780" width="9.875" bestFit="1" customWidth="1"/>
    <col min="786" max="786" width="7.625" bestFit="1" customWidth="1"/>
    <col min="787" max="787" width="7.75" bestFit="1" customWidth="1"/>
    <col min="788" max="788" width="8" bestFit="1" customWidth="1"/>
    <col min="789" max="789" width="9.875" bestFit="1" customWidth="1"/>
    <col min="790" max="790" width="9" customWidth="1"/>
    <col min="1027" max="1027" width="9.875" bestFit="1" customWidth="1"/>
    <col min="1028" max="1028" width="9" customWidth="1"/>
    <col min="1033" max="1033" width="7.625" bestFit="1" customWidth="1"/>
    <col min="1034" max="1034" width="7.75" bestFit="1" customWidth="1"/>
    <col min="1035" max="1035" width="8" bestFit="1" customWidth="1"/>
    <col min="1036" max="1036" width="9.875" bestFit="1" customWidth="1"/>
    <col min="1042" max="1042" width="7.625" bestFit="1" customWidth="1"/>
    <col min="1043" max="1043" width="7.75" bestFit="1" customWidth="1"/>
    <col min="1044" max="1044" width="8" bestFit="1" customWidth="1"/>
    <col min="1045" max="1045" width="9.875" bestFit="1" customWidth="1"/>
    <col min="1046" max="1046" width="9" customWidth="1"/>
    <col min="1283" max="1283" width="9.875" bestFit="1" customWidth="1"/>
    <col min="1284" max="1284" width="9" customWidth="1"/>
    <col min="1289" max="1289" width="7.625" bestFit="1" customWidth="1"/>
    <col min="1290" max="1290" width="7.75" bestFit="1" customWidth="1"/>
    <col min="1291" max="1291" width="8" bestFit="1" customWidth="1"/>
    <col min="1292" max="1292" width="9.875" bestFit="1" customWidth="1"/>
    <col min="1298" max="1298" width="7.625" bestFit="1" customWidth="1"/>
    <col min="1299" max="1299" width="7.75" bestFit="1" customWidth="1"/>
    <col min="1300" max="1300" width="8" bestFit="1" customWidth="1"/>
    <col min="1301" max="1301" width="9.875" bestFit="1" customWidth="1"/>
    <col min="1302" max="1302" width="9" customWidth="1"/>
    <col min="1539" max="1539" width="9.875" bestFit="1" customWidth="1"/>
    <col min="1540" max="1540" width="9" customWidth="1"/>
    <col min="1545" max="1545" width="7.625" bestFit="1" customWidth="1"/>
    <col min="1546" max="1546" width="7.75" bestFit="1" customWidth="1"/>
    <col min="1547" max="1547" width="8" bestFit="1" customWidth="1"/>
    <col min="1548" max="1548" width="9.875" bestFit="1" customWidth="1"/>
    <col min="1554" max="1554" width="7.625" bestFit="1" customWidth="1"/>
    <col min="1555" max="1555" width="7.75" bestFit="1" customWidth="1"/>
    <col min="1556" max="1556" width="8" bestFit="1" customWidth="1"/>
    <col min="1557" max="1557" width="9.875" bestFit="1" customWidth="1"/>
    <col min="1558" max="1558" width="9" customWidth="1"/>
    <col min="1795" max="1795" width="9.875" bestFit="1" customWidth="1"/>
    <col min="1796" max="1796" width="9" customWidth="1"/>
    <col min="1801" max="1801" width="7.625" bestFit="1" customWidth="1"/>
    <col min="1802" max="1802" width="7.75" bestFit="1" customWidth="1"/>
    <col min="1803" max="1803" width="8" bestFit="1" customWidth="1"/>
    <col min="1804" max="1804" width="9.875" bestFit="1" customWidth="1"/>
    <col min="1810" max="1810" width="7.625" bestFit="1" customWidth="1"/>
    <col min="1811" max="1811" width="7.75" bestFit="1" customWidth="1"/>
    <col min="1812" max="1812" width="8" bestFit="1" customWidth="1"/>
    <col min="1813" max="1813" width="9.875" bestFit="1" customWidth="1"/>
    <col min="1814" max="1814" width="9" customWidth="1"/>
    <col min="2051" max="2051" width="9.875" bestFit="1" customWidth="1"/>
    <col min="2052" max="2052" width="9" customWidth="1"/>
    <col min="2057" max="2057" width="7.625" bestFit="1" customWidth="1"/>
    <col min="2058" max="2058" width="7.75" bestFit="1" customWidth="1"/>
    <col min="2059" max="2059" width="8" bestFit="1" customWidth="1"/>
    <col min="2060" max="2060" width="9.875" bestFit="1" customWidth="1"/>
    <col min="2066" max="2066" width="7.625" bestFit="1" customWidth="1"/>
    <col min="2067" max="2067" width="7.75" bestFit="1" customWidth="1"/>
    <col min="2068" max="2068" width="8" bestFit="1" customWidth="1"/>
    <col min="2069" max="2069" width="9.875" bestFit="1" customWidth="1"/>
    <col min="2070" max="2070" width="9" customWidth="1"/>
    <col min="2307" max="2307" width="9.875" bestFit="1" customWidth="1"/>
    <col min="2308" max="2308" width="9" customWidth="1"/>
    <col min="2313" max="2313" width="7.625" bestFit="1" customWidth="1"/>
    <col min="2314" max="2314" width="7.75" bestFit="1" customWidth="1"/>
    <col min="2315" max="2315" width="8" bestFit="1" customWidth="1"/>
    <col min="2316" max="2316" width="9.875" bestFit="1" customWidth="1"/>
    <col min="2322" max="2322" width="7.625" bestFit="1" customWidth="1"/>
    <col min="2323" max="2323" width="7.75" bestFit="1" customWidth="1"/>
    <col min="2324" max="2324" width="8" bestFit="1" customWidth="1"/>
    <col min="2325" max="2325" width="9.875" bestFit="1" customWidth="1"/>
    <col min="2326" max="2326" width="9" customWidth="1"/>
    <col min="2563" max="2563" width="9.875" bestFit="1" customWidth="1"/>
    <col min="2564" max="2564" width="9" customWidth="1"/>
    <col min="2569" max="2569" width="7.625" bestFit="1" customWidth="1"/>
    <col min="2570" max="2570" width="7.75" bestFit="1" customWidth="1"/>
    <col min="2571" max="2571" width="8" bestFit="1" customWidth="1"/>
    <col min="2572" max="2572" width="9.875" bestFit="1" customWidth="1"/>
    <col min="2578" max="2578" width="7.625" bestFit="1" customWidth="1"/>
    <col min="2579" max="2579" width="7.75" bestFit="1" customWidth="1"/>
    <col min="2580" max="2580" width="8" bestFit="1" customWidth="1"/>
    <col min="2581" max="2581" width="9.875" bestFit="1" customWidth="1"/>
    <col min="2582" max="2582" width="9" customWidth="1"/>
    <col min="2819" max="2819" width="9.875" bestFit="1" customWidth="1"/>
    <col min="2820" max="2820" width="9" customWidth="1"/>
    <col min="2825" max="2825" width="7.625" bestFit="1" customWidth="1"/>
    <col min="2826" max="2826" width="7.75" bestFit="1" customWidth="1"/>
    <col min="2827" max="2827" width="8" bestFit="1" customWidth="1"/>
    <col min="2828" max="2828" width="9.875" bestFit="1" customWidth="1"/>
    <col min="2834" max="2834" width="7.625" bestFit="1" customWidth="1"/>
    <col min="2835" max="2835" width="7.75" bestFit="1" customWidth="1"/>
    <col min="2836" max="2836" width="8" bestFit="1" customWidth="1"/>
    <col min="2837" max="2837" width="9.875" bestFit="1" customWidth="1"/>
    <col min="2838" max="2838" width="9" customWidth="1"/>
    <col min="3075" max="3075" width="9.875" bestFit="1" customWidth="1"/>
    <col min="3076" max="3076" width="9" customWidth="1"/>
    <col min="3081" max="3081" width="7.625" bestFit="1" customWidth="1"/>
    <col min="3082" max="3082" width="7.75" bestFit="1" customWidth="1"/>
    <col min="3083" max="3083" width="8" bestFit="1" customWidth="1"/>
    <col min="3084" max="3084" width="9.875" bestFit="1" customWidth="1"/>
    <col min="3090" max="3090" width="7.625" bestFit="1" customWidth="1"/>
    <col min="3091" max="3091" width="7.75" bestFit="1" customWidth="1"/>
    <col min="3092" max="3092" width="8" bestFit="1" customWidth="1"/>
    <col min="3093" max="3093" width="9.875" bestFit="1" customWidth="1"/>
    <col min="3094" max="3094" width="9" customWidth="1"/>
    <col min="3331" max="3331" width="9.875" bestFit="1" customWidth="1"/>
    <col min="3332" max="3332" width="9" customWidth="1"/>
    <col min="3337" max="3337" width="7.625" bestFit="1" customWidth="1"/>
    <col min="3338" max="3338" width="7.75" bestFit="1" customWidth="1"/>
    <col min="3339" max="3339" width="8" bestFit="1" customWidth="1"/>
    <col min="3340" max="3340" width="9.875" bestFit="1" customWidth="1"/>
    <col min="3346" max="3346" width="7.625" bestFit="1" customWidth="1"/>
    <col min="3347" max="3347" width="7.75" bestFit="1" customWidth="1"/>
    <col min="3348" max="3348" width="8" bestFit="1" customWidth="1"/>
    <col min="3349" max="3349" width="9.875" bestFit="1" customWidth="1"/>
    <col min="3350" max="3350" width="9" customWidth="1"/>
    <col min="3587" max="3587" width="9.875" bestFit="1" customWidth="1"/>
    <col min="3588" max="3588" width="9" customWidth="1"/>
    <col min="3593" max="3593" width="7.625" bestFit="1" customWidth="1"/>
    <col min="3594" max="3594" width="7.75" bestFit="1" customWidth="1"/>
    <col min="3595" max="3595" width="8" bestFit="1" customWidth="1"/>
    <col min="3596" max="3596" width="9.875" bestFit="1" customWidth="1"/>
    <col min="3602" max="3602" width="7.625" bestFit="1" customWidth="1"/>
    <col min="3603" max="3603" width="7.75" bestFit="1" customWidth="1"/>
    <col min="3604" max="3604" width="8" bestFit="1" customWidth="1"/>
    <col min="3605" max="3605" width="9.875" bestFit="1" customWidth="1"/>
    <col min="3606" max="3606" width="9" customWidth="1"/>
    <col min="3843" max="3843" width="9.875" bestFit="1" customWidth="1"/>
    <col min="3844" max="3844" width="9" customWidth="1"/>
    <col min="3849" max="3849" width="7.625" bestFit="1" customWidth="1"/>
    <col min="3850" max="3850" width="7.75" bestFit="1" customWidth="1"/>
    <col min="3851" max="3851" width="8" bestFit="1" customWidth="1"/>
    <col min="3852" max="3852" width="9.875" bestFit="1" customWidth="1"/>
    <col min="3858" max="3858" width="7.625" bestFit="1" customWidth="1"/>
    <col min="3859" max="3859" width="7.75" bestFit="1" customWidth="1"/>
    <col min="3860" max="3860" width="8" bestFit="1" customWidth="1"/>
    <col min="3861" max="3861" width="9.875" bestFit="1" customWidth="1"/>
    <col min="3862" max="3862" width="9" customWidth="1"/>
    <col min="4099" max="4099" width="9.875" bestFit="1" customWidth="1"/>
    <col min="4100" max="4100" width="9" customWidth="1"/>
    <col min="4105" max="4105" width="7.625" bestFit="1" customWidth="1"/>
    <col min="4106" max="4106" width="7.75" bestFit="1" customWidth="1"/>
    <col min="4107" max="4107" width="8" bestFit="1" customWidth="1"/>
    <col min="4108" max="4108" width="9.875" bestFit="1" customWidth="1"/>
    <col min="4114" max="4114" width="7.625" bestFit="1" customWidth="1"/>
    <col min="4115" max="4115" width="7.75" bestFit="1" customWidth="1"/>
    <col min="4116" max="4116" width="8" bestFit="1" customWidth="1"/>
    <col min="4117" max="4117" width="9.875" bestFit="1" customWidth="1"/>
    <col min="4118" max="4118" width="9" customWidth="1"/>
    <col min="4355" max="4355" width="9.875" bestFit="1" customWidth="1"/>
    <col min="4356" max="4356" width="9" customWidth="1"/>
    <col min="4361" max="4361" width="7.625" bestFit="1" customWidth="1"/>
    <col min="4362" max="4362" width="7.75" bestFit="1" customWidth="1"/>
    <col min="4363" max="4363" width="8" bestFit="1" customWidth="1"/>
    <col min="4364" max="4364" width="9.875" bestFit="1" customWidth="1"/>
    <col min="4370" max="4370" width="7.625" bestFit="1" customWidth="1"/>
    <col min="4371" max="4371" width="7.75" bestFit="1" customWidth="1"/>
    <col min="4372" max="4372" width="8" bestFit="1" customWidth="1"/>
    <col min="4373" max="4373" width="9.875" bestFit="1" customWidth="1"/>
    <col min="4374" max="4374" width="9" customWidth="1"/>
    <col min="4611" max="4611" width="9.875" bestFit="1" customWidth="1"/>
    <col min="4612" max="4612" width="9" customWidth="1"/>
    <col min="4617" max="4617" width="7.625" bestFit="1" customWidth="1"/>
    <col min="4618" max="4618" width="7.75" bestFit="1" customWidth="1"/>
    <col min="4619" max="4619" width="8" bestFit="1" customWidth="1"/>
    <col min="4620" max="4620" width="9.875" bestFit="1" customWidth="1"/>
    <col min="4626" max="4626" width="7.625" bestFit="1" customWidth="1"/>
    <col min="4627" max="4627" width="7.75" bestFit="1" customWidth="1"/>
    <col min="4628" max="4628" width="8" bestFit="1" customWidth="1"/>
    <col min="4629" max="4629" width="9.875" bestFit="1" customWidth="1"/>
    <col min="4630" max="4630" width="9" customWidth="1"/>
    <col min="4867" max="4867" width="9.875" bestFit="1" customWidth="1"/>
    <col min="4868" max="4868" width="9" customWidth="1"/>
    <col min="4873" max="4873" width="7.625" bestFit="1" customWidth="1"/>
    <col min="4874" max="4874" width="7.75" bestFit="1" customWidth="1"/>
    <col min="4875" max="4875" width="8" bestFit="1" customWidth="1"/>
    <col min="4876" max="4876" width="9.875" bestFit="1" customWidth="1"/>
    <col min="4882" max="4882" width="7.625" bestFit="1" customWidth="1"/>
    <col min="4883" max="4883" width="7.75" bestFit="1" customWidth="1"/>
    <col min="4884" max="4884" width="8" bestFit="1" customWidth="1"/>
    <col min="4885" max="4885" width="9.875" bestFit="1" customWidth="1"/>
    <col min="4886" max="4886" width="9" customWidth="1"/>
    <col min="5123" max="5123" width="9.875" bestFit="1" customWidth="1"/>
    <col min="5124" max="5124" width="9" customWidth="1"/>
    <col min="5129" max="5129" width="7.625" bestFit="1" customWidth="1"/>
    <col min="5130" max="5130" width="7.75" bestFit="1" customWidth="1"/>
    <col min="5131" max="5131" width="8" bestFit="1" customWidth="1"/>
    <col min="5132" max="5132" width="9.875" bestFit="1" customWidth="1"/>
    <col min="5138" max="5138" width="7.625" bestFit="1" customWidth="1"/>
    <col min="5139" max="5139" width="7.75" bestFit="1" customWidth="1"/>
    <col min="5140" max="5140" width="8" bestFit="1" customWidth="1"/>
    <col min="5141" max="5141" width="9.875" bestFit="1" customWidth="1"/>
    <col min="5142" max="5142" width="9" customWidth="1"/>
    <col min="5379" max="5379" width="9.875" bestFit="1" customWidth="1"/>
    <col min="5380" max="5380" width="9" customWidth="1"/>
    <col min="5385" max="5385" width="7.625" bestFit="1" customWidth="1"/>
    <col min="5386" max="5386" width="7.75" bestFit="1" customWidth="1"/>
    <col min="5387" max="5387" width="8" bestFit="1" customWidth="1"/>
    <col min="5388" max="5388" width="9.875" bestFit="1" customWidth="1"/>
    <col min="5394" max="5394" width="7.625" bestFit="1" customWidth="1"/>
    <col min="5395" max="5395" width="7.75" bestFit="1" customWidth="1"/>
    <col min="5396" max="5396" width="8" bestFit="1" customWidth="1"/>
    <col min="5397" max="5397" width="9.875" bestFit="1" customWidth="1"/>
    <col min="5398" max="5398" width="9" customWidth="1"/>
    <col min="5635" max="5635" width="9.875" bestFit="1" customWidth="1"/>
    <col min="5636" max="5636" width="9" customWidth="1"/>
    <col min="5641" max="5641" width="7.625" bestFit="1" customWidth="1"/>
    <col min="5642" max="5642" width="7.75" bestFit="1" customWidth="1"/>
    <col min="5643" max="5643" width="8" bestFit="1" customWidth="1"/>
    <col min="5644" max="5644" width="9.875" bestFit="1" customWidth="1"/>
    <col min="5650" max="5650" width="7.625" bestFit="1" customWidth="1"/>
    <col min="5651" max="5651" width="7.75" bestFit="1" customWidth="1"/>
    <col min="5652" max="5652" width="8" bestFit="1" customWidth="1"/>
    <col min="5653" max="5653" width="9.875" bestFit="1" customWidth="1"/>
    <col min="5654" max="5654" width="9" customWidth="1"/>
    <col min="5891" max="5891" width="9.875" bestFit="1" customWidth="1"/>
    <col min="5892" max="5892" width="9" customWidth="1"/>
    <col min="5897" max="5897" width="7.625" bestFit="1" customWidth="1"/>
    <col min="5898" max="5898" width="7.75" bestFit="1" customWidth="1"/>
    <col min="5899" max="5899" width="8" bestFit="1" customWidth="1"/>
    <col min="5900" max="5900" width="9.875" bestFit="1" customWidth="1"/>
    <col min="5906" max="5906" width="7.625" bestFit="1" customWidth="1"/>
    <col min="5907" max="5907" width="7.75" bestFit="1" customWidth="1"/>
    <col min="5908" max="5908" width="8" bestFit="1" customWidth="1"/>
    <col min="5909" max="5909" width="9.875" bestFit="1" customWidth="1"/>
    <col min="5910" max="5910" width="9" customWidth="1"/>
    <col min="6147" max="6147" width="9.875" bestFit="1" customWidth="1"/>
    <col min="6148" max="6148" width="9" customWidth="1"/>
    <col min="6153" max="6153" width="7.625" bestFit="1" customWidth="1"/>
    <col min="6154" max="6154" width="7.75" bestFit="1" customWidth="1"/>
    <col min="6155" max="6155" width="8" bestFit="1" customWidth="1"/>
    <col min="6156" max="6156" width="9.875" bestFit="1" customWidth="1"/>
    <col min="6162" max="6162" width="7.625" bestFit="1" customWidth="1"/>
    <col min="6163" max="6163" width="7.75" bestFit="1" customWidth="1"/>
    <col min="6164" max="6164" width="8" bestFit="1" customWidth="1"/>
    <col min="6165" max="6165" width="9.875" bestFit="1" customWidth="1"/>
    <col min="6166" max="6166" width="9" customWidth="1"/>
    <col min="6403" max="6403" width="9.875" bestFit="1" customWidth="1"/>
    <col min="6404" max="6404" width="9" customWidth="1"/>
    <col min="6409" max="6409" width="7.625" bestFit="1" customWidth="1"/>
    <col min="6410" max="6410" width="7.75" bestFit="1" customWidth="1"/>
    <col min="6411" max="6411" width="8" bestFit="1" customWidth="1"/>
    <col min="6412" max="6412" width="9.875" bestFit="1" customWidth="1"/>
    <col min="6418" max="6418" width="7.625" bestFit="1" customWidth="1"/>
    <col min="6419" max="6419" width="7.75" bestFit="1" customWidth="1"/>
    <col min="6420" max="6420" width="8" bestFit="1" customWidth="1"/>
    <col min="6421" max="6421" width="9.875" bestFit="1" customWidth="1"/>
    <col min="6422" max="6422" width="9" customWidth="1"/>
    <col min="6659" max="6659" width="9.875" bestFit="1" customWidth="1"/>
    <col min="6660" max="6660" width="9" customWidth="1"/>
    <col min="6665" max="6665" width="7.625" bestFit="1" customWidth="1"/>
    <col min="6666" max="6666" width="7.75" bestFit="1" customWidth="1"/>
    <col min="6667" max="6667" width="8" bestFit="1" customWidth="1"/>
    <col min="6668" max="6668" width="9.875" bestFit="1" customWidth="1"/>
    <col min="6674" max="6674" width="7.625" bestFit="1" customWidth="1"/>
    <col min="6675" max="6675" width="7.75" bestFit="1" customWidth="1"/>
    <col min="6676" max="6676" width="8" bestFit="1" customWidth="1"/>
    <col min="6677" max="6677" width="9.875" bestFit="1" customWidth="1"/>
    <col min="6678" max="6678" width="9" customWidth="1"/>
    <col min="6915" max="6915" width="9.875" bestFit="1" customWidth="1"/>
    <col min="6916" max="6916" width="9" customWidth="1"/>
    <col min="6921" max="6921" width="7.625" bestFit="1" customWidth="1"/>
    <col min="6922" max="6922" width="7.75" bestFit="1" customWidth="1"/>
    <col min="6923" max="6923" width="8" bestFit="1" customWidth="1"/>
    <col min="6924" max="6924" width="9.875" bestFit="1" customWidth="1"/>
    <col min="6930" max="6930" width="7.625" bestFit="1" customWidth="1"/>
    <col min="6931" max="6931" width="7.75" bestFit="1" customWidth="1"/>
    <col min="6932" max="6932" width="8" bestFit="1" customWidth="1"/>
    <col min="6933" max="6933" width="9.875" bestFit="1" customWidth="1"/>
    <col min="6934" max="6934" width="9" customWidth="1"/>
    <col min="7171" max="7171" width="9.875" bestFit="1" customWidth="1"/>
    <col min="7172" max="7172" width="9" customWidth="1"/>
    <col min="7177" max="7177" width="7.625" bestFit="1" customWidth="1"/>
    <col min="7178" max="7178" width="7.75" bestFit="1" customWidth="1"/>
    <col min="7179" max="7179" width="8" bestFit="1" customWidth="1"/>
    <col min="7180" max="7180" width="9.875" bestFit="1" customWidth="1"/>
    <col min="7186" max="7186" width="7.625" bestFit="1" customWidth="1"/>
    <col min="7187" max="7187" width="7.75" bestFit="1" customWidth="1"/>
    <col min="7188" max="7188" width="8" bestFit="1" customWidth="1"/>
    <col min="7189" max="7189" width="9.875" bestFit="1" customWidth="1"/>
    <col min="7190" max="7190" width="9" customWidth="1"/>
    <col min="7427" max="7427" width="9.875" bestFit="1" customWidth="1"/>
    <col min="7428" max="7428" width="9" customWidth="1"/>
    <col min="7433" max="7433" width="7.625" bestFit="1" customWidth="1"/>
    <col min="7434" max="7434" width="7.75" bestFit="1" customWidth="1"/>
    <col min="7435" max="7435" width="8" bestFit="1" customWidth="1"/>
    <col min="7436" max="7436" width="9.875" bestFit="1" customWidth="1"/>
    <col min="7442" max="7442" width="7.625" bestFit="1" customWidth="1"/>
    <col min="7443" max="7443" width="7.75" bestFit="1" customWidth="1"/>
    <col min="7444" max="7444" width="8" bestFit="1" customWidth="1"/>
    <col min="7445" max="7445" width="9.875" bestFit="1" customWidth="1"/>
    <col min="7446" max="7446" width="9" customWidth="1"/>
    <col min="7683" max="7683" width="9.875" bestFit="1" customWidth="1"/>
    <col min="7684" max="7684" width="9" customWidth="1"/>
    <col min="7689" max="7689" width="7.625" bestFit="1" customWidth="1"/>
    <col min="7690" max="7690" width="7.75" bestFit="1" customWidth="1"/>
    <col min="7691" max="7691" width="8" bestFit="1" customWidth="1"/>
    <col min="7692" max="7692" width="9.875" bestFit="1" customWidth="1"/>
    <col min="7698" max="7698" width="7.625" bestFit="1" customWidth="1"/>
    <col min="7699" max="7699" width="7.75" bestFit="1" customWidth="1"/>
    <col min="7700" max="7700" width="8" bestFit="1" customWidth="1"/>
    <col min="7701" max="7701" width="9.875" bestFit="1" customWidth="1"/>
    <col min="7702" max="7702" width="9" customWidth="1"/>
    <col min="7939" max="7939" width="9.875" bestFit="1" customWidth="1"/>
    <col min="7940" max="7940" width="9" customWidth="1"/>
    <col min="7945" max="7945" width="7.625" bestFit="1" customWidth="1"/>
    <col min="7946" max="7946" width="7.75" bestFit="1" customWidth="1"/>
    <col min="7947" max="7947" width="8" bestFit="1" customWidth="1"/>
    <col min="7948" max="7948" width="9.875" bestFit="1" customWidth="1"/>
    <col min="7954" max="7954" width="7.625" bestFit="1" customWidth="1"/>
    <col min="7955" max="7955" width="7.75" bestFit="1" customWidth="1"/>
    <col min="7956" max="7956" width="8" bestFit="1" customWidth="1"/>
    <col min="7957" max="7957" width="9.875" bestFit="1" customWidth="1"/>
    <col min="7958" max="7958" width="9" customWidth="1"/>
    <col min="8195" max="8195" width="9.875" bestFit="1" customWidth="1"/>
    <col min="8196" max="8196" width="9" customWidth="1"/>
    <col min="8201" max="8201" width="7.625" bestFit="1" customWidth="1"/>
    <col min="8202" max="8202" width="7.75" bestFit="1" customWidth="1"/>
    <col min="8203" max="8203" width="8" bestFit="1" customWidth="1"/>
    <col min="8204" max="8204" width="9.875" bestFit="1" customWidth="1"/>
    <col min="8210" max="8210" width="7.625" bestFit="1" customWidth="1"/>
    <col min="8211" max="8211" width="7.75" bestFit="1" customWidth="1"/>
    <col min="8212" max="8212" width="8" bestFit="1" customWidth="1"/>
    <col min="8213" max="8213" width="9.875" bestFit="1" customWidth="1"/>
    <col min="8214" max="8214" width="9" customWidth="1"/>
    <col min="8451" max="8451" width="9.875" bestFit="1" customWidth="1"/>
    <col min="8452" max="8452" width="9" customWidth="1"/>
    <col min="8457" max="8457" width="7.625" bestFit="1" customWidth="1"/>
    <col min="8458" max="8458" width="7.75" bestFit="1" customWidth="1"/>
    <col min="8459" max="8459" width="8" bestFit="1" customWidth="1"/>
    <col min="8460" max="8460" width="9.875" bestFit="1" customWidth="1"/>
    <col min="8466" max="8466" width="7.625" bestFit="1" customWidth="1"/>
    <col min="8467" max="8467" width="7.75" bestFit="1" customWidth="1"/>
    <col min="8468" max="8468" width="8" bestFit="1" customWidth="1"/>
    <col min="8469" max="8469" width="9.875" bestFit="1" customWidth="1"/>
    <col min="8470" max="8470" width="9" customWidth="1"/>
    <col min="8707" max="8707" width="9.875" bestFit="1" customWidth="1"/>
    <col min="8708" max="8708" width="9" customWidth="1"/>
    <col min="8713" max="8713" width="7.625" bestFit="1" customWidth="1"/>
    <col min="8714" max="8714" width="7.75" bestFit="1" customWidth="1"/>
    <col min="8715" max="8715" width="8" bestFit="1" customWidth="1"/>
    <col min="8716" max="8716" width="9.875" bestFit="1" customWidth="1"/>
    <col min="8722" max="8722" width="7.625" bestFit="1" customWidth="1"/>
    <col min="8723" max="8723" width="7.75" bestFit="1" customWidth="1"/>
    <col min="8724" max="8724" width="8" bestFit="1" customWidth="1"/>
    <col min="8725" max="8725" width="9.875" bestFit="1" customWidth="1"/>
    <col min="8726" max="8726" width="9" customWidth="1"/>
    <col min="8963" max="8963" width="9.875" bestFit="1" customWidth="1"/>
    <col min="8964" max="8964" width="9" customWidth="1"/>
    <col min="8969" max="8969" width="7.625" bestFit="1" customWidth="1"/>
    <col min="8970" max="8970" width="7.75" bestFit="1" customWidth="1"/>
    <col min="8971" max="8971" width="8" bestFit="1" customWidth="1"/>
    <col min="8972" max="8972" width="9.875" bestFit="1" customWidth="1"/>
    <col min="8978" max="8978" width="7.625" bestFit="1" customWidth="1"/>
    <col min="8979" max="8979" width="7.75" bestFit="1" customWidth="1"/>
    <col min="8980" max="8980" width="8" bestFit="1" customWidth="1"/>
    <col min="8981" max="8981" width="9.875" bestFit="1" customWidth="1"/>
    <col min="8982" max="8982" width="9" customWidth="1"/>
    <col min="9219" max="9219" width="9.875" bestFit="1" customWidth="1"/>
    <col min="9220" max="9220" width="9" customWidth="1"/>
    <col min="9225" max="9225" width="7.625" bestFit="1" customWidth="1"/>
    <col min="9226" max="9226" width="7.75" bestFit="1" customWidth="1"/>
    <col min="9227" max="9227" width="8" bestFit="1" customWidth="1"/>
    <col min="9228" max="9228" width="9.875" bestFit="1" customWidth="1"/>
    <col min="9234" max="9234" width="7.625" bestFit="1" customWidth="1"/>
    <col min="9235" max="9235" width="7.75" bestFit="1" customWidth="1"/>
    <col min="9236" max="9236" width="8" bestFit="1" customWidth="1"/>
    <col min="9237" max="9237" width="9.875" bestFit="1" customWidth="1"/>
    <col min="9238" max="9238" width="9" customWidth="1"/>
    <col min="9475" max="9475" width="9.875" bestFit="1" customWidth="1"/>
    <col min="9476" max="9476" width="9" customWidth="1"/>
    <col min="9481" max="9481" width="7.625" bestFit="1" customWidth="1"/>
    <col min="9482" max="9482" width="7.75" bestFit="1" customWidth="1"/>
    <col min="9483" max="9483" width="8" bestFit="1" customWidth="1"/>
    <col min="9484" max="9484" width="9.875" bestFit="1" customWidth="1"/>
    <col min="9490" max="9490" width="7.625" bestFit="1" customWidth="1"/>
    <col min="9491" max="9491" width="7.75" bestFit="1" customWidth="1"/>
    <col min="9492" max="9492" width="8" bestFit="1" customWidth="1"/>
    <col min="9493" max="9493" width="9.875" bestFit="1" customWidth="1"/>
    <col min="9494" max="9494" width="9" customWidth="1"/>
    <col min="9731" max="9731" width="9.875" bestFit="1" customWidth="1"/>
    <col min="9732" max="9732" width="9" customWidth="1"/>
    <col min="9737" max="9737" width="7.625" bestFit="1" customWidth="1"/>
    <col min="9738" max="9738" width="7.75" bestFit="1" customWidth="1"/>
    <col min="9739" max="9739" width="8" bestFit="1" customWidth="1"/>
    <col min="9740" max="9740" width="9.875" bestFit="1" customWidth="1"/>
    <col min="9746" max="9746" width="7.625" bestFit="1" customWidth="1"/>
    <col min="9747" max="9747" width="7.75" bestFit="1" customWidth="1"/>
    <col min="9748" max="9748" width="8" bestFit="1" customWidth="1"/>
    <col min="9749" max="9749" width="9.875" bestFit="1" customWidth="1"/>
    <col min="9750" max="9750" width="9" customWidth="1"/>
    <col min="9987" max="9987" width="9.875" bestFit="1" customWidth="1"/>
    <col min="9988" max="9988" width="9" customWidth="1"/>
    <col min="9993" max="9993" width="7.625" bestFit="1" customWidth="1"/>
    <col min="9994" max="9994" width="7.75" bestFit="1" customWidth="1"/>
    <col min="9995" max="9995" width="8" bestFit="1" customWidth="1"/>
    <col min="9996" max="9996" width="9.875" bestFit="1" customWidth="1"/>
    <col min="10002" max="10002" width="7.625" bestFit="1" customWidth="1"/>
    <col min="10003" max="10003" width="7.75" bestFit="1" customWidth="1"/>
    <col min="10004" max="10004" width="8" bestFit="1" customWidth="1"/>
    <col min="10005" max="10005" width="9.875" bestFit="1" customWidth="1"/>
    <col min="10006" max="10006" width="9" customWidth="1"/>
    <col min="10243" max="10243" width="9.875" bestFit="1" customWidth="1"/>
    <col min="10244" max="10244" width="9" customWidth="1"/>
    <col min="10249" max="10249" width="7.625" bestFit="1" customWidth="1"/>
    <col min="10250" max="10250" width="7.75" bestFit="1" customWidth="1"/>
    <col min="10251" max="10251" width="8" bestFit="1" customWidth="1"/>
    <col min="10252" max="10252" width="9.875" bestFit="1" customWidth="1"/>
    <col min="10258" max="10258" width="7.625" bestFit="1" customWidth="1"/>
    <col min="10259" max="10259" width="7.75" bestFit="1" customWidth="1"/>
    <col min="10260" max="10260" width="8" bestFit="1" customWidth="1"/>
    <col min="10261" max="10261" width="9.875" bestFit="1" customWidth="1"/>
    <col min="10262" max="10262" width="9" customWidth="1"/>
    <col min="10499" max="10499" width="9.875" bestFit="1" customWidth="1"/>
    <col min="10500" max="10500" width="9" customWidth="1"/>
    <col min="10505" max="10505" width="7.625" bestFit="1" customWidth="1"/>
    <col min="10506" max="10506" width="7.75" bestFit="1" customWidth="1"/>
    <col min="10507" max="10507" width="8" bestFit="1" customWidth="1"/>
    <col min="10508" max="10508" width="9.875" bestFit="1" customWidth="1"/>
    <col min="10514" max="10514" width="7.625" bestFit="1" customWidth="1"/>
    <col min="10515" max="10515" width="7.75" bestFit="1" customWidth="1"/>
    <col min="10516" max="10516" width="8" bestFit="1" customWidth="1"/>
    <col min="10517" max="10517" width="9.875" bestFit="1" customWidth="1"/>
    <col min="10518" max="10518" width="9" customWidth="1"/>
    <col min="10755" max="10755" width="9.875" bestFit="1" customWidth="1"/>
    <col min="10756" max="10756" width="9" customWidth="1"/>
    <col min="10761" max="10761" width="7.625" bestFit="1" customWidth="1"/>
    <col min="10762" max="10762" width="7.75" bestFit="1" customWidth="1"/>
    <col min="10763" max="10763" width="8" bestFit="1" customWidth="1"/>
    <col min="10764" max="10764" width="9.875" bestFit="1" customWidth="1"/>
    <col min="10770" max="10770" width="7.625" bestFit="1" customWidth="1"/>
    <col min="10771" max="10771" width="7.75" bestFit="1" customWidth="1"/>
    <col min="10772" max="10772" width="8" bestFit="1" customWidth="1"/>
    <col min="10773" max="10773" width="9.875" bestFit="1" customWidth="1"/>
    <col min="10774" max="10774" width="9" customWidth="1"/>
    <col min="11011" max="11011" width="9.875" bestFit="1" customWidth="1"/>
    <col min="11012" max="11012" width="9" customWidth="1"/>
    <col min="11017" max="11017" width="7.625" bestFit="1" customWidth="1"/>
    <col min="11018" max="11018" width="7.75" bestFit="1" customWidth="1"/>
    <col min="11019" max="11019" width="8" bestFit="1" customWidth="1"/>
    <col min="11020" max="11020" width="9.875" bestFit="1" customWidth="1"/>
    <col min="11026" max="11026" width="7.625" bestFit="1" customWidth="1"/>
    <col min="11027" max="11027" width="7.75" bestFit="1" customWidth="1"/>
    <col min="11028" max="11028" width="8" bestFit="1" customWidth="1"/>
    <col min="11029" max="11029" width="9.875" bestFit="1" customWidth="1"/>
    <col min="11030" max="11030" width="9" customWidth="1"/>
    <col min="11267" max="11267" width="9.875" bestFit="1" customWidth="1"/>
    <col min="11268" max="11268" width="9" customWidth="1"/>
    <col min="11273" max="11273" width="7.625" bestFit="1" customWidth="1"/>
    <col min="11274" max="11274" width="7.75" bestFit="1" customWidth="1"/>
    <col min="11275" max="11275" width="8" bestFit="1" customWidth="1"/>
    <col min="11276" max="11276" width="9.875" bestFit="1" customWidth="1"/>
    <col min="11282" max="11282" width="7.625" bestFit="1" customWidth="1"/>
    <col min="11283" max="11283" width="7.75" bestFit="1" customWidth="1"/>
    <col min="11284" max="11284" width="8" bestFit="1" customWidth="1"/>
    <col min="11285" max="11285" width="9.875" bestFit="1" customWidth="1"/>
    <col min="11286" max="11286" width="9" customWidth="1"/>
    <col min="11523" max="11523" width="9.875" bestFit="1" customWidth="1"/>
    <col min="11524" max="11524" width="9" customWidth="1"/>
    <col min="11529" max="11529" width="7.625" bestFit="1" customWidth="1"/>
    <col min="11530" max="11530" width="7.75" bestFit="1" customWidth="1"/>
    <col min="11531" max="11531" width="8" bestFit="1" customWidth="1"/>
    <col min="11532" max="11532" width="9.875" bestFit="1" customWidth="1"/>
    <col min="11538" max="11538" width="7.625" bestFit="1" customWidth="1"/>
    <col min="11539" max="11539" width="7.75" bestFit="1" customWidth="1"/>
    <col min="11540" max="11540" width="8" bestFit="1" customWidth="1"/>
    <col min="11541" max="11541" width="9.875" bestFit="1" customWidth="1"/>
    <col min="11542" max="11542" width="9" customWidth="1"/>
    <col min="11779" max="11779" width="9.875" bestFit="1" customWidth="1"/>
    <col min="11780" max="11780" width="9" customWidth="1"/>
    <col min="11785" max="11785" width="7.625" bestFit="1" customWidth="1"/>
    <col min="11786" max="11786" width="7.75" bestFit="1" customWidth="1"/>
    <col min="11787" max="11787" width="8" bestFit="1" customWidth="1"/>
    <col min="11788" max="11788" width="9.875" bestFit="1" customWidth="1"/>
    <col min="11794" max="11794" width="7.625" bestFit="1" customWidth="1"/>
    <col min="11795" max="11795" width="7.75" bestFit="1" customWidth="1"/>
    <col min="11796" max="11796" width="8" bestFit="1" customWidth="1"/>
    <col min="11797" max="11797" width="9.875" bestFit="1" customWidth="1"/>
    <col min="11798" max="11798" width="9" customWidth="1"/>
    <col min="12035" max="12035" width="9.875" bestFit="1" customWidth="1"/>
    <col min="12036" max="12036" width="9" customWidth="1"/>
    <col min="12041" max="12041" width="7.625" bestFit="1" customWidth="1"/>
    <col min="12042" max="12042" width="7.75" bestFit="1" customWidth="1"/>
    <col min="12043" max="12043" width="8" bestFit="1" customWidth="1"/>
    <col min="12044" max="12044" width="9.875" bestFit="1" customWidth="1"/>
    <col min="12050" max="12050" width="7.625" bestFit="1" customWidth="1"/>
    <col min="12051" max="12051" width="7.75" bestFit="1" customWidth="1"/>
    <col min="12052" max="12052" width="8" bestFit="1" customWidth="1"/>
    <col min="12053" max="12053" width="9.875" bestFit="1" customWidth="1"/>
    <col min="12054" max="12054" width="9" customWidth="1"/>
    <col min="12291" max="12291" width="9.875" bestFit="1" customWidth="1"/>
    <col min="12292" max="12292" width="9" customWidth="1"/>
    <col min="12297" max="12297" width="7.625" bestFit="1" customWidth="1"/>
    <col min="12298" max="12298" width="7.75" bestFit="1" customWidth="1"/>
    <col min="12299" max="12299" width="8" bestFit="1" customWidth="1"/>
    <col min="12300" max="12300" width="9.875" bestFit="1" customWidth="1"/>
    <col min="12306" max="12306" width="7.625" bestFit="1" customWidth="1"/>
    <col min="12307" max="12307" width="7.75" bestFit="1" customWidth="1"/>
    <col min="12308" max="12308" width="8" bestFit="1" customWidth="1"/>
    <col min="12309" max="12309" width="9.875" bestFit="1" customWidth="1"/>
    <col min="12310" max="12310" width="9" customWidth="1"/>
    <col min="12547" max="12547" width="9.875" bestFit="1" customWidth="1"/>
    <col min="12548" max="12548" width="9" customWidth="1"/>
    <col min="12553" max="12553" width="7.625" bestFit="1" customWidth="1"/>
    <col min="12554" max="12554" width="7.75" bestFit="1" customWidth="1"/>
    <col min="12555" max="12555" width="8" bestFit="1" customWidth="1"/>
    <col min="12556" max="12556" width="9.875" bestFit="1" customWidth="1"/>
    <col min="12562" max="12562" width="7.625" bestFit="1" customWidth="1"/>
    <col min="12563" max="12563" width="7.75" bestFit="1" customWidth="1"/>
    <col min="12564" max="12564" width="8" bestFit="1" customWidth="1"/>
    <col min="12565" max="12565" width="9.875" bestFit="1" customWidth="1"/>
    <col min="12566" max="12566" width="9" customWidth="1"/>
    <col min="12803" max="12803" width="9.875" bestFit="1" customWidth="1"/>
    <col min="12804" max="12804" width="9" customWidth="1"/>
    <col min="12809" max="12809" width="7.625" bestFit="1" customWidth="1"/>
    <col min="12810" max="12810" width="7.75" bestFit="1" customWidth="1"/>
    <col min="12811" max="12811" width="8" bestFit="1" customWidth="1"/>
    <col min="12812" max="12812" width="9.875" bestFit="1" customWidth="1"/>
    <col min="12818" max="12818" width="7.625" bestFit="1" customWidth="1"/>
    <col min="12819" max="12819" width="7.75" bestFit="1" customWidth="1"/>
    <col min="12820" max="12820" width="8" bestFit="1" customWidth="1"/>
    <col min="12821" max="12821" width="9.875" bestFit="1" customWidth="1"/>
    <col min="12822" max="12822" width="9" customWidth="1"/>
    <col min="13059" max="13059" width="9.875" bestFit="1" customWidth="1"/>
    <col min="13060" max="13060" width="9" customWidth="1"/>
    <col min="13065" max="13065" width="7.625" bestFit="1" customWidth="1"/>
    <col min="13066" max="13066" width="7.75" bestFit="1" customWidth="1"/>
    <col min="13067" max="13067" width="8" bestFit="1" customWidth="1"/>
    <col min="13068" max="13068" width="9.875" bestFit="1" customWidth="1"/>
    <col min="13074" max="13074" width="7.625" bestFit="1" customWidth="1"/>
    <col min="13075" max="13075" width="7.75" bestFit="1" customWidth="1"/>
    <col min="13076" max="13076" width="8" bestFit="1" customWidth="1"/>
    <col min="13077" max="13077" width="9.875" bestFit="1" customWidth="1"/>
    <col min="13078" max="13078" width="9" customWidth="1"/>
    <col min="13315" max="13315" width="9.875" bestFit="1" customWidth="1"/>
    <col min="13316" max="13316" width="9" customWidth="1"/>
    <col min="13321" max="13321" width="7.625" bestFit="1" customWidth="1"/>
    <col min="13322" max="13322" width="7.75" bestFit="1" customWidth="1"/>
    <col min="13323" max="13323" width="8" bestFit="1" customWidth="1"/>
    <col min="13324" max="13324" width="9.875" bestFit="1" customWidth="1"/>
    <col min="13330" max="13330" width="7.625" bestFit="1" customWidth="1"/>
    <col min="13331" max="13331" width="7.75" bestFit="1" customWidth="1"/>
    <col min="13332" max="13332" width="8" bestFit="1" customWidth="1"/>
    <col min="13333" max="13333" width="9.875" bestFit="1" customWidth="1"/>
    <col min="13334" max="13334" width="9" customWidth="1"/>
    <col min="13571" max="13571" width="9.875" bestFit="1" customWidth="1"/>
    <col min="13572" max="13572" width="9" customWidth="1"/>
    <col min="13577" max="13577" width="7.625" bestFit="1" customWidth="1"/>
    <col min="13578" max="13578" width="7.75" bestFit="1" customWidth="1"/>
    <col min="13579" max="13579" width="8" bestFit="1" customWidth="1"/>
    <col min="13580" max="13580" width="9.875" bestFit="1" customWidth="1"/>
    <col min="13586" max="13586" width="7.625" bestFit="1" customWidth="1"/>
    <col min="13587" max="13587" width="7.75" bestFit="1" customWidth="1"/>
    <col min="13588" max="13588" width="8" bestFit="1" customWidth="1"/>
    <col min="13589" max="13589" width="9.875" bestFit="1" customWidth="1"/>
    <col min="13590" max="13590" width="9" customWidth="1"/>
    <col min="13827" max="13827" width="9.875" bestFit="1" customWidth="1"/>
    <col min="13828" max="13828" width="9" customWidth="1"/>
    <col min="13833" max="13833" width="7.625" bestFit="1" customWidth="1"/>
    <col min="13834" max="13834" width="7.75" bestFit="1" customWidth="1"/>
    <col min="13835" max="13835" width="8" bestFit="1" customWidth="1"/>
    <col min="13836" max="13836" width="9.875" bestFit="1" customWidth="1"/>
    <col min="13842" max="13842" width="7.625" bestFit="1" customWidth="1"/>
    <col min="13843" max="13843" width="7.75" bestFit="1" customWidth="1"/>
    <col min="13844" max="13844" width="8" bestFit="1" customWidth="1"/>
    <col min="13845" max="13845" width="9.875" bestFit="1" customWidth="1"/>
    <col min="13846" max="13846" width="9" customWidth="1"/>
    <col min="14083" max="14083" width="9.875" bestFit="1" customWidth="1"/>
    <col min="14084" max="14084" width="9" customWidth="1"/>
    <col min="14089" max="14089" width="7.625" bestFit="1" customWidth="1"/>
    <col min="14090" max="14090" width="7.75" bestFit="1" customWidth="1"/>
    <col min="14091" max="14091" width="8" bestFit="1" customWidth="1"/>
    <col min="14092" max="14092" width="9.875" bestFit="1" customWidth="1"/>
    <col min="14098" max="14098" width="7.625" bestFit="1" customWidth="1"/>
    <col min="14099" max="14099" width="7.75" bestFit="1" customWidth="1"/>
    <col min="14100" max="14100" width="8" bestFit="1" customWidth="1"/>
    <col min="14101" max="14101" width="9.875" bestFit="1" customWidth="1"/>
    <col min="14102" max="14102" width="9" customWidth="1"/>
    <col min="14339" max="14339" width="9.875" bestFit="1" customWidth="1"/>
    <col min="14340" max="14340" width="9" customWidth="1"/>
    <col min="14345" max="14345" width="7.625" bestFit="1" customWidth="1"/>
    <col min="14346" max="14346" width="7.75" bestFit="1" customWidth="1"/>
    <col min="14347" max="14347" width="8" bestFit="1" customWidth="1"/>
    <col min="14348" max="14348" width="9.875" bestFit="1" customWidth="1"/>
    <col min="14354" max="14354" width="7.625" bestFit="1" customWidth="1"/>
    <col min="14355" max="14355" width="7.75" bestFit="1" customWidth="1"/>
    <col min="14356" max="14356" width="8" bestFit="1" customWidth="1"/>
    <col min="14357" max="14357" width="9.875" bestFit="1" customWidth="1"/>
    <col min="14358" max="14358" width="9" customWidth="1"/>
    <col min="14595" max="14595" width="9.875" bestFit="1" customWidth="1"/>
    <col min="14596" max="14596" width="9" customWidth="1"/>
    <col min="14601" max="14601" width="7.625" bestFit="1" customWidth="1"/>
    <col min="14602" max="14602" width="7.75" bestFit="1" customWidth="1"/>
    <col min="14603" max="14603" width="8" bestFit="1" customWidth="1"/>
    <col min="14604" max="14604" width="9.875" bestFit="1" customWidth="1"/>
    <col min="14610" max="14610" width="7.625" bestFit="1" customWidth="1"/>
    <col min="14611" max="14611" width="7.75" bestFit="1" customWidth="1"/>
    <col min="14612" max="14612" width="8" bestFit="1" customWidth="1"/>
    <col min="14613" max="14613" width="9.875" bestFit="1" customWidth="1"/>
    <col min="14614" max="14614" width="9" customWidth="1"/>
    <col min="14851" max="14851" width="9.875" bestFit="1" customWidth="1"/>
    <col min="14852" max="14852" width="9" customWidth="1"/>
    <col min="14857" max="14857" width="7.625" bestFit="1" customWidth="1"/>
    <col min="14858" max="14858" width="7.75" bestFit="1" customWidth="1"/>
    <col min="14859" max="14859" width="8" bestFit="1" customWidth="1"/>
    <col min="14860" max="14860" width="9.875" bestFit="1" customWidth="1"/>
    <col min="14866" max="14866" width="7.625" bestFit="1" customWidth="1"/>
    <col min="14867" max="14867" width="7.75" bestFit="1" customWidth="1"/>
    <col min="14868" max="14868" width="8" bestFit="1" customWidth="1"/>
    <col min="14869" max="14869" width="9.875" bestFit="1" customWidth="1"/>
    <col min="14870" max="14870" width="9" customWidth="1"/>
    <col min="15107" max="15107" width="9.875" bestFit="1" customWidth="1"/>
    <col min="15108" max="15108" width="9" customWidth="1"/>
    <col min="15113" max="15113" width="7.625" bestFit="1" customWidth="1"/>
    <col min="15114" max="15114" width="7.75" bestFit="1" customWidth="1"/>
    <col min="15115" max="15115" width="8" bestFit="1" customWidth="1"/>
    <col min="15116" max="15116" width="9.875" bestFit="1" customWidth="1"/>
    <col min="15122" max="15122" width="7.625" bestFit="1" customWidth="1"/>
    <col min="15123" max="15123" width="7.75" bestFit="1" customWidth="1"/>
    <col min="15124" max="15124" width="8" bestFit="1" customWidth="1"/>
    <col min="15125" max="15125" width="9.875" bestFit="1" customWidth="1"/>
    <col min="15126" max="15126" width="9" customWidth="1"/>
    <col min="15363" max="15363" width="9.875" bestFit="1" customWidth="1"/>
    <col min="15364" max="15364" width="9" customWidth="1"/>
    <col min="15369" max="15369" width="7.625" bestFit="1" customWidth="1"/>
    <col min="15370" max="15370" width="7.75" bestFit="1" customWidth="1"/>
    <col min="15371" max="15371" width="8" bestFit="1" customWidth="1"/>
    <col min="15372" max="15372" width="9.875" bestFit="1" customWidth="1"/>
    <col min="15378" max="15378" width="7.625" bestFit="1" customWidth="1"/>
    <col min="15379" max="15379" width="7.75" bestFit="1" customWidth="1"/>
    <col min="15380" max="15380" width="8" bestFit="1" customWidth="1"/>
    <col min="15381" max="15381" width="9.875" bestFit="1" customWidth="1"/>
    <col min="15382" max="15382" width="9" customWidth="1"/>
    <col min="15619" max="15619" width="9.875" bestFit="1" customWidth="1"/>
    <col min="15620" max="15620" width="9" customWidth="1"/>
    <col min="15625" max="15625" width="7.625" bestFit="1" customWidth="1"/>
    <col min="15626" max="15626" width="7.75" bestFit="1" customWidth="1"/>
    <col min="15627" max="15627" width="8" bestFit="1" customWidth="1"/>
    <col min="15628" max="15628" width="9.875" bestFit="1" customWidth="1"/>
    <col min="15634" max="15634" width="7.625" bestFit="1" customWidth="1"/>
    <col min="15635" max="15635" width="7.75" bestFit="1" customWidth="1"/>
    <col min="15636" max="15636" width="8" bestFit="1" customWidth="1"/>
    <col min="15637" max="15637" width="9.875" bestFit="1" customWidth="1"/>
    <col min="15638" max="15638" width="9" customWidth="1"/>
    <col min="15875" max="15875" width="9.875" bestFit="1" customWidth="1"/>
    <col min="15876" max="15876" width="9" customWidth="1"/>
    <col min="15881" max="15881" width="7.625" bestFit="1" customWidth="1"/>
    <col min="15882" max="15882" width="7.75" bestFit="1" customWidth="1"/>
    <col min="15883" max="15883" width="8" bestFit="1" customWidth="1"/>
    <col min="15884" max="15884" width="9.875" bestFit="1" customWidth="1"/>
    <col min="15890" max="15890" width="7.625" bestFit="1" customWidth="1"/>
    <col min="15891" max="15891" width="7.75" bestFit="1" customWidth="1"/>
    <col min="15892" max="15892" width="8" bestFit="1" customWidth="1"/>
    <col min="15893" max="15893" width="9.875" bestFit="1" customWidth="1"/>
    <col min="15894" max="15894" width="9" customWidth="1"/>
    <col min="16131" max="16131" width="9.875" bestFit="1" customWidth="1"/>
    <col min="16132" max="16132" width="9" customWidth="1"/>
    <col min="16137" max="16137" width="7.625" bestFit="1" customWidth="1"/>
    <col min="16138" max="16138" width="7.75" bestFit="1" customWidth="1"/>
    <col min="16139" max="16139" width="8" bestFit="1" customWidth="1"/>
    <col min="16140" max="16140" width="9.875" bestFit="1" customWidth="1"/>
    <col min="16146" max="16146" width="7.625" bestFit="1" customWidth="1"/>
    <col min="16147" max="16147" width="7.75" bestFit="1" customWidth="1"/>
    <col min="16148" max="16148" width="8" bestFit="1" customWidth="1"/>
    <col min="16149" max="16149" width="9.875" bestFit="1" customWidth="1"/>
    <col min="16150" max="16150" width="9" customWidth="1"/>
  </cols>
  <sheetData>
    <row r="1" spans="1:99" ht="35.25">
      <c r="A1" s="1" t="s">
        <v>88</v>
      </c>
      <c r="B1" s="78" t="s">
        <v>61</v>
      </c>
      <c r="C1" s="78"/>
      <c r="D1" s="78"/>
      <c r="E1" s="78"/>
      <c r="F1" s="78"/>
      <c r="G1" s="78"/>
      <c r="H1" s="78"/>
      <c r="I1" s="78"/>
      <c r="J1" s="78"/>
      <c r="K1" s="78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99" ht="14.25">
      <c r="A2" s="3" t="s">
        <v>23</v>
      </c>
      <c r="B2" s="79" t="s">
        <v>24</v>
      </c>
      <c r="C2" s="80"/>
      <c r="D2" s="80"/>
      <c r="E2" s="80"/>
      <c r="F2" s="80"/>
      <c r="G2" s="80"/>
      <c r="H2" s="80"/>
      <c r="I2" s="80"/>
      <c r="J2" s="80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99" ht="14.25">
      <c r="A3" s="3" t="s">
        <v>0</v>
      </c>
      <c r="B3" s="79" t="s">
        <v>25</v>
      </c>
      <c r="C3" s="80"/>
      <c r="D3" s="80"/>
      <c r="E3" s="80"/>
      <c r="F3" s="80"/>
      <c r="G3" s="80"/>
      <c r="H3" s="80"/>
      <c r="I3" s="80"/>
      <c r="J3" s="80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99" ht="14.25" customHeight="1">
      <c r="A4" s="19" t="s">
        <v>167</v>
      </c>
      <c r="B4" s="5" t="s">
        <v>26</v>
      </c>
      <c r="C4" s="5" t="s">
        <v>27</v>
      </c>
      <c r="D4" s="5" t="s">
        <v>28</v>
      </c>
      <c r="E4" s="5" t="s">
        <v>56</v>
      </c>
      <c r="F4" s="5" t="s">
        <v>57</v>
      </c>
      <c r="G4" s="21" t="s">
        <v>3</v>
      </c>
      <c r="H4" s="41" t="s">
        <v>4</v>
      </c>
      <c r="I4" s="81" t="s">
        <v>29</v>
      </c>
      <c r="J4" s="19" t="s">
        <v>167</v>
      </c>
      <c r="K4" s="20" t="s">
        <v>26</v>
      </c>
      <c r="L4" s="20" t="s">
        <v>27</v>
      </c>
      <c r="M4" s="20" t="s">
        <v>28</v>
      </c>
      <c r="N4" s="20" t="s">
        <v>56</v>
      </c>
      <c r="O4" s="20" t="s">
        <v>57</v>
      </c>
      <c r="P4" s="21" t="s">
        <v>3</v>
      </c>
      <c r="Q4" s="41" t="s">
        <v>4</v>
      </c>
      <c r="R4" s="86" t="s">
        <v>29</v>
      </c>
      <c r="S4" s="19" t="s">
        <v>167</v>
      </c>
      <c r="T4" s="5" t="s">
        <v>26</v>
      </c>
      <c r="U4" s="5" t="s">
        <v>27</v>
      </c>
      <c r="V4" s="5" t="s">
        <v>28</v>
      </c>
      <c r="W4" s="5" t="s">
        <v>56</v>
      </c>
      <c r="X4" s="5" t="s">
        <v>57</v>
      </c>
      <c r="Y4" s="21" t="s">
        <v>3</v>
      </c>
      <c r="Z4" s="41" t="s">
        <v>4</v>
      </c>
      <c r="AA4" s="81" t="s">
        <v>29</v>
      </c>
      <c r="AB4" s="19" t="s">
        <v>167</v>
      </c>
      <c r="AC4" s="20" t="s">
        <v>26</v>
      </c>
      <c r="AD4" s="20" t="s">
        <v>27</v>
      </c>
      <c r="AE4" s="20" t="s">
        <v>28</v>
      </c>
      <c r="AF4" s="20" t="s">
        <v>56</v>
      </c>
      <c r="AG4" s="20" t="s">
        <v>57</v>
      </c>
      <c r="AH4" s="21" t="s">
        <v>3</v>
      </c>
      <c r="AI4" s="41" t="s">
        <v>4</v>
      </c>
      <c r="AJ4" s="86" t="s">
        <v>29</v>
      </c>
      <c r="AK4" s="19" t="s">
        <v>167</v>
      </c>
      <c r="AL4" s="20" t="s">
        <v>26</v>
      </c>
      <c r="AM4" s="20" t="s">
        <v>27</v>
      </c>
      <c r="AN4" s="20" t="s">
        <v>28</v>
      </c>
      <c r="AO4" s="20" t="s">
        <v>56</v>
      </c>
      <c r="AP4" s="20" t="s">
        <v>57</v>
      </c>
      <c r="AQ4" s="21" t="s">
        <v>3</v>
      </c>
      <c r="AR4" s="41" t="s">
        <v>4</v>
      </c>
      <c r="AS4" s="41" t="s">
        <v>29</v>
      </c>
      <c r="AT4" s="19" t="s">
        <v>167</v>
      </c>
      <c r="AU4" s="20" t="s">
        <v>26</v>
      </c>
      <c r="AV4" s="20" t="s">
        <v>27</v>
      </c>
      <c r="AW4" s="20" t="s">
        <v>28</v>
      </c>
      <c r="AX4" s="20" t="s">
        <v>56</v>
      </c>
      <c r="AY4" s="20" t="s">
        <v>57</v>
      </c>
      <c r="AZ4" s="21" t="s">
        <v>3</v>
      </c>
      <c r="BA4" s="41" t="s">
        <v>4</v>
      </c>
      <c r="BB4" s="49" t="s">
        <v>29</v>
      </c>
      <c r="BC4" s="19" t="s">
        <v>167</v>
      </c>
      <c r="BD4" s="20" t="s">
        <v>26</v>
      </c>
      <c r="BE4" s="20" t="s">
        <v>27</v>
      </c>
      <c r="BF4" s="20" t="s">
        <v>28</v>
      </c>
      <c r="BG4" s="20" t="s">
        <v>56</v>
      </c>
      <c r="BH4" s="20" t="s">
        <v>57</v>
      </c>
      <c r="BI4" s="21" t="s">
        <v>3</v>
      </c>
      <c r="BJ4" s="41" t="s">
        <v>4</v>
      </c>
      <c r="BK4" s="41" t="s">
        <v>29</v>
      </c>
      <c r="BL4" s="19" t="s">
        <v>167</v>
      </c>
      <c r="BM4" s="5" t="s">
        <v>26</v>
      </c>
      <c r="BN4" s="5" t="s">
        <v>27</v>
      </c>
      <c r="BO4" s="5" t="s">
        <v>28</v>
      </c>
      <c r="BP4" s="5" t="s">
        <v>56</v>
      </c>
      <c r="BQ4" s="5" t="s">
        <v>57</v>
      </c>
      <c r="BR4" s="21" t="s">
        <v>3</v>
      </c>
      <c r="BS4" s="41" t="s">
        <v>4</v>
      </c>
      <c r="BT4" s="47" t="s">
        <v>29</v>
      </c>
      <c r="BU4" s="19" t="s">
        <v>167</v>
      </c>
      <c r="BV4" s="20" t="s">
        <v>26</v>
      </c>
      <c r="BW4" s="20" t="s">
        <v>27</v>
      </c>
      <c r="BX4" s="20" t="s">
        <v>28</v>
      </c>
      <c r="BY4" s="20" t="s">
        <v>56</v>
      </c>
      <c r="BZ4" s="20" t="s">
        <v>57</v>
      </c>
      <c r="CA4" s="21" t="s">
        <v>3</v>
      </c>
      <c r="CB4" s="41" t="s">
        <v>4</v>
      </c>
      <c r="CC4" s="41" t="s">
        <v>29</v>
      </c>
      <c r="CD4" s="19" t="s">
        <v>167</v>
      </c>
      <c r="CE4" s="5" t="s">
        <v>26</v>
      </c>
      <c r="CF4" s="5" t="s">
        <v>27</v>
      </c>
      <c r="CG4" s="5" t="s">
        <v>28</v>
      </c>
      <c r="CH4" s="5" t="s">
        <v>56</v>
      </c>
      <c r="CI4" s="5" t="s">
        <v>57</v>
      </c>
      <c r="CJ4" s="21" t="s">
        <v>3</v>
      </c>
      <c r="CK4" s="41" t="s">
        <v>4</v>
      </c>
      <c r="CL4" s="47" t="s">
        <v>29</v>
      </c>
      <c r="CM4" s="19" t="s">
        <v>167</v>
      </c>
      <c r="CN4" s="20" t="s">
        <v>26</v>
      </c>
      <c r="CO4" s="20" t="s">
        <v>27</v>
      </c>
      <c r="CP4" s="20" t="s">
        <v>28</v>
      </c>
      <c r="CQ4" s="20" t="s">
        <v>56</v>
      </c>
      <c r="CR4" s="20" t="s">
        <v>57</v>
      </c>
      <c r="CS4" s="21" t="s">
        <v>3</v>
      </c>
      <c r="CT4" s="41" t="s">
        <v>4</v>
      </c>
      <c r="CU4" s="41" t="s">
        <v>29</v>
      </c>
    </row>
    <row r="5" spans="1:99" ht="15">
      <c r="A5" s="7" t="s">
        <v>30</v>
      </c>
      <c r="B5" s="8">
        <v>23017</v>
      </c>
      <c r="C5" s="8">
        <v>699.7</v>
      </c>
      <c r="D5" s="4">
        <v>1.4</v>
      </c>
      <c r="E5" s="8" t="s">
        <v>10</v>
      </c>
      <c r="F5" s="50">
        <v>1</v>
      </c>
      <c r="G5" s="24" t="s">
        <v>15</v>
      </c>
      <c r="H5" s="25" t="s">
        <v>6</v>
      </c>
      <c r="I5" s="82"/>
      <c r="J5" s="22" t="s">
        <v>31</v>
      </c>
      <c r="K5" s="28">
        <v>23173</v>
      </c>
      <c r="L5" s="28">
        <v>715.3</v>
      </c>
      <c r="M5" s="23">
        <v>1.4</v>
      </c>
      <c r="N5" s="28" t="s">
        <v>10</v>
      </c>
      <c r="O5" s="29">
        <v>1</v>
      </c>
      <c r="P5" s="24" t="s">
        <v>31</v>
      </c>
      <c r="Q5" s="25" t="s">
        <v>7</v>
      </c>
      <c r="R5" s="86"/>
      <c r="S5" s="7" t="s">
        <v>30</v>
      </c>
      <c r="T5" s="8">
        <v>23035</v>
      </c>
      <c r="U5" s="8">
        <v>701.5</v>
      </c>
      <c r="V5" s="4">
        <v>5</v>
      </c>
      <c r="W5" s="8" t="s">
        <v>10</v>
      </c>
      <c r="X5" s="50">
        <v>1</v>
      </c>
      <c r="Y5" s="24" t="s">
        <v>15</v>
      </c>
      <c r="Z5" s="25" t="s">
        <v>6</v>
      </c>
      <c r="AA5" s="82"/>
      <c r="AB5" s="22" t="s">
        <v>32</v>
      </c>
      <c r="AC5" s="28">
        <v>23095</v>
      </c>
      <c r="AD5" s="28">
        <v>707.5</v>
      </c>
      <c r="AE5" s="23">
        <v>5</v>
      </c>
      <c r="AF5" s="28" t="s">
        <v>10</v>
      </c>
      <c r="AG5" s="29">
        <v>1</v>
      </c>
      <c r="AH5" s="24" t="s">
        <v>15</v>
      </c>
      <c r="AI5" s="25" t="s">
        <v>7</v>
      </c>
      <c r="AJ5" s="86"/>
      <c r="AK5" s="27" t="s">
        <v>31</v>
      </c>
      <c r="AL5" s="28">
        <v>23155</v>
      </c>
      <c r="AM5" s="28">
        <v>713.5</v>
      </c>
      <c r="AN5" s="23">
        <v>5</v>
      </c>
      <c r="AO5" s="28" t="s">
        <v>10</v>
      </c>
      <c r="AP5" s="29">
        <v>1</v>
      </c>
      <c r="AQ5" s="24" t="s">
        <v>31</v>
      </c>
      <c r="AR5" s="25" t="s">
        <v>7</v>
      </c>
      <c r="AS5" s="41"/>
      <c r="AT5" s="27" t="s">
        <v>30</v>
      </c>
      <c r="AU5" s="28">
        <v>23035</v>
      </c>
      <c r="AV5" s="28">
        <v>701.5</v>
      </c>
      <c r="AW5" s="23">
        <v>5</v>
      </c>
      <c r="AX5" s="28" t="s">
        <v>10</v>
      </c>
      <c r="AY5" s="29">
        <v>25</v>
      </c>
      <c r="AZ5" s="24" t="s">
        <v>30</v>
      </c>
      <c r="BA5" s="25" t="s">
        <v>6</v>
      </c>
      <c r="BB5" s="51"/>
      <c r="BC5" s="27" t="s">
        <v>31</v>
      </c>
      <c r="BD5" s="28">
        <v>23155</v>
      </c>
      <c r="BE5" s="28">
        <v>713.5</v>
      </c>
      <c r="BF5" s="23">
        <v>5</v>
      </c>
      <c r="BG5" s="28" t="s">
        <v>10</v>
      </c>
      <c r="BH5" s="29">
        <v>25</v>
      </c>
      <c r="BI5" s="24" t="s">
        <v>31</v>
      </c>
      <c r="BJ5" s="25" t="s">
        <v>7</v>
      </c>
      <c r="BK5" s="41"/>
      <c r="BL5" s="7" t="s">
        <v>30</v>
      </c>
      <c r="BM5" s="8">
        <v>23060</v>
      </c>
      <c r="BN5" s="8">
        <v>704</v>
      </c>
      <c r="BO5" s="4">
        <v>10</v>
      </c>
      <c r="BP5" s="8" t="s">
        <v>10</v>
      </c>
      <c r="BQ5" s="50">
        <v>1</v>
      </c>
      <c r="BR5" s="24" t="s">
        <v>15</v>
      </c>
      <c r="BS5" s="25" t="s">
        <v>6</v>
      </c>
      <c r="BT5" s="48"/>
      <c r="BU5" s="27" t="s">
        <v>31</v>
      </c>
      <c r="BV5" s="28">
        <v>23130</v>
      </c>
      <c r="BW5" s="28">
        <v>711</v>
      </c>
      <c r="BX5" s="23">
        <v>10</v>
      </c>
      <c r="BY5" s="28" t="s">
        <v>10</v>
      </c>
      <c r="BZ5" s="29">
        <v>1</v>
      </c>
      <c r="CA5" s="24" t="s">
        <v>31</v>
      </c>
      <c r="CB5" s="25" t="s">
        <v>7</v>
      </c>
      <c r="CC5" s="41"/>
      <c r="CD5" s="7" t="s">
        <v>30</v>
      </c>
      <c r="CE5" s="8">
        <v>23060</v>
      </c>
      <c r="CF5" s="8">
        <v>704</v>
      </c>
      <c r="CG5" s="4">
        <v>10</v>
      </c>
      <c r="CH5" s="8" t="s">
        <v>10</v>
      </c>
      <c r="CI5" s="50">
        <v>50</v>
      </c>
      <c r="CJ5" s="24" t="s">
        <v>30</v>
      </c>
      <c r="CK5" s="25" t="s">
        <v>6</v>
      </c>
      <c r="CL5" s="48"/>
      <c r="CM5" s="27" t="s">
        <v>31</v>
      </c>
      <c r="CN5" s="28">
        <v>23130</v>
      </c>
      <c r="CO5" s="28">
        <v>711</v>
      </c>
      <c r="CP5" s="23">
        <v>10</v>
      </c>
      <c r="CQ5" s="28" t="s">
        <v>10</v>
      </c>
      <c r="CR5" s="29">
        <v>50</v>
      </c>
      <c r="CS5" s="24" t="s">
        <v>30</v>
      </c>
      <c r="CT5" s="25" t="s">
        <v>7</v>
      </c>
      <c r="CU5" s="41"/>
    </row>
    <row r="6" spans="1:99" ht="14.25">
      <c r="A6" s="83" t="s">
        <v>16</v>
      </c>
      <c r="B6" s="84"/>
      <c r="C6" s="6" t="s">
        <v>17</v>
      </c>
      <c r="D6" s="6" t="s">
        <v>33</v>
      </c>
      <c r="E6" s="83" t="s">
        <v>34</v>
      </c>
      <c r="F6" s="85"/>
      <c r="G6" s="84"/>
      <c r="H6" s="26" t="s">
        <v>5</v>
      </c>
      <c r="I6" s="2"/>
      <c r="J6" s="83" t="s">
        <v>16</v>
      </c>
      <c r="K6" s="84"/>
      <c r="L6" s="18" t="s">
        <v>17</v>
      </c>
      <c r="M6" s="18" t="s">
        <v>33</v>
      </c>
      <c r="N6" s="83" t="s">
        <v>34</v>
      </c>
      <c r="O6" s="85"/>
      <c r="P6" s="84"/>
      <c r="Q6" s="26" t="s">
        <v>5</v>
      </c>
      <c r="R6" s="19"/>
      <c r="S6" s="83" t="s">
        <v>16</v>
      </c>
      <c r="T6" s="84"/>
      <c r="U6" s="6" t="s">
        <v>17</v>
      </c>
      <c r="V6" s="6" t="s">
        <v>33</v>
      </c>
      <c r="W6" s="83" t="s">
        <v>34</v>
      </c>
      <c r="X6" s="85"/>
      <c r="Y6" s="84"/>
      <c r="Z6" s="26" t="s">
        <v>5</v>
      </c>
      <c r="AA6" s="2"/>
      <c r="AB6" s="83" t="s">
        <v>16</v>
      </c>
      <c r="AC6" s="84"/>
      <c r="AD6" s="18" t="s">
        <v>17</v>
      </c>
      <c r="AE6" s="18" t="s">
        <v>33</v>
      </c>
      <c r="AF6" s="83" t="s">
        <v>34</v>
      </c>
      <c r="AG6" s="85"/>
      <c r="AH6" s="84"/>
      <c r="AI6" s="26" t="s">
        <v>5</v>
      </c>
      <c r="AJ6" s="19"/>
      <c r="AK6" s="42" t="s">
        <v>16</v>
      </c>
      <c r="AL6" s="43"/>
      <c r="AM6" s="18" t="s">
        <v>17</v>
      </c>
      <c r="AN6" s="18" t="s">
        <v>33</v>
      </c>
      <c r="AO6" s="83" t="s">
        <v>34</v>
      </c>
      <c r="AP6" s="85"/>
      <c r="AQ6" s="84"/>
      <c r="AR6" s="26" t="s">
        <v>5</v>
      </c>
      <c r="AS6" s="19"/>
      <c r="AT6" s="42" t="s">
        <v>16</v>
      </c>
      <c r="AU6" s="43"/>
      <c r="AV6" s="18" t="s">
        <v>17</v>
      </c>
      <c r="AW6" s="18" t="s">
        <v>33</v>
      </c>
      <c r="AX6" s="83" t="s">
        <v>34</v>
      </c>
      <c r="AY6" s="85"/>
      <c r="AZ6" s="84"/>
      <c r="BA6" s="26" t="s">
        <v>5</v>
      </c>
      <c r="BB6" s="19"/>
      <c r="BC6" s="42" t="s">
        <v>16</v>
      </c>
      <c r="BD6" s="43"/>
      <c r="BE6" s="18" t="s">
        <v>17</v>
      </c>
      <c r="BF6" s="18" t="s">
        <v>33</v>
      </c>
      <c r="BG6" s="83" t="s">
        <v>34</v>
      </c>
      <c r="BH6" s="85"/>
      <c r="BI6" s="84"/>
      <c r="BJ6" s="26" t="s">
        <v>5</v>
      </c>
      <c r="BK6" s="19"/>
      <c r="BL6" s="52" t="s">
        <v>16</v>
      </c>
      <c r="BM6" s="53"/>
      <c r="BN6" s="6" t="s">
        <v>17</v>
      </c>
      <c r="BO6" s="6" t="s">
        <v>33</v>
      </c>
      <c r="BP6" s="83" t="s">
        <v>34</v>
      </c>
      <c r="BQ6" s="85"/>
      <c r="BR6" s="84"/>
      <c r="BS6" s="26" t="s">
        <v>5</v>
      </c>
      <c r="BT6" s="2"/>
      <c r="BU6" s="42" t="s">
        <v>16</v>
      </c>
      <c r="BV6" s="43"/>
      <c r="BW6" s="18" t="s">
        <v>17</v>
      </c>
      <c r="BX6" s="18" t="s">
        <v>33</v>
      </c>
      <c r="BY6" s="83" t="s">
        <v>34</v>
      </c>
      <c r="BZ6" s="85"/>
      <c r="CA6" s="84"/>
      <c r="CB6" s="26" t="s">
        <v>5</v>
      </c>
      <c r="CC6" s="19"/>
      <c r="CD6" s="52" t="s">
        <v>16</v>
      </c>
      <c r="CE6" s="53"/>
      <c r="CF6" s="6" t="s">
        <v>17</v>
      </c>
      <c r="CG6" s="6" t="s">
        <v>33</v>
      </c>
      <c r="CH6" s="83" t="s">
        <v>34</v>
      </c>
      <c r="CI6" s="85"/>
      <c r="CJ6" s="84"/>
      <c r="CK6" s="26" t="s">
        <v>5</v>
      </c>
      <c r="CL6" s="2"/>
      <c r="CM6" s="42" t="s">
        <v>16</v>
      </c>
      <c r="CN6" s="43"/>
      <c r="CO6" s="18" t="s">
        <v>17</v>
      </c>
      <c r="CP6" s="18" t="s">
        <v>33</v>
      </c>
      <c r="CQ6" s="83" t="s">
        <v>34</v>
      </c>
      <c r="CR6" s="85"/>
      <c r="CS6" s="84"/>
      <c r="CT6" s="26" t="s">
        <v>5</v>
      </c>
      <c r="CU6" s="19"/>
    </row>
    <row r="7" spans="1:99" ht="15">
      <c r="A7" s="54">
        <f>((C5-2.5*0.18)-0.2)*2</f>
        <v>1398.1</v>
      </c>
      <c r="B7" s="54">
        <f>((C5-2.5*0.18)+0.2)*2</f>
        <v>1398.9</v>
      </c>
      <c r="C7" s="10" t="s">
        <v>9</v>
      </c>
      <c r="D7" s="10" t="s">
        <v>9</v>
      </c>
      <c r="E7" s="87" t="s">
        <v>35</v>
      </c>
      <c r="F7" s="88"/>
      <c r="G7" s="89"/>
      <c r="H7" s="75"/>
      <c r="I7" s="55" t="s">
        <v>36</v>
      </c>
      <c r="J7" s="54">
        <f>((L5-2.5*0.18)-0.2)*2</f>
        <v>1429.2999999999997</v>
      </c>
      <c r="K7" s="54">
        <f>((L5-2.5*0.18)+0.2)*2</f>
        <v>1430.1</v>
      </c>
      <c r="L7" s="10" t="s">
        <v>9</v>
      </c>
      <c r="M7" s="10" t="s">
        <v>9</v>
      </c>
      <c r="N7" s="87" t="s">
        <v>35</v>
      </c>
      <c r="O7" s="88"/>
      <c r="P7" s="89"/>
      <c r="Q7" s="75"/>
      <c r="R7" s="55" t="s">
        <v>36</v>
      </c>
      <c r="S7" s="54">
        <f>((U5-INT((V5*5)/2)*0.18)-0.2)*2</f>
        <v>1398.28</v>
      </c>
      <c r="T7" s="54">
        <f>((U5-INT((V5*5)/2)*0.18)+0.2)*2</f>
        <v>1399.0800000000002</v>
      </c>
      <c r="U7" s="10" t="s">
        <v>9</v>
      </c>
      <c r="V7" s="10" t="s">
        <v>9</v>
      </c>
      <c r="W7" s="87" t="s">
        <v>35</v>
      </c>
      <c r="X7" s="88"/>
      <c r="Y7" s="89"/>
      <c r="Z7" s="75"/>
      <c r="AA7" s="55" t="s">
        <v>36</v>
      </c>
      <c r="AB7" s="54">
        <f>((AD5-INT((AE5*5)/2)*0.18)-0.2)*2</f>
        <v>1410.28</v>
      </c>
      <c r="AC7" s="54">
        <f>((AD5-INT((AE5*5)/2)*0.18)+0.2)*2</f>
        <v>1411.0800000000002</v>
      </c>
      <c r="AD7" s="10" t="s">
        <v>9</v>
      </c>
      <c r="AE7" s="10" t="s">
        <v>9</v>
      </c>
      <c r="AF7" s="87" t="s">
        <v>35</v>
      </c>
      <c r="AG7" s="88"/>
      <c r="AH7" s="89"/>
      <c r="AI7" s="75"/>
      <c r="AJ7" s="55" t="s">
        <v>36</v>
      </c>
      <c r="AK7" s="54">
        <f>((AM5+INT((AN5*5)/2)*0.18)-0.2)*2</f>
        <v>1430.9199999999998</v>
      </c>
      <c r="AL7" s="54">
        <f>((AM5+INT((AN5*5)/2)*0.18)+0.2)*2</f>
        <v>1431.72</v>
      </c>
      <c r="AM7" s="10" t="s">
        <v>9</v>
      </c>
      <c r="AN7" s="10" t="s">
        <v>9</v>
      </c>
      <c r="AO7" s="87" t="s">
        <v>35</v>
      </c>
      <c r="AP7" s="88"/>
      <c r="AQ7" s="89"/>
      <c r="AR7" s="75"/>
      <c r="AS7" s="55" t="s">
        <v>36</v>
      </c>
      <c r="AT7" s="54">
        <f>(AV5-AW5/2)*2</f>
        <v>1398</v>
      </c>
      <c r="AU7" s="54">
        <f>(AV5+AW5/2)*2</f>
        <v>1408</v>
      </c>
      <c r="AV7" s="10" t="s">
        <v>9</v>
      </c>
      <c r="AW7" s="10" t="s">
        <v>9</v>
      </c>
      <c r="AX7" s="87" t="s">
        <v>35</v>
      </c>
      <c r="AY7" s="88"/>
      <c r="AZ7" s="89"/>
      <c r="BA7" s="75"/>
      <c r="BB7" s="55" t="s">
        <v>36</v>
      </c>
      <c r="BC7" s="54">
        <f>(BE5-BF5/2)*2</f>
        <v>1422</v>
      </c>
      <c r="BD7" s="54">
        <f>(BE5+BF5/2)*2</f>
        <v>1432</v>
      </c>
      <c r="BE7" s="10" t="s">
        <v>9</v>
      </c>
      <c r="BF7" s="10" t="s">
        <v>9</v>
      </c>
      <c r="BG7" s="87" t="s">
        <v>35</v>
      </c>
      <c r="BH7" s="88"/>
      <c r="BI7" s="89"/>
      <c r="BJ7" s="75"/>
      <c r="BK7" s="55" t="s">
        <v>36</v>
      </c>
      <c r="BL7" s="54">
        <f>((BN5-(INT((BO5*5)/2)-0.5)*0.18)-0.2)*2</f>
        <v>1398.78</v>
      </c>
      <c r="BM7" s="54">
        <f>((BN5-(INT((BO5*5)/2)-0.5)*0.18)+0.2)*2</f>
        <v>1399.5800000000002</v>
      </c>
      <c r="BN7" s="10" t="s">
        <v>9</v>
      </c>
      <c r="BO7" s="10" t="s">
        <v>9</v>
      </c>
      <c r="BP7" s="87" t="s">
        <v>35</v>
      </c>
      <c r="BQ7" s="88"/>
      <c r="BR7" s="89"/>
      <c r="BS7" s="75"/>
      <c r="BT7" s="55" t="s">
        <v>36</v>
      </c>
      <c r="BU7" s="54">
        <f>((BW5+(INT((BX5*5)/2)-0.5)*0.18)-0.2)*2</f>
        <v>1430.4199999999998</v>
      </c>
      <c r="BV7" s="54">
        <f>((BW5+(INT((BX5*5)/2)-0.5)*0.18)+0.2)*2</f>
        <v>1431.22</v>
      </c>
      <c r="BW7" s="10" t="s">
        <v>9</v>
      </c>
      <c r="BX7" s="10" t="s">
        <v>9</v>
      </c>
      <c r="BY7" s="87" t="s">
        <v>35</v>
      </c>
      <c r="BZ7" s="88"/>
      <c r="CA7" s="89"/>
      <c r="CB7" s="75"/>
      <c r="CC7" s="55" t="s">
        <v>36</v>
      </c>
      <c r="CD7" s="54">
        <f>(CF5-CG5/2)*2</f>
        <v>1398</v>
      </c>
      <c r="CE7" s="54">
        <f>(CF5+CG5/2)*2</f>
        <v>1418</v>
      </c>
      <c r="CF7" s="10" t="s">
        <v>9</v>
      </c>
      <c r="CG7" s="10" t="s">
        <v>9</v>
      </c>
      <c r="CH7" s="87" t="s">
        <v>35</v>
      </c>
      <c r="CI7" s="88"/>
      <c r="CJ7" s="89"/>
      <c r="CK7" s="75"/>
      <c r="CL7" s="55" t="s">
        <v>36</v>
      </c>
      <c r="CM7" s="54">
        <f>(CO5-CP5/2)*2</f>
        <v>1412</v>
      </c>
      <c r="CN7" s="54">
        <f>(CO5+CP5/2)*2</f>
        <v>1432</v>
      </c>
      <c r="CO7" s="10" t="s">
        <v>9</v>
      </c>
      <c r="CP7" s="10" t="s">
        <v>9</v>
      </c>
      <c r="CQ7" s="87" t="s">
        <v>35</v>
      </c>
      <c r="CR7" s="88"/>
      <c r="CS7" s="89"/>
      <c r="CT7" s="75"/>
      <c r="CU7" s="55" t="s">
        <v>36</v>
      </c>
    </row>
    <row r="8" spans="1:99" ht="15">
      <c r="A8" s="54">
        <f>((C5-2.5*0.18)-0.2)*3</f>
        <v>2097.1499999999996</v>
      </c>
      <c r="B8" s="54">
        <f>((C5-2.5*0.18)+0.2)*2</f>
        <v>1398.9</v>
      </c>
      <c r="C8" s="10" t="s">
        <v>9</v>
      </c>
      <c r="D8" s="10" t="s">
        <v>9</v>
      </c>
      <c r="E8" s="87" t="s">
        <v>35</v>
      </c>
      <c r="F8" s="88"/>
      <c r="G8" s="89"/>
      <c r="H8" s="75"/>
      <c r="I8" s="55" t="s">
        <v>37</v>
      </c>
      <c r="J8" s="54">
        <f>((L5-2.5*0.18)-0.2)*3</f>
        <v>2143.9499999999998</v>
      </c>
      <c r="K8" s="54">
        <f>((L5-2.5*0.18)+0.2)*2</f>
        <v>1430.1</v>
      </c>
      <c r="L8" s="10" t="s">
        <v>9</v>
      </c>
      <c r="M8" s="10" t="s">
        <v>9</v>
      </c>
      <c r="N8" s="87" t="s">
        <v>35</v>
      </c>
      <c r="O8" s="88"/>
      <c r="P8" s="89"/>
      <c r="Q8" s="75"/>
      <c r="R8" s="55" t="s">
        <v>37</v>
      </c>
      <c r="S8" s="54">
        <f>((U5-INT((V5*5)/2)*0.18)-0.2)*3</f>
        <v>2097.42</v>
      </c>
      <c r="T8" s="54">
        <f>((U5-INT((V5*5)/2)*0.18)+0.2)*3</f>
        <v>2098.6200000000003</v>
      </c>
      <c r="U8" s="10" t="s">
        <v>9</v>
      </c>
      <c r="V8" s="10" t="s">
        <v>9</v>
      </c>
      <c r="W8" s="87" t="s">
        <v>35</v>
      </c>
      <c r="X8" s="88"/>
      <c r="Y8" s="89"/>
      <c r="Z8" s="75"/>
      <c r="AA8" s="55" t="s">
        <v>37</v>
      </c>
      <c r="AB8" s="54">
        <f>((AD5-INT((AE5*5)/2)*0.18)-0.2)*3</f>
        <v>2115.42</v>
      </c>
      <c r="AC8" s="54">
        <f>((AD5-INT((AE5*5)/2)*0.18)+0.2)*3</f>
        <v>2116.6200000000003</v>
      </c>
      <c r="AD8" s="10" t="s">
        <v>9</v>
      </c>
      <c r="AE8" s="10" t="s">
        <v>9</v>
      </c>
      <c r="AF8" s="87" t="s">
        <v>35</v>
      </c>
      <c r="AG8" s="88"/>
      <c r="AH8" s="89"/>
      <c r="AI8" s="75"/>
      <c r="AJ8" s="55" t="s">
        <v>37</v>
      </c>
      <c r="AK8" s="54">
        <f>((AM5+INT((AN5*5)/2)*0.18)-0.2)*3</f>
        <v>2146.3799999999997</v>
      </c>
      <c r="AL8" s="54">
        <f>((AM5+INT((AN5*5)/2)*0.18)+0.2)*3</f>
        <v>2147.58</v>
      </c>
      <c r="AM8" s="10" t="s">
        <v>9</v>
      </c>
      <c r="AN8" s="10" t="s">
        <v>9</v>
      </c>
      <c r="AO8" s="87" t="s">
        <v>35</v>
      </c>
      <c r="AP8" s="88"/>
      <c r="AQ8" s="89"/>
      <c r="AR8" s="75"/>
      <c r="AS8" s="55" t="s">
        <v>37</v>
      </c>
      <c r="AT8" s="54">
        <f>(AV5-AW5/2)*3</f>
        <v>2097</v>
      </c>
      <c r="AU8" s="54">
        <f>(AV5+AW5/2)*3</f>
        <v>2112</v>
      </c>
      <c r="AV8" s="10" t="s">
        <v>9</v>
      </c>
      <c r="AW8" s="10" t="s">
        <v>9</v>
      </c>
      <c r="AX8" s="87" t="s">
        <v>35</v>
      </c>
      <c r="AY8" s="88"/>
      <c r="AZ8" s="89"/>
      <c r="BA8" s="75"/>
      <c r="BB8" s="55" t="s">
        <v>37</v>
      </c>
      <c r="BC8" s="54">
        <f>(BE5-BF5/2)*3</f>
        <v>2133</v>
      </c>
      <c r="BD8" s="54">
        <f>(BE5+BF5/2)*3</f>
        <v>2148</v>
      </c>
      <c r="BE8" s="10" t="s">
        <v>9</v>
      </c>
      <c r="BF8" s="10" t="s">
        <v>9</v>
      </c>
      <c r="BG8" s="87" t="s">
        <v>35</v>
      </c>
      <c r="BH8" s="88"/>
      <c r="BI8" s="89"/>
      <c r="BJ8" s="75"/>
      <c r="BK8" s="55" t="s">
        <v>37</v>
      </c>
      <c r="BL8" s="54">
        <f>((BN5-(INT((BO5*5)/2)-0.5)*0.18)-0.2)*3</f>
        <v>2098.17</v>
      </c>
      <c r="BM8" s="54">
        <f>((BN5-(INT((BO5*5)/2)-0.5)*0.18)+0.2)*3</f>
        <v>2099.3700000000003</v>
      </c>
      <c r="BN8" s="10" t="s">
        <v>9</v>
      </c>
      <c r="BO8" s="10" t="s">
        <v>9</v>
      </c>
      <c r="BP8" s="87" t="s">
        <v>35</v>
      </c>
      <c r="BQ8" s="88"/>
      <c r="BR8" s="89"/>
      <c r="BS8" s="75"/>
      <c r="BT8" s="55" t="s">
        <v>37</v>
      </c>
      <c r="BU8" s="54">
        <f>((BW5+(INT((BX5*5)/2)-0.5)*0.18)-0.2)*3</f>
        <v>2145.6299999999997</v>
      </c>
      <c r="BV8" s="54">
        <f>((BW5+(INT((BX5*5)/2)-0.5)*0.18)+0.2)*3</f>
        <v>2146.83</v>
      </c>
      <c r="BW8" s="10" t="s">
        <v>9</v>
      </c>
      <c r="BX8" s="10" t="s">
        <v>9</v>
      </c>
      <c r="BY8" s="87" t="s">
        <v>35</v>
      </c>
      <c r="BZ8" s="88"/>
      <c r="CA8" s="89"/>
      <c r="CB8" s="75"/>
      <c r="CC8" s="55" t="s">
        <v>37</v>
      </c>
      <c r="CD8" s="54">
        <f>(CF5-CG5/2)*3</f>
        <v>2097</v>
      </c>
      <c r="CE8" s="54">
        <f>(CF5+CG5/2)*3</f>
        <v>2127</v>
      </c>
      <c r="CF8" s="10" t="s">
        <v>9</v>
      </c>
      <c r="CG8" s="10" t="s">
        <v>9</v>
      </c>
      <c r="CH8" s="87" t="s">
        <v>35</v>
      </c>
      <c r="CI8" s="88"/>
      <c r="CJ8" s="89"/>
      <c r="CK8" s="75"/>
      <c r="CL8" s="55" t="s">
        <v>37</v>
      </c>
      <c r="CM8" s="54">
        <f>(CO5-CP5/2)*3</f>
        <v>2118</v>
      </c>
      <c r="CN8" s="54">
        <f>(CO5+CP5/2)*3</f>
        <v>2148</v>
      </c>
      <c r="CO8" s="10" t="s">
        <v>9</v>
      </c>
      <c r="CP8" s="10" t="s">
        <v>9</v>
      </c>
      <c r="CQ8" s="87" t="s">
        <v>35</v>
      </c>
      <c r="CR8" s="88"/>
      <c r="CS8" s="89"/>
      <c r="CT8" s="75"/>
      <c r="CU8" s="55" t="s">
        <v>37</v>
      </c>
    </row>
    <row r="9" spans="1:99" ht="15">
      <c r="A9" s="54">
        <f>((C5-2.5*0.18)-0.2)*4</f>
        <v>2796.2</v>
      </c>
      <c r="B9" s="54">
        <f>((C5-2.5*0.18)+0.2)*4</f>
        <v>2797.8</v>
      </c>
      <c r="C9" s="10" t="s">
        <v>9</v>
      </c>
      <c r="D9" s="10" t="s">
        <v>9</v>
      </c>
      <c r="E9" s="90" t="s">
        <v>35</v>
      </c>
      <c r="F9" s="90"/>
      <c r="G9" s="90"/>
      <c r="H9" s="75"/>
      <c r="I9" s="55" t="s">
        <v>38</v>
      </c>
      <c r="J9" s="54">
        <f>((L5-2.5*0.18)-0.2)*4</f>
        <v>2858.5999999999995</v>
      </c>
      <c r="K9" s="54">
        <f>((L5-2.5*0.18)+0.2)*4</f>
        <v>2860.2</v>
      </c>
      <c r="L9" s="10" t="s">
        <v>9</v>
      </c>
      <c r="M9" s="10" t="s">
        <v>9</v>
      </c>
      <c r="N9" s="90" t="s">
        <v>35</v>
      </c>
      <c r="O9" s="90"/>
      <c r="P9" s="90"/>
      <c r="Q9" s="75"/>
      <c r="R9" s="55" t="s">
        <v>38</v>
      </c>
      <c r="S9" s="54">
        <f>((U5-INT((V5*5)/2)*0.18)-0.2)*4</f>
        <v>2796.56</v>
      </c>
      <c r="T9" s="54">
        <f>((U5-INT((V5*5)/2)*0.18)+0.2)*4</f>
        <v>2798.1600000000003</v>
      </c>
      <c r="U9" s="10" t="s">
        <v>9</v>
      </c>
      <c r="V9" s="10" t="s">
        <v>9</v>
      </c>
      <c r="W9" s="90" t="s">
        <v>35</v>
      </c>
      <c r="X9" s="90"/>
      <c r="Y9" s="90"/>
      <c r="Z9" s="75"/>
      <c r="AA9" s="55" t="s">
        <v>38</v>
      </c>
      <c r="AB9" s="54">
        <f>((AD5-INT((AE5*5)/2)*0.18)-0.2)*4</f>
        <v>2820.56</v>
      </c>
      <c r="AC9" s="54">
        <f>((AD5-INT((AE5*5)/2)*0.18)+0.2)*4</f>
        <v>2822.1600000000003</v>
      </c>
      <c r="AD9" s="10" t="s">
        <v>9</v>
      </c>
      <c r="AE9" s="10" t="s">
        <v>9</v>
      </c>
      <c r="AF9" s="90" t="s">
        <v>35</v>
      </c>
      <c r="AG9" s="90"/>
      <c r="AH9" s="90"/>
      <c r="AI9" s="75"/>
      <c r="AJ9" s="55" t="s">
        <v>38</v>
      </c>
      <c r="AK9" s="54">
        <f>((AM5+INT((AN5*5)/2)*0.18)-0.2)*4</f>
        <v>2861.8399999999997</v>
      </c>
      <c r="AL9" s="54">
        <f>((AM5+INT((AN5*5)/2)*0.18)+0.2)*4</f>
        <v>2863.44</v>
      </c>
      <c r="AM9" s="10" t="s">
        <v>9</v>
      </c>
      <c r="AN9" s="10" t="s">
        <v>9</v>
      </c>
      <c r="AO9" s="87" t="s">
        <v>39</v>
      </c>
      <c r="AP9" s="88"/>
      <c r="AQ9" s="89"/>
      <c r="AR9" s="75"/>
      <c r="AS9" s="55" t="s">
        <v>38</v>
      </c>
      <c r="AT9" s="54">
        <f>(AV5-AW5/2)*4</f>
        <v>2796</v>
      </c>
      <c r="AU9" s="54">
        <f>(AV5+AW5/2)*4</f>
        <v>2816</v>
      </c>
      <c r="AV9" s="10" t="s">
        <v>9</v>
      </c>
      <c r="AW9" s="10" t="s">
        <v>9</v>
      </c>
      <c r="AX9" s="87" t="s">
        <v>39</v>
      </c>
      <c r="AY9" s="88"/>
      <c r="AZ9" s="89"/>
      <c r="BA9" s="75"/>
      <c r="BB9" s="55" t="s">
        <v>38</v>
      </c>
      <c r="BC9" s="54">
        <f>(BE5-BF5/2)*4</f>
        <v>2844</v>
      </c>
      <c r="BD9" s="54">
        <f>(BE5+BF5/2)*4</f>
        <v>2864</v>
      </c>
      <c r="BE9" s="10" t="s">
        <v>9</v>
      </c>
      <c r="BF9" s="10" t="s">
        <v>9</v>
      </c>
      <c r="BG9" s="87" t="s">
        <v>39</v>
      </c>
      <c r="BH9" s="88"/>
      <c r="BI9" s="89"/>
      <c r="BJ9" s="75"/>
      <c r="BK9" s="55" t="s">
        <v>38</v>
      </c>
      <c r="BL9" s="54">
        <f>((BN5-(INT((BO5*5)/2)-0.5)*0.18)-0.2)*4</f>
        <v>2797.56</v>
      </c>
      <c r="BM9" s="54">
        <f>((BN5-(INT((BO5*5)/2)-0.5)*0.18)+0.2)*4</f>
        <v>2799.1600000000003</v>
      </c>
      <c r="BN9" s="10" t="s">
        <v>9</v>
      </c>
      <c r="BO9" s="10" t="s">
        <v>9</v>
      </c>
      <c r="BP9" s="87" t="s">
        <v>39</v>
      </c>
      <c r="BQ9" s="88"/>
      <c r="BR9" s="89"/>
      <c r="BS9" s="75"/>
      <c r="BT9" s="55" t="s">
        <v>38</v>
      </c>
      <c r="BU9" s="54">
        <f>((BW5+(INT((BX5*5)/2)-0.5)*0.18)-0.2)*4</f>
        <v>2860.8399999999997</v>
      </c>
      <c r="BV9" s="54">
        <f>((BW5+(INT((BX5*5)/2)-0.5)*0.18)+0.2)*4</f>
        <v>2862.44</v>
      </c>
      <c r="BW9" s="10" t="s">
        <v>9</v>
      </c>
      <c r="BX9" s="10" t="s">
        <v>9</v>
      </c>
      <c r="BY9" s="87" t="s">
        <v>39</v>
      </c>
      <c r="BZ9" s="88"/>
      <c r="CA9" s="89"/>
      <c r="CB9" s="75"/>
      <c r="CC9" s="55" t="s">
        <v>38</v>
      </c>
      <c r="CD9" s="54">
        <f>(CF5-CG5/2)*4</f>
        <v>2796</v>
      </c>
      <c r="CE9" s="54">
        <f>(CF5+CG5/2)*4</f>
        <v>2836</v>
      </c>
      <c r="CF9" s="10" t="s">
        <v>9</v>
      </c>
      <c r="CG9" s="10" t="s">
        <v>9</v>
      </c>
      <c r="CH9" s="87" t="s">
        <v>39</v>
      </c>
      <c r="CI9" s="88"/>
      <c r="CJ9" s="89"/>
      <c r="CK9" s="75"/>
      <c r="CL9" s="55" t="s">
        <v>38</v>
      </c>
      <c r="CM9" s="54">
        <f>(CO5-CP5/2)*4</f>
        <v>2824</v>
      </c>
      <c r="CN9" s="54">
        <f>(CO5+CP5/2)*4</f>
        <v>2864</v>
      </c>
      <c r="CO9" s="10" t="s">
        <v>9</v>
      </c>
      <c r="CP9" s="10" t="s">
        <v>9</v>
      </c>
      <c r="CQ9" s="87" t="s">
        <v>35</v>
      </c>
      <c r="CR9" s="88"/>
      <c r="CS9" s="89"/>
      <c r="CT9" s="75"/>
      <c r="CU9" s="55" t="s">
        <v>38</v>
      </c>
    </row>
    <row r="10" spans="1:99" ht="15">
      <c r="A10" s="54">
        <f>((C5-2.5*0.18)-0.2)*5</f>
        <v>3495.25</v>
      </c>
      <c r="B10" s="54">
        <f>((C5-2.5*0.18)+0.2)*5</f>
        <v>3497.25</v>
      </c>
      <c r="C10" s="10" t="s">
        <v>9</v>
      </c>
      <c r="D10" s="10" t="s">
        <v>9</v>
      </c>
      <c r="E10" s="87" t="s">
        <v>35</v>
      </c>
      <c r="F10" s="88"/>
      <c r="G10" s="89"/>
      <c r="H10" s="75"/>
      <c r="I10" s="55" t="s">
        <v>40</v>
      </c>
      <c r="J10" s="54">
        <f>((L5-2.5*0.18)-0.2)*5</f>
        <v>3573.2499999999991</v>
      </c>
      <c r="K10" s="54">
        <f>((L5-2.5*0.18)+0.2)*5</f>
        <v>3575.25</v>
      </c>
      <c r="L10" s="10" t="s">
        <v>9</v>
      </c>
      <c r="M10" s="10" t="s">
        <v>9</v>
      </c>
      <c r="N10" s="87" t="s">
        <v>35</v>
      </c>
      <c r="O10" s="88"/>
      <c r="P10" s="89"/>
      <c r="Q10" s="75"/>
      <c r="R10" s="55" t="s">
        <v>40</v>
      </c>
      <c r="S10" s="54">
        <f>((U5-INT((V5*5)/2)*0.18)-0.2)*5</f>
        <v>3495.7</v>
      </c>
      <c r="T10" s="54">
        <f>((U5-INT((V5*5)/2)*0.18)+0.2)*5</f>
        <v>3497.7000000000003</v>
      </c>
      <c r="U10" s="10" t="s">
        <v>9</v>
      </c>
      <c r="V10" s="10" t="s">
        <v>9</v>
      </c>
      <c r="W10" s="87" t="s">
        <v>35</v>
      </c>
      <c r="X10" s="88"/>
      <c r="Y10" s="89"/>
      <c r="Z10" s="75"/>
      <c r="AA10" s="55" t="s">
        <v>40</v>
      </c>
      <c r="AB10" s="54">
        <f>((AD5-INT((AE5*5)/2)*0.18)-0.2)*5</f>
        <v>3525.7</v>
      </c>
      <c r="AC10" s="54">
        <f>((AD5-INT((AE5*5)/2)*0.18)+0.2)*5</f>
        <v>3527.7000000000003</v>
      </c>
      <c r="AD10" s="10" t="s">
        <v>9</v>
      </c>
      <c r="AE10" s="10" t="s">
        <v>9</v>
      </c>
      <c r="AF10" s="87" t="s">
        <v>35</v>
      </c>
      <c r="AG10" s="88"/>
      <c r="AH10" s="89"/>
      <c r="AI10" s="75"/>
      <c r="AJ10" s="55" t="s">
        <v>40</v>
      </c>
      <c r="AK10" s="54">
        <f>((AM5+INT((AN5*5)/2)*0.18)-0.2)*5</f>
        <v>3577.2999999999997</v>
      </c>
      <c r="AL10" s="54">
        <f>((AM5+INT((AN5*5)/2)*0.18)+0.2)*5</f>
        <v>3579.3</v>
      </c>
      <c r="AM10" s="10" t="s">
        <v>9</v>
      </c>
      <c r="AN10" s="10" t="s">
        <v>9</v>
      </c>
      <c r="AO10" s="87" t="s">
        <v>39</v>
      </c>
      <c r="AP10" s="88"/>
      <c r="AQ10" s="89"/>
      <c r="AR10" s="75"/>
      <c r="AS10" s="55" t="s">
        <v>40</v>
      </c>
      <c r="AT10" s="54">
        <f>(AV5-AW5/2)*5</f>
        <v>3495</v>
      </c>
      <c r="AU10" s="54">
        <f>(AV5+AW5/2)*5</f>
        <v>3520</v>
      </c>
      <c r="AV10" s="10" t="s">
        <v>9</v>
      </c>
      <c r="AW10" s="10" t="s">
        <v>9</v>
      </c>
      <c r="AX10" s="87" t="s">
        <v>39</v>
      </c>
      <c r="AY10" s="88"/>
      <c r="AZ10" s="89"/>
      <c r="BA10" s="75"/>
      <c r="BB10" s="55" t="s">
        <v>40</v>
      </c>
      <c r="BC10" s="54">
        <f>(BE5-BF5/2)*5</f>
        <v>3555</v>
      </c>
      <c r="BD10" s="54">
        <f>(BE5+BF5/2)*5</f>
        <v>3580</v>
      </c>
      <c r="BE10" s="10" t="s">
        <v>9</v>
      </c>
      <c r="BF10" s="10" t="s">
        <v>9</v>
      </c>
      <c r="BG10" s="87" t="s">
        <v>39</v>
      </c>
      <c r="BH10" s="88"/>
      <c r="BI10" s="89"/>
      <c r="BJ10" s="75"/>
      <c r="BK10" s="55" t="s">
        <v>40</v>
      </c>
      <c r="BL10" s="54">
        <f>((BN5-(INT((BO5*5)/2)-0.5)*0.18)-0.2)*5</f>
        <v>3496.95</v>
      </c>
      <c r="BM10" s="54">
        <f>((BN5-(INT((BO5*5)/2)-0.5)*0.18)+0.2)*5</f>
        <v>3498.9500000000003</v>
      </c>
      <c r="BN10" s="10" t="s">
        <v>9</v>
      </c>
      <c r="BO10" s="10" t="s">
        <v>9</v>
      </c>
      <c r="BP10" s="87" t="s">
        <v>39</v>
      </c>
      <c r="BQ10" s="88"/>
      <c r="BR10" s="89"/>
      <c r="BS10" s="75"/>
      <c r="BT10" s="55" t="s">
        <v>40</v>
      </c>
      <c r="BU10" s="54">
        <f>((BW5+(INT((BX5*5)/2)-0.5)*0.18)-0.2)*5</f>
        <v>3576.0499999999997</v>
      </c>
      <c r="BV10" s="54">
        <f>((BW5+(INT((BX5*5)/2)-0.5)*0.18)+0.2)*5</f>
        <v>3578.05</v>
      </c>
      <c r="BW10" s="10" t="s">
        <v>9</v>
      </c>
      <c r="BX10" s="10" t="s">
        <v>9</v>
      </c>
      <c r="BY10" s="87" t="s">
        <v>39</v>
      </c>
      <c r="BZ10" s="88"/>
      <c r="CA10" s="89"/>
      <c r="CB10" s="75"/>
      <c r="CC10" s="55" t="s">
        <v>40</v>
      </c>
      <c r="CD10" s="54">
        <f>(CF5-CG5/2)*5</f>
        <v>3495</v>
      </c>
      <c r="CE10" s="54">
        <f>(CF5+CG5/2)*5</f>
        <v>3545</v>
      </c>
      <c r="CF10" s="10" t="s">
        <v>9</v>
      </c>
      <c r="CG10" s="10" t="s">
        <v>9</v>
      </c>
      <c r="CH10" s="87" t="s">
        <v>39</v>
      </c>
      <c r="CI10" s="88"/>
      <c r="CJ10" s="89"/>
      <c r="CK10" s="75"/>
      <c r="CL10" s="55" t="s">
        <v>40</v>
      </c>
      <c r="CM10" s="54">
        <f>(CO5-CP5/2)*5</f>
        <v>3530</v>
      </c>
      <c r="CN10" s="54">
        <f>(CO5+CP5/2)*5</f>
        <v>3580</v>
      </c>
      <c r="CO10" s="10" t="s">
        <v>9</v>
      </c>
      <c r="CP10" s="10" t="s">
        <v>9</v>
      </c>
      <c r="CQ10" s="87" t="s">
        <v>35</v>
      </c>
      <c r="CR10" s="88"/>
      <c r="CS10" s="89"/>
      <c r="CT10" s="75"/>
      <c r="CU10" s="55" t="s">
        <v>40</v>
      </c>
    </row>
    <row r="11" spans="1:99" ht="15">
      <c r="A11" s="54">
        <f>((C5-2.5*0.18)-0.2)*6</f>
        <v>4194.2999999999993</v>
      </c>
      <c r="B11" s="54">
        <f>((C5-2.5*0.18)+0.2)*6</f>
        <v>4196.7000000000007</v>
      </c>
      <c r="C11" s="10" t="s">
        <v>9</v>
      </c>
      <c r="D11" s="10" t="s">
        <v>9</v>
      </c>
      <c r="E11" s="90" t="s">
        <v>35</v>
      </c>
      <c r="F11" s="90"/>
      <c r="G11" s="90"/>
      <c r="H11" s="75"/>
      <c r="I11" s="55" t="s">
        <v>41</v>
      </c>
      <c r="J11" s="54">
        <f>((L5-2.5*0.18)-0.2)*6</f>
        <v>4287.8999999999996</v>
      </c>
      <c r="K11" s="54">
        <f>((L5-2.5*0.18)+0.2)*6</f>
        <v>4290.2999999999993</v>
      </c>
      <c r="L11" s="10" t="s">
        <v>9</v>
      </c>
      <c r="M11" s="10" t="s">
        <v>9</v>
      </c>
      <c r="N11" s="90" t="s">
        <v>35</v>
      </c>
      <c r="O11" s="90"/>
      <c r="P11" s="90"/>
      <c r="Q11" s="75"/>
      <c r="R11" s="55" t="s">
        <v>41</v>
      </c>
      <c r="S11" s="54">
        <f>((U5-INT((V5*5)/2)*0.18)-0.2)*6</f>
        <v>4194.84</v>
      </c>
      <c r="T11" s="54">
        <f>((U5-INT((V5*5)/2)*0.18)+0.2)*6</f>
        <v>4197.2400000000007</v>
      </c>
      <c r="U11" s="10" t="s">
        <v>9</v>
      </c>
      <c r="V11" s="10" t="s">
        <v>9</v>
      </c>
      <c r="W11" s="90" t="s">
        <v>35</v>
      </c>
      <c r="X11" s="90"/>
      <c r="Y11" s="90"/>
      <c r="Z11" s="75"/>
      <c r="AA11" s="55" t="s">
        <v>41</v>
      </c>
      <c r="AB11" s="54">
        <f>((AD5-INT((AE5*5)/2)*0.18)-0.2)*6</f>
        <v>4230.84</v>
      </c>
      <c r="AC11" s="54">
        <f>((AD5-INT((AE5*5)/2)*0.18)+0.2)*6</f>
        <v>4233.2400000000007</v>
      </c>
      <c r="AD11" s="10" t="s">
        <v>9</v>
      </c>
      <c r="AE11" s="10" t="s">
        <v>9</v>
      </c>
      <c r="AF11" s="90" t="s">
        <v>35</v>
      </c>
      <c r="AG11" s="90"/>
      <c r="AH11" s="90"/>
      <c r="AI11" s="75"/>
      <c r="AJ11" s="55" t="s">
        <v>41</v>
      </c>
      <c r="AK11" s="54">
        <f>((AM5+INT((AN5*5)/2)*0.18)-0.2)*6</f>
        <v>4292.7599999999993</v>
      </c>
      <c r="AL11" s="54">
        <f>((AM5+INT((AN5*5)/2)*0.18)+0.2)*6</f>
        <v>4295.16</v>
      </c>
      <c r="AM11" s="10" t="s">
        <v>9</v>
      </c>
      <c r="AN11" s="10" t="s">
        <v>9</v>
      </c>
      <c r="AO11" s="87" t="s">
        <v>39</v>
      </c>
      <c r="AP11" s="88"/>
      <c r="AQ11" s="89"/>
      <c r="AR11" s="75"/>
      <c r="AS11" s="55" t="s">
        <v>41</v>
      </c>
      <c r="AT11" s="54">
        <f>(AV5-AW5/2)*6</f>
        <v>4194</v>
      </c>
      <c r="AU11" s="54">
        <f>(AV5+AW5/2)*6</f>
        <v>4224</v>
      </c>
      <c r="AV11" s="10" t="s">
        <v>9</v>
      </c>
      <c r="AW11" s="10" t="s">
        <v>9</v>
      </c>
      <c r="AX11" s="87" t="s">
        <v>39</v>
      </c>
      <c r="AY11" s="88"/>
      <c r="AZ11" s="89"/>
      <c r="BA11" s="75"/>
      <c r="BB11" s="55" t="s">
        <v>41</v>
      </c>
      <c r="BC11" s="54">
        <f>(BE5-BF5/2)*6</f>
        <v>4266</v>
      </c>
      <c r="BD11" s="54">
        <f>(BE5+BF5/2)*6</f>
        <v>4296</v>
      </c>
      <c r="BE11" s="10" t="s">
        <v>9</v>
      </c>
      <c r="BF11" s="10" t="s">
        <v>9</v>
      </c>
      <c r="BG11" s="87" t="s">
        <v>39</v>
      </c>
      <c r="BH11" s="88"/>
      <c r="BI11" s="89"/>
      <c r="BJ11" s="75"/>
      <c r="BK11" s="55" t="s">
        <v>41</v>
      </c>
      <c r="BL11" s="54">
        <f>((BN5-(INT((BO5*5)/2)-0.5)*0.18)-0.2)*6</f>
        <v>4196.34</v>
      </c>
      <c r="BM11" s="54">
        <f>((BN5-(INT((BO5*5)/2)-0.5)*0.18)+0.2)*6</f>
        <v>4198.7400000000007</v>
      </c>
      <c r="BN11" s="10" t="s">
        <v>9</v>
      </c>
      <c r="BO11" s="10" t="s">
        <v>9</v>
      </c>
      <c r="BP11" s="87" t="s">
        <v>39</v>
      </c>
      <c r="BQ11" s="88"/>
      <c r="BR11" s="89"/>
      <c r="BS11" s="75"/>
      <c r="BT11" s="55" t="s">
        <v>41</v>
      </c>
      <c r="BU11" s="54">
        <f>((BW5+(INT((BX5*5)/2)-0.5)*0.18)-0.2)*6</f>
        <v>4291.2599999999993</v>
      </c>
      <c r="BV11" s="54">
        <f>((BW5+(INT((BX5*5)/2)-0.5)*0.18)+0.2)*6</f>
        <v>4293.66</v>
      </c>
      <c r="BW11" s="10" t="s">
        <v>9</v>
      </c>
      <c r="BX11" s="10" t="s">
        <v>9</v>
      </c>
      <c r="BY11" s="87" t="s">
        <v>39</v>
      </c>
      <c r="BZ11" s="88"/>
      <c r="CA11" s="89"/>
      <c r="CB11" s="75"/>
      <c r="CC11" s="55" t="s">
        <v>41</v>
      </c>
      <c r="CD11" s="54">
        <f>(CF5-CG5/2)*6</f>
        <v>4194</v>
      </c>
      <c r="CE11" s="54">
        <f>(CF5+CG5/2)*6</f>
        <v>4254</v>
      </c>
      <c r="CF11" s="10" t="s">
        <v>9</v>
      </c>
      <c r="CG11" s="10" t="s">
        <v>9</v>
      </c>
      <c r="CH11" s="87" t="s">
        <v>39</v>
      </c>
      <c r="CI11" s="88"/>
      <c r="CJ11" s="89"/>
      <c r="CK11" s="75"/>
      <c r="CL11" s="55" t="s">
        <v>41</v>
      </c>
      <c r="CM11" s="54">
        <f>(CO5-CP5/2)*6</f>
        <v>4236</v>
      </c>
      <c r="CN11" s="54">
        <f>(CO5+CP5/2)*6</f>
        <v>4296</v>
      </c>
      <c r="CO11" s="10" t="s">
        <v>9</v>
      </c>
      <c r="CP11" s="10" t="s">
        <v>9</v>
      </c>
      <c r="CQ11" s="87" t="s">
        <v>35</v>
      </c>
      <c r="CR11" s="88"/>
      <c r="CS11" s="89"/>
      <c r="CT11" s="75"/>
      <c r="CU11" s="55" t="s">
        <v>41</v>
      </c>
    </row>
    <row r="12" spans="1:99" ht="15">
      <c r="A12" s="54">
        <f>((C5-2.5*0.18)-0.2)*7</f>
        <v>4893.3499999999995</v>
      </c>
      <c r="B12" s="54">
        <f>((C5-2.5*0.18)+0.2)*7</f>
        <v>4896.1500000000005</v>
      </c>
      <c r="C12" s="10" t="s">
        <v>9</v>
      </c>
      <c r="D12" s="10" t="s">
        <v>9</v>
      </c>
      <c r="E12" s="90" t="s">
        <v>35</v>
      </c>
      <c r="F12" s="90"/>
      <c r="G12" s="90"/>
      <c r="H12" s="75"/>
      <c r="I12" s="55" t="s">
        <v>62</v>
      </c>
      <c r="J12" s="54">
        <f>((L5-2.5*0.18)-0.2)*7</f>
        <v>5002.5499999999993</v>
      </c>
      <c r="K12" s="54">
        <f>((L5-2.5*0.18)+0.2)*7</f>
        <v>5005.3499999999995</v>
      </c>
      <c r="L12" s="10" t="s">
        <v>63</v>
      </c>
      <c r="M12" s="10" t="s">
        <v>9</v>
      </c>
      <c r="N12" s="87" t="s">
        <v>39</v>
      </c>
      <c r="O12" s="88"/>
      <c r="P12" s="89"/>
      <c r="Q12" s="75"/>
      <c r="R12" s="55" t="s">
        <v>62</v>
      </c>
      <c r="S12" s="54">
        <f>((U5-INT((V5*5)/2)*0.18)-0.2)*7</f>
        <v>4893.9799999999996</v>
      </c>
      <c r="T12" s="54">
        <f>((U5-INT((V5*5)/2)*0.18)+0.2)*7</f>
        <v>4896.7800000000007</v>
      </c>
      <c r="U12" s="10" t="s">
        <v>63</v>
      </c>
      <c r="V12" s="10" t="s">
        <v>9</v>
      </c>
      <c r="W12" s="87" t="s">
        <v>39</v>
      </c>
      <c r="X12" s="88"/>
      <c r="Y12" s="89"/>
      <c r="Z12" s="75"/>
      <c r="AA12" s="55" t="s">
        <v>62</v>
      </c>
      <c r="AB12" s="54">
        <f>((AD5-INT((AE5*5)/2)*0.18)-0.2)*7</f>
        <v>4935.9799999999996</v>
      </c>
      <c r="AC12" s="54">
        <f>((AD5-INT((AE5*5)/2)*0.18)+0.2)*7</f>
        <v>4938.7800000000007</v>
      </c>
      <c r="AD12" s="10" t="s">
        <v>9</v>
      </c>
      <c r="AE12" s="10" t="s">
        <v>9</v>
      </c>
      <c r="AF12" s="90" t="s">
        <v>39</v>
      </c>
      <c r="AG12" s="90"/>
      <c r="AH12" s="90"/>
      <c r="AI12" s="75"/>
      <c r="AJ12" s="55" t="s">
        <v>65</v>
      </c>
      <c r="AK12" s="54">
        <f>((AM5+INT((AN5*5)/2)*0.18)-0.2)*7</f>
        <v>5008.2199999999993</v>
      </c>
      <c r="AL12" s="54">
        <f>((AM5+INT((AN5*5)/2)*0.18)+0.2)*7</f>
        <v>5011.0200000000004</v>
      </c>
      <c r="AM12" s="10" t="s">
        <v>9</v>
      </c>
      <c r="AN12" s="10" t="s">
        <v>9</v>
      </c>
      <c r="AO12" s="87" t="s">
        <v>39</v>
      </c>
      <c r="AP12" s="88"/>
      <c r="AQ12" s="89"/>
      <c r="AR12" s="75"/>
      <c r="AS12" s="55" t="s">
        <v>65</v>
      </c>
      <c r="AT12" s="54">
        <f>(AV5-AW5/2)*7</f>
        <v>4893</v>
      </c>
      <c r="AU12" s="54">
        <f>(AV5+AW5/2)*7</f>
        <v>4928</v>
      </c>
      <c r="AV12" s="10" t="s">
        <v>9</v>
      </c>
      <c r="AW12" s="10" t="s">
        <v>9</v>
      </c>
      <c r="AX12" s="87" t="s">
        <v>39</v>
      </c>
      <c r="AY12" s="88"/>
      <c r="AZ12" s="89"/>
      <c r="BA12" s="75"/>
      <c r="BB12" s="55" t="s">
        <v>65</v>
      </c>
      <c r="BC12" s="54">
        <f>(BE5-BF5/2)*7</f>
        <v>4977</v>
      </c>
      <c r="BD12" s="54">
        <f>(BE5+BF5/2)*7</f>
        <v>5012</v>
      </c>
      <c r="BE12" s="10" t="s">
        <v>9</v>
      </c>
      <c r="BF12" s="10" t="s">
        <v>9</v>
      </c>
      <c r="BG12" s="87" t="s">
        <v>39</v>
      </c>
      <c r="BH12" s="88"/>
      <c r="BI12" s="89"/>
      <c r="BJ12" s="75"/>
      <c r="BK12" s="55" t="s">
        <v>65</v>
      </c>
      <c r="BL12" s="54">
        <f>((BN5-(INT((BO5*5)/2)-0.5)*0.18)-0.2)*7</f>
        <v>4895.7299999999996</v>
      </c>
      <c r="BM12" s="54">
        <f>((BN5-(INT((BO5*5)/2)-0.5)*0.18)+0.2)*7</f>
        <v>4898.5300000000007</v>
      </c>
      <c r="BN12" s="10" t="s">
        <v>9</v>
      </c>
      <c r="BO12" s="10" t="s">
        <v>9</v>
      </c>
      <c r="BP12" s="87" t="s">
        <v>39</v>
      </c>
      <c r="BQ12" s="88"/>
      <c r="BR12" s="89"/>
      <c r="BS12" s="75"/>
      <c r="BT12" s="55" t="s">
        <v>65</v>
      </c>
      <c r="BU12" s="54">
        <f>((BW5+(INT((BX5*5)/2)-0.5)*0.18)-0.2)*7</f>
        <v>5006.4699999999993</v>
      </c>
      <c r="BV12" s="54">
        <f>((BW5+(INT((BX5*5)/2)-0.5)*0.18)+0.2)*7</f>
        <v>5009.2700000000004</v>
      </c>
      <c r="BW12" s="10" t="s">
        <v>9</v>
      </c>
      <c r="BX12" s="10" t="s">
        <v>9</v>
      </c>
      <c r="BY12" s="87" t="s">
        <v>39</v>
      </c>
      <c r="BZ12" s="88"/>
      <c r="CA12" s="89"/>
      <c r="CB12" s="75"/>
      <c r="CC12" s="55" t="s">
        <v>65</v>
      </c>
      <c r="CD12" s="54">
        <f>(CF5-CG5/2)*7</f>
        <v>4893</v>
      </c>
      <c r="CE12" s="54">
        <f>(CF5+CG5/2)*7</f>
        <v>4963</v>
      </c>
      <c r="CF12" s="10" t="s">
        <v>9</v>
      </c>
      <c r="CG12" s="10" t="s">
        <v>9</v>
      </c>
      <c r="CH12" s="87" t="s">
        <v>39</v>
      </c>
      <c r="CI12" s="88"/>
      <c r="CJ12" s="89"/>
      <c r="CK12" s="75"/>
      <c r="CL12" s="55" t="s">
        <v>65</v>
      </c>
      <c r="CM12" s="54">
        <f>(CO5-CP5/2)*7</f>
        <v>4942</v>
      </c>
      <c r="CN12" s="54">
        <f>(CO5+CP5/2)*7</f>
        <v>5012</v>
      </c>
      <c r="CO12" s="10" t="s">
        <v>9</v>
      </c>
      <c r="CP12" s="10" t="s">
        <v>9</v>
      </c>
      <c r="CQ12" s="87" t="s">
        <v>64</v>
      </c>
      <c r="CR12" s="88"/>
      <c r="CS12" s="89"/>
      <c r="CT12" s="75"/>
      <c r="CU12" s="55" t="s">
        <v>65</v>
      </c>
    </row>
    <row r="13" spans="1:99" ht="15">
      <c r="A13" s="54">
        <f>((C5-2.5*0.18)-0.2)*8</f>
        <v>5592.4</v>
      </c>
      <c r="B13" s="54">
        <f>((C5-2.5*0.18)+0.2)*8</f>
        <v>5595.6</v>
      </c>
      <c r="C13" s="10" t="s">
        <v>9</v>
      </c>
      <c r="D13" s="10" t="s">
        <v>9</v>
      </c>
      <c r="E13" s="90" t="s">
        <v>35</v>
      </c>
      <c r="F13" s="90"/>
      <c r="G13" s="90"/>
      <c r="H13" s="75"/>
      <c r="I13" s="55" t="s">
        <v>66</v>
      </c>
      <c r="J13" s="54">
        <f>((L5-2.5*0.18)-0.2)*8</f>
        <v>5717.1999999999989</v>
      </c>
      <c r="K13" s="54">
        <f>((L5-2.5*0.18)+0.2)*8</f>
        <v>5720.4</v>
      </c>
      <c r="L13" s="10" t="s">
        <v>9</v>
      </c>
      <c r="M13" s="10" t="s">
        <v>9</v>
      </c>
      <c r="N13" s="87" t="s">
        <v>39</v>
      </c>
      <c r="O13" s="88"/>
      <c r="P13" s="89"/>
      <c r="Q13" s="75"/>
      <c r="R13" s="55" t="s">
        <v>66</v>
      </c>
      <c r="S13" s="54">
        <f>((U5-INT((V5*5)/2)*0.18)-0.2)*8</f>
        <v>5593.12</v>
      </c>
      <c r="T13" s="54">
        <f>((U5-INT((V5*5)/2)*0.18)+0.2)*8</f>
        <v>5596.3200000000006</v>
      </c>
      <c r="U13" s="10" t="s">
        <v>9</v>
      </c>
      <c r="V13" s="10" t="s">
        <v>9</v>
      </c>
      <c r="W13" s="87" t="s">
        <v>39</v>
      </c>
      <c r="X13" s="88"/>
      <c r="Y13" s="89"/>
      <c r="Z13" s="75"/>
      <c r="AA13" s="55" t="s">
        <v>66</v>
      </c>
      <c r="AB13" s="54">
        <f>((AD5-INT((AE5*5)/2)*0.18)-0.2)*8</f>
        <v>5641.12</v>
      </c>
      <c r="AC13" s="54">
        <f>((AD5-INT((AE5*5)/2)*0.18)+0.2)*8</f>
        <v>5644.3200000000006</v>
      </c>
      <c r="AD13" s="10" t="s">
        <v>9</v>
      </c>
      <c r="AE13" s="10" t="s">
        <v>9</v>
      </c>
      <c r="AF13" s="87" t="s">
        <v>39</v>
      </c>
      <c r="AG13" s="88"/>
      <c r="AH13" s="89"/>
      <c r="AI13" s="75"/>
      <c r="AJ13" s="55" t="s">
        <v>68</v>
      </c>
      <c r="AK13" s="54">
        <f>((AM5+INT((AN5*5)/2)*0.18)-0.2)*8</f>
        <v>5723.6799999999994</v>
      </c>
      <c r="AL13" s="54">
        <f>((AM5+INT((AN5*5)/2)*0.18)+0.2)*8</f>
        <v>5726.88</v>
      </c>
      <c r="AM13" s="10" t="s">
        <v>9</v>
      </c>
      <c r="AN13" s="10" t="s">
        <v>9</v>
      </c>
      <c r="AO13" s="87" t="s">
        <v>39</v>
      </c>
      <c r="AP13" s="88"/>
      <c r="AQ13" s="89"/>
      <c r="AR13" s="75"/>
      <c r="AS13" s="55" t="s">
        <v>68</v>
      </c>
      <c r="AT13" s="54">
        <f>(AV5-AW5/2)*8</f>
        <v>5592</v>
      </c>
      <c r="AU13" s="54">
        <f>(AV5+AW5/2)*8</f>
        <v>5632</v>
      </c>
      <c r="AV13" s="10" t="s">
        <v>9</v>
      </c>
      <c r="AW13" s="10" t="s">
        <v>9</v>
      </c>
      <c r="AX13" s="87" t="s">
        <v>39</v>
      </c>
      <c r="AY13" s="88"/>
      <c r="AZ13" s="89"/>
      <c r="BA13" s="75"/>
      <c r="BB13" s="55" t="s">
        <v>68</v>
      </c>
      <c r="BC13" s="54">
        <f>(BE5-BF5/2)*8</f>
        <v>5688</v>
      </c>
      <c r="BD13" s="54">
        <f>(BE5+BF5/2)*8</f>
        <v>5728</v>
      </c>
      <c r="BE13" s="10" t="s">
        <v>9</v>
      </c>
      <c r="BF13" s="10" t="s">
        <v>9</v>
      </c>
      <c r="BG13" s="87" t="s">
        <v>39</v>
      </c>
      <c r="BH13" s="88"/>
      <c r="BI13" s="89"/>
      <c r="BJ13" s="75"/>
      <c r="BK13" s="55" t="s">
        <v>68</v>
      </c>
      <c r="BL13" s="54">
        <f>((BN5-(INT((BO5*5)/2)-0.5)*0.18)-0.2)*8</f>
        <v>5595.12</v>
      </c>
      <c r="BM13" s="54">
        <f>((BN5-(INT((BO5*5)/2)-0.5)*0.18)+0.2)*8</f>
        <v>5598.3200000000006</v>
      </c>
      <c r="BN13" s="10" t="s">
        <v>9</v>
      </c>
      <c r="BO13" s="10" t="s">
        <v>9</v>
      </c>
      <c r="BP13" s="87" t="s">
        <v>39</v>
      </c>
      <c r="BQ13" s="88"/>
      <c r="BR13" s="89"/>
      <c r="BS13" s="75"/>
      <c r="BT13" s="55" t="s">
        <v>68</v>
      </c>
      <c r="BU13" s="54">
        <f>((BW5+(INT((BX5*5)/2)-0.5)*0.18)-0.2)*8</f>
        <v>5721.6799999999994</v>
      </c>
      <c r="BV13" s="54">
        <f>((BW5+(INT((BX5*5)/2)-0.5)*0.18)+0.2)*8</f>
        <v>5724.88</v>
      </c>
      <c r="BW13" s="10" t="s">
        <v>9</v>
      </c>
      <c r="BX13" s="10" t="s">
        <v>9</v>
      </c>
      <c r="BY13" s="87" t="s">
        <v>39</v>
      </c>
      <c r="BZ13" s="88"/>
      <c r="CA13" s="89"/>
      <c r="CB13" s="75"/>
      <c r="CC13" s="55" t="s">
        <v>68</v>
      </c>
      <c r="CD13" s="54">
        <f>(CF5-CG5/2)*8</f>
        <v>5592</v>
      </c>
      <c r="CE13" s="54">
        <f>(CF5+CG5/2)*8</f>
        <v>5672</v>
      </c>
      <c r="CF13" s="10" t="s">
        <v>9</v>
      </c>
      <c r="CG13" s="10" t="s">
        <v>9</v>
      </c>
      <c r="CH13" s="87" t="s">
        <v>39</v>
      </c>
      <c r="CI13" s="88"/>
      <c r="CJ13" s="89"/>
      <c r="CK13" s="75"/>
      <c r="CL13" s="55" t="s">
        <v>68</v>
      </c>
      <c r="CM13" s="54">
        <f>(CO5-CP5/2)*8</f>
        <v>5648</v>
      </c>
      <c r="CN13" s="54">
        <f>(CO5+CP5/2)*8</f>
        <v>5728</v>
      </c>
      <c r="CO13" s="10" t="s">
        <v>9</v>
      </c>
      <c r="CP13" s="10" t="s">
        <v>9</v>
      </c>
      <c r="CQ13" s="87" t="s">
        <v>67</v>
      </c>
      <c r="CR13" s="88"/>
      <c r="CS13" s="89"/>
      <c r="CT13" s="75"/>
      <c r="CU13" s="55" t="s">
        <v>68</v>
      </c>
    </row>
    <row r="14" spans="1:99" ht="15">
      <c r="A14" s="54">
        <f>((C5-2.5*0.18)-0.2)*9</f>
        <v>6291.45</v>
      </c>
      <c r="B14" s="54">
        <f>((C5-2.5*0.18)+0.2)*9</f>
        <v>6295.05</v>
      </c>
      <c r="C14" s="10" t="s">
        <v>9</v>
      </c>
      <c r="D14" s="10" t="s">
        <v>9</v>
      </c>
      <c r="E14" s="90" t="s">
        <v>35</v>
      </c>
      <c r="F14" s="90"/>
      <c r="G14" s="90"/>
      <c r="H14" s="75"/>
      <c r="I14" s="55" t="s">
        <v>69</v>
      </c>
      <c r="J14" s="54">
        <f>((L5-2.5*0.18)-0.2)*9</f>
        <v>6431.8499999999985</v>
      </c>
      <c r="K14" s="54">
        <f>((L5-2.5*0.18)+0.2)*9</f>
        <v>6435.45</v>
      </c>
      <c r="L14" s="10" t="s">
        <v>9</v>
      </c>
      <c r="M14" s="10" t="s">
        <v>9</v>
      </c>
      <c r="N14" s="87" t="s">
        <v>39</v>
      </c>
      <c r="O14" s="88"/>
      <c r="P14" s="89"/>
      <c r="Q14" s="75"/>
      <c r="R14" s="55" t="s">
        <v>69</v>
      </c>
      <c r="S14" s="54">
        <f>((U5-INT((V5*5)/2)*0.18)-0.2)*9</f>
        <v>6292.26</v>
      </c>
      <c r="T14" s="54">
        <f>((U5-INT((V5*5)/2)*0.18)+0.2)*9</f>
        <v>6295.8600000000006</v>
      </c>
      <c r="U14" s="10" t="s">
        <v>9</v>
      </c>
      <c r="V14" s="10" t="s">
        <v>9</v>
      </c>
      <c r="W14" s="87" t="s">
        <v>39</v>
      </c>
      <c r="X14" s="88"/>
      <c r="Y14" s="89"/>
      <c r="Z14" s="75"/>
      <c r="AA14" s="55" t="s">
        <v>69</v>
      </c>
      <c r="AB14" s="54">
        <f>((AD5-INT((AE5*5)/2)*0.18)-0.2)*9</f>
        <v>6346.26</v>
      </c>
      <c r="AC14" s="54">
        <f>((AD5-INT((AE5*5)/2)*0.18)+0.2)*9</f>
        <v>6349.8600000000006</v>
      </c>
      <c r="AD14" s="10" t="s">
        <v>9</v>
      </c>
      <c r="AE14" s="10" t="s">
        <v>9</v>
      </c>
      <c r="AF14" s="90" t="s">
        <v>39</v>
      </c>
      <c r="AG14" s="90"/>
      <c r="AH14" s="90"/>
      <c r="AI14" s="75"/>
      <c r="AJ14" s="55" t="s">
        <v>71</v>
      </c>
      <c r="AK14" s="54">
        <f>((AM5+INT((AN5*5)/2)*0.18)-0.2)*9</f>
        <v>6439.1399999999994</v>
      </c>
      <c r="AL14" s="54">
        <f>((AM5+INT((AN5*5)/2)*0.18)+0.2)*9</f>
        <v>6442.74</v>
      </c>
      <c r="AM14" s="10" t="s">
        <v>9</v>
      </c>
      <c r="AN14" s="10" t="s">
        <v>9</v>
      </c>
      <c r="AO14" s="87" t="s">
        <v>39</v>
      </c>
      <c r="AP14" s="88"/>
      <c r="AQ14" s="89"/>
      <c r="AR14" s="75"/>
      <c r="AS14" s="55" t="s">
        <v>71</v>
      </c>
      <c r="AT14" s="54">
        <f>(AV5-AW5/2)*9</f>
        <v>6291</v>
      </c>
      <c r="AU14" s="54">
        <f>(AV5+AW5/2)*9</f>
        <v>6336</v>
      </c>
      <c r="AV14" s="10" t="s">
        <v>9</v>
      </c>
      <c r="AW14" s="10" t="s">
        <v>9</v>
      </c>
      <c r="AX14" s="87" t="s">
        <v>39</v>
      </c>
      <c r="AY14" s="88"/>
      <c r="AZ14" s="89"/>
      <c r="BA14" s="75"/>
      <c r="BB14" s="55" t="s">
        <v>71</v>
      </c>
      <c r="BC14" s="54">
        <f>(BE5-BF5/2)*9</f>
        <v>6399</v>
      </c>
      <c r="BD14" s="54">
        <f>(BE5+BF5/2)*9</f>
        <v>6444</v>
      </c>
      <c r="BE14" s="10" t="s">
        <v>9</v>
      </c>
      <c r="BF14" s="10" t="s">
        <v>9</v>
      </c>
      <c r="BG14" s="87" t="s">
        <v>39</v>
      </c>
      <c r="BH14" s="88"/>
      <c r="BI14" s="89"/>
      <c r="BJ14" s="75"/>
      <c r="BK14" s="55" t="s">
        <v>71</v>
      </c>
      <c r="BL14" s="54">
        <f>((BN5-(INT((BO5*5)/2)-0.5)*0.18)-0.2)*9</f>
        <v>6294.51</v>
      </c>
      <c r="BM14" s="54">
        <f>((BN5-(INT((BO5*5)/2)-0.5)*0.18)+0.2)*9</f>
        <v>6298.1100000000006</v>
      </c>
      <c r="BN14" s="10" t="s">
        <v>9</v>
      </c>
      <c r="BO14" s="10" t="s">
        <v>9</v>
      </c>
      <c r="BP14" s="87" t="s">
        <v>39</v>
      </c>
      <c r="BQ14" s="88"/>
      <c r="BR14" s="89"/>
      <c r="BS14" s="75"/>
      <c r="BT14" s="55" t="s">
        <v>71</v>
      </c>
      <c r="BU14" s="54">
        <f>((BW5+(INT((BX5*5)/2)-0.5)*0.18)-0.2)*9</f>
        <v>6436.8899999999994</v>
      </c>
      <c r="BV14" s="54">
        <f>((BW5+(INT((BX5*5)/2)-0.5)*0.18)+0.2)*9</f>
        <v>6440.49</v>
      </c>
      <c r="BW14" s="10" t="s">
        <v>9</v>
      </c>
      <c r="BX14" s="10" t="s">
        <v>9</v>
      </c>
      <c r="BY14" s="87" t="s">
        <v>39</v>
      </c>
      <c r="BZ14" s="88"/>
      <c r="CA14" s="89"/>
      <c r="CB14" s="75"/>
      <c r="CC14" s="55" t="s">
        <v>71</v>
      </c>
      <c r="CD14" s="54">
        <f>(CF5-CG5/2)*9</f>
        <v>6291</v>
      </c>
      <c r="CE14" s="54">
        <f>(CF5+CG5/2)*9</f>
        <v>6381</v>
      </c>
      <c r="CF14" s="10" t="s">
        <v>9</v>
      </c>
      <c r="CG14" s="10" t="s">
        <v>9</v>
      </c>
      <c r="CH14" s="87" t="s">
        <v>39</v>
      </c>
      <c r="CI14" s="88"/>
      <c r="CJ14" s="89"/>
      <c r="CK14" s="75"/>
      <c r="CL14" s="55" t="s">
        <v>71</v>
      </c>
      <c r="CM14" s="54">
        <f>(CO5-CP5/2)*9</f>
        <v>6354</v>
      </c>
      <c r="CN14" s="54">
        <f>(CO5+CP5/2)*9</f>
        <v>6444</v>
      </c>
      <c r="CO14" s="10" t="s">
        <v>9</v>
      </c>
      <c r="CP14" s="10" t="s">
        <v>9</v>
      </c>
      <c r="CQ14" s="87" t="s">
        <v>70</v>
      </c>
      <c r="CR14" s="88"/>
      <c r="CS14" s="89"/>
      <c r="CT14" s="75"/>
      <c r="CU14" s="55" t="s">
        <v>71</v>
      </c>
    </row>
    <row r="15" spans="1:99" ht="15">
      <c r="A15" s="54">
        <f>((C5-2.5*0.18)-0.2)*10</f>
        <v>6990.5</v>
      </c>
      <c r="B15" s="54">
        <f>((C5-2.5*0.18)+0.2)*10</f>
        <v>6994.5</v>
      </c>
      <c r="C15" s="10" t="s">
        <v>9</v>
      </c>
      <c r="D15" s="10" t="s">
        <v>9</v>
      </c>
      <c r="E15" s="90" t="s">
        <v>35</v>
      </c>
      <c r="F15" s="90"/>
      <c r="G15" s="90"/>
      <c r="H15" s="75"/>
      <c r="I15" s="55" t="s">
        <v>72</v>
      </c>
      <c r="J15" s="54">
        <f>((L5-2.5*0.18)-0.2)*10</f>
        <v>7146.4999999999982</v>
      </c>
      <c r="K15" s="54">
        <f>((L5-2.5*0.18)+0.2)*10</f>
        <v>7150.5</v>
      </c>
      <c r="L15" s="10" t="s">
        <v>9</v>
      </c>
      <c r="M15" s="10" t="s">
        <v>9</v>
      </c>
      <c r="N15" s="87" t="s">
        <v>39</v>
      </c>
      <c r="O15" s="88"/>
      <c r="P15" s="89"/>
      <c r="Q15" s="75"/>
      <c r="R15" s="55" t="s">
        <v>72</v>
      </c>
      <c r="S15" s="54">
        <f>((U5-INT((V5*5)/2)*0.18)-0.2)*10</f>
        <v>6991.4</v>
      </c>
      <c r="T15" s="54">
        <f>((U5-INT((V5*5)/2)*0.18)+0.2)*10</f>
        <v>6995.4000000000005</v>
      </c>
      <c r="U15" s="10" t="s">
        <v>9</v>
      </c>
      <c r="V15" s="10" t="s">
        <v>9</v>
      </c>
      <c r="W15" s="87" t="s">
        <v>39</v>
      </c>
      <c r="X15" s="88"/>
      <c r="Y15" s="89"/>
      <c r="Z15" s="75"/>
      <c r="AA15" s="55" t="s">
        <v>72</v>
      </c>
      <c r="AB15" s="54">
        <f>((AD5-INT((AE5*5)/2)*0.18)-0.2)*10</f>
        <v>7051.4</v>
      </c>
      <c r="AC15" s="54">
        <f>((AD5-INT((AE5*5)/2)*0.18)+0.2)*10</f>
        <v>7055.4000000000005</v>
      </c>
      <c r="AD15" s="10" t="s">
        <v>9</v>
      </c>
      <c r="AE15" s="10" t="s">
        <v>9</v>
      </c>
      <c r="AF15" s="90" t="s">
        <v>39</v>
      </c>
      <c r="AG15" s="90"/>
      <c r="AH15" s="90"/>
      <c r="AI15" s="75"/>
      <c r="AJ15" s="55" t="s">
        <v>74</v>
      </c>
      <c r="AK15" s="54">
        <f>((AM5+INT((AN5*5)/2)*0.18)-0.2)*10</f>
        <v>7154.5999999999995</v>
      </c>
      <c r="AL15" s="54">
        <f>((AM5+INT((AN5*5)/2)*0.18)+0.2)*10</f>
        <v>7158.6</v>
      </c>
      <c r="AM15" s="10" t="s">
        <v>9</v>
      </c>
      <c r="AN15" s="10" t="s">
        <v>9</v>
      </c>
      <c r="AO15" s="87" t="s">
        <v>39</v>
      </c>
      <c r="AP15" s="88"/>
      <c r="AQ15" s="89"/>
      <c r="AR15" s="75"/>
      <c r="AS15" s="55" t="s">
        <v>74</v>
      </c>
      <c r="AT15" s="54">
        <f>(AV5-AW5/2)*10</f>
        <v>6990</v>
      </c>
      <c r="AU15" s="54">
        <f>(AV5+AW5/2)*10</f>
        <v>7040</v>
      </c>
      <c r="AV15" s="10" t="s">
        <v>9</v>
      </c>
      <c r="AW15" s="10" t="s">
        <v>9</v>
      </c>
      <c r="AX15" s="87" t="s">
        <v>39</v>
      </c>
      <c r="AY15" s="88"/>
      <c r="AZ15" s="89"/>
      <c r="BA15" s="75"/>
      <c r="BB15" s="55" t="s">
        <v>74</v>
      </c>
      <c r="BC15" s="54">
        <f>(BE5-BF5/2)*10</f>
        <v>7110</v>
      </c>
      <c r="BD15" s="54">
        <f>(BE5+BF5/2)*10</f>
        <v>7160</v>
      </c>
      <c r="BE15" s="10" t="s">
        <v>9</v>
      </c>
      <c r="BF15" s="10" t="s">
        <v>9</v>
      </c>
      <c r="BG15" s="87" t="s">
        <v>39</v>
      </c>
      <c r="BH15" s="88"/>
      <c r="BI15" s="89"/>
      <c r="BJ15" s="75"/>
      <c r="BK15" s="55" t="s">
        <v>74</v>
      </c>
      <c r="BL15" s="54">
        <f>((BN5-(INT((BO5*5)/2)-0.5)*0.18)-0.2)*10</f>
        <v>6993.9</v>
      </c>
      <c r="BM15" s="54">
        <f>((BN5-(INT((BO5*5)/2)-0.5)*0.18)+0.2)*10</f>
        <v>6997.9000000000005</v>
      </c>
      <c r="BN15" s="10" t="s">
        <v>9</v>
      </c>
      <c r="BO15" s="10" t="s">
        <v>9</v>
      </c>
      <c r="BP15" s="87" t="s">
        <v>39</v>
      </c>
      <c r="BQ15" s="88"/>
      <c r="BR15" s="89"/>
      <c r="BS15" s="75"/>
      <c r="BT15" s="55" t="s">
        <v>74</v>
      </c>
      <c r="BU15" s="54">
        <f>((BW5+(INT((BX5*5)/2)-0.5)*0.18)-0.2)*10</f>
        <v>7152.0999999999995</v>
      </c>
      <c r="BV15" s="54">
        <f>((BW5+(INT((BX5*5)/2)-0.5)*0.18)+0.2)*10</f>
        <v>7156.1</v>
      </c>
      <c r="BW15" s="10" t="s">
        <v>9</v>
      </c>
      <c r="BX15" s="10" t="s">
        <v>9</v>
      </c>
      <c r="BY15" s="87" t="s">
        <v>39</v>
      </c>
      <c r="BZ15" s="88"/>
      <c r="CA15" s="89"/>
      <c r="CB15" s="75"/>
      <c r="CC15" s="55" t="s">
        <v>74</v>
      </c>
      <c r="CD15" s="54">
        <f>(CF5-CG5/2)*10</f>
        <v>6990</v>
      </c>
      <c r="CE15" s="54">
        <f>(CF5+CG5/2)*10</f>
        <v>7090</v>
      </c>
      <c r="CF15" s="10" t="s">
        <v>9</v>
      </c>
      <c r="CG15" s="10" t="s">
        <v>9</v>
      </c>
      <c r="CH15" s="87" t="s">
        <v>39</v>
      </c>
      <c r="CI15" s="88"/>
      <c r="CJ15" s="89"/>
      <c r="CK15" s="75"/>
      <c r="CL15" s="55" t="s">
        <v>74</v>
      </c>
      <c r="CM15" s="54">
        <f>(CO5-CP5/2)*10</f>
        <v>7060</v>
      </c>
      <c r="CN15" s="54">
        <f>(CO5+CP5/2)*10</f>
        <v>7160</v>
      </c>
      <c r="CO15" s="10" t="s">
        <v>9</v>
      </c>
      <c r="CP15" s="10" t="s">
        <v>9</v>
      </c>
      <c r="CQ15" s="87" t="s">
        <v>73</v>
      </c>
      <c r="CR15" s="88"/>
      <c r="CS15" s="89"/>
      <c r="CT15" s="75"/>
      <c r="CU15" s="55" t="s">
        <v>74</v>
      </c>
    </row>
    <row r="16" spans="1:99" ht="15">
      <c r="A16" s="54">
        <f>((C5-2.5*0.18)-0.2)*11</f>
        <v>7689.5499999999993</v>
      </c>
      <c r="B16" s="54">
        <f>((C5-2.5*0.18)+0.2)*11</f>
        <v>7693.9500000000007</v>
      </c>
      <c r="C16" s="10" t="s">
        <v>9</v>
      </c>
      <c r="D16" s="10" t="s">
        <v>9</v>
      </c>
      <c r="E16" s="90" t="s">
        <v>35</v>
      </c>
      <c r="F16" s="90"/>
      <c r="G16" s="90"/>
      <c r="H16" s="75"/>
      <c r="I16" s="55" t="s">
        <v>75</v>
      </c>
      <c r="J16" s="54">
        <f>((L5-2.5*0.18)-0.2)*11</f>
        <v>7861.1499999999987</v>
      </c>
      <c r="K16" s="54">
        <f>((L5-2.5*0.18)+0.2)*11</f>
        <v>7865.5499999999993</v>
      </c>
      <c r="L16" s="10" t="s">
        <v>9</v>
      </c>
      <c r="M16" s="10" t="s">
        <v>9</v>
      </c>
      <c r="N16" s="87" t="s">
        <v>39</v>
      </c>
      <c r="O16" s="88"/>
      <c r="P16" s="89"/>
      <c r="Q16" s="75"/>
      <c r="R16" s="55" t="s">
        <v>75</v>
      </c>
      <c r="S16" s="54">
        <f>((U5-INT((V5*5)/2)*0.18)-0.2)*11</f>
        <v>7690.54</v>
      </c>
      <c r="T16" s="54">
        <f>((U5-INT((V5*5)/2)*0.18)+0.2)*12</f>
        <v>8394.4800000000014</v>
      </c>
      <c r="U16" s="10" t="s">
        <v>9</v>
      </c>
      <c r="V16" s="10" t="s">
        <v>9</v>
      </c>
      <c r="W16" s="87" t="s">
        <v>39</v>
      </c>
      <c r="X16" s="88"/>
      <c r="Y16" s="89"/>
      <c r="Z16" s="75"/>
      <c r="AA16" s="55" t="s">
        <v>75</v>
      </c>
      <c r="AB16" s="54">
        <f>((AD5-INT((AE5*5)/2)*0.18)-0.2)*11</f>
        <v>7756.54</v>
      </c>
      <c r="AC16" s="54">
        <f>((AD5-INT((AE5*5)/2)*0.18)+0.2)*11</f>
        <v>7760.9400000000005</v>
      </c>
      <c r="AD16" s="10" t="s">
        <v>9</v>
      </c>
      <c r="AE16" s="10" t="s">
        <v>9</v>
      </c>
      <c r="AF16" s="87" t="s">
        <v>39</v>
      </c>
      <c r="AG16" s="88"/>
      <c r="AH16" s="89"/>
      <c r="AI16" s="75"/>
      <c r="AJ16" s="55" t="s">
        <v>77</v>
      </c>
      <c r="AK16" s="54">
        <f>((AM5+INT((AN5*5)/2)*0.18)-0.2)*11</f>
        <v>7870.0599999999995</v>
      </c>
      <c r="AL16" s="54">
        <f>((AM5+INT((AN5*5)/2)*0.18)+0.2)*11</f>
        <v>7874.46</v>
      </c>
      <c r="AM16" s="10" t="s">
        <v>9</v>
      </c>
      <c r="AN16" s="10" t="s">
        <v>9</v>
      </c>
      <c r="AO16" s="87" t="s">
        <v>39</v>
      </c>
      <c r="AP16" s="88"/>
      <c r="AQ16" s="89"/>
      <c r="AR16" s="75"/>
      <c r="AS16" s="55" t="s">
        <v>77</v>
      </c>
      <c r="AT16" s="54">
        <f>(AV5-AW5/2)*11</f>
        <v>7689</v>
      </c>
      <c r="AU16" s="54">
        <f>(AV5+AW5/2)*11</f>
        <v>7744</v>
      </c>
      <c r="AV16" s="10" t="s">
        <v>9</v>
      </c>
      <c r="AW16" s="10" t="s">
        <v>9</v>
      </c>
      <c r="AX16" s="87" t="s">
        <v>39</v>
      </c>
      <c r="AY16" s="88"/>
      <c r="AZ16" s="89"/>
      <c r="BA16" s="75"/>
      <c r="BB16" s="55" t="s">
        <v>77</v>
      </c>
      <c r="BC16" s="54">
        <f>(BE5-BF5/2)*11</f>
        <v>7821</v>
      </c>
      <c r="BD16" s="54">
        <f>(BE5+BF5/2)*11</f>
        <v>7876</v>
      </c>
      <c r="BE16" s="10" t="s">
        <v>9</v>
      </c>
      <c r="BF16" s="10" t="s">
        <v>9</v>
      </c>
      <c r="BG16" s="87" t="s">
        <v>39</v>
      </c>
      <c r="BH16" s="88"/>
      <c r="BI16" s="89"/>
      <c r="BJ16" s="75"/>
      <c r="BK16" s="55" t="s">
        <v>77</v>
      </c>
      <c r="BL16" s="54">
        <f>((BN5-(INT((BO5*5)/2)-0.5)*0.18)-0.2)*11</f>
        <v>7693.29</v>
      </c>
      <c r="BM16" s="54">
        <f>((BN5-(INT((BO5*5)/2)-0.5)*0.18)+0.2)*11</f>
        <v>7697.6900000000005</v>
      </c>
      <c r="BN16" s="10" t="s">
        <v>9</v>
      </c>
      <c r="BO16" s="10" t="s">
        <v>9</v>
      </c>
      <c r="BP16" s="87" t="s">
        <v>39</v>
      </c>
      <c r="BQ16" s="88"/>
      <c r="BR16" s="89"/>
      <c r="BS16" s="75"/>
      <c r="BT16" s="55" t="s">
        <v>77</v>
      </c>
      <c r="BU16" s="54">
        <f>((BW5+(INT((BX5*5)/2)-0.5)*0.18)-0.2)*11</f>
        <v>7867.3099999999995</v>
      </c>
      <c r="BV16" s="54">
        <f>((BW5+(INT((BX5*5)/2)-0.5)*0.18)+0.2)*11</f>
        <v>7871.71</v>
      </c>
      <c r="BW16" s="10" t="s">
        <v>9</v>
      </c>
      <c r="BX16" s="10" t="s">
        <v>9</v>
      </c>
      <c r="BY16" s="87" t="s">
        <v>39</v>
      </c>
      <c r="BZ16" s="88"/>
      <c r="CA16" s="89"/>
      <c r="CB16" s="75"/>
      <c r="CC16" s="55" t="s">
        <v>77</v>
      </c>
      <c r="CD16" s="54">
        <f>(CF5-CG5/2)*11</f>
        <v>7689</v>
      </c>
      <c r="CE16" s="54">
        <f>(CF5+CG5/2)*11</f>
        <v>7799</v>
      </c>
      <c r="CF16" s="10" t="s">
        <v>9</v>
      </c>
      <c r="CG16" s="10" t="s">
        <v>9</v>
      </c>
      <c r="CH16" s="87" t="s">
        <v>39</v>
      </c>
      <c r="CI16" s="88"/>
      <c r="CJ16" s="89"/>
      <c r="CK16" s="75"/>
      <c r="CL16" s="55" t="s">
        <v>77</v>
      </c>
      <c r="CM16" s="54">
        <f>(CO5-CP5/2)*11</f>
        <v>7766</v>
      </c>
      <c r="CN16" s="54">
        <f>(CO5+CP5/2)*11</f>
        <v>7876</v>
      </c>
      <c r="CO16" s="10" t="s">
        <v>9</v>
      </c>
      <c r="CP16" s="10" t="s">
        <v>9</v>
      </c>
      <c r="CQ16" s="87" t="s">
        <v>76</v>
      </c>
      <c r="CR16" s="88"/>
      <c r="CS16" s="89"/>
      <c r="CT16" s="75"/>
      <c r="CU16" s="55" t="s">
        <v>77</v>
      </c>
    </row>
    <row r="17" spans="1:99" ht="15">
      <c r="A17" s="54">
        <f>((C5-2.5*0.18)-0.2)*12</f>
        <v>8388.5999999999985</v>
      </c>
      <c r="B17" s="54">
        <f>((C5-2.5*0.18)+0.2)*12</f>
        <v>8393.4000000000015</v>
      </c>
      <c r="C17" s="10" t="s">
        <v>9</v>
      </c>
      <c r="D17" s="10" t="s">
        <v>9</v>
      </c>
      <c r="E17" s="90" t="s">
        <v>35</v>
      </c>
      <c r="F17" s="90"/>
      <c r="G17" s="90"/>
      <c r="H17" s="75"/>
      <c r="I17" s="55" t="s">
        <v>78</v>
      </c>
      <c r="J17" s="54">
        <f>((L5-2.5*0.18)-0.2)*12</f>
        <v>8575.7999999999993</v>
      </c>
      <c r="K17" s="54">
        <f>((L5-2.5*0.18)+0.2)*12</f>
        <v>8580.5999999999985</v>
      </c>
      <c r="L17" s="10" t="s">
        <v>9</v>
      </c>
      <c r="M17" s="10" t="s">
        <v>9</v>
      </c>
      <c r="N17" s="87" t="s">
        <v>39</v>
      </c>
      <c r="O17" s="88"/>
      <c r="P17" s="89"/>
      <c r="Q17" s="75"/>
      <c r="R17" s="55" t="s">
        <v>78</v>
      </c>
      <c r="S17" s="54">
        <f>((U5-INT((V5*5)/2)*0.18)-0.2)*13</f>
        <v>9088.82</v>
      </c>
      <c r="T17" s="54">
        <f>((U5-INT((V5*5)/2)*0.18)+0.2)*14</f>
        <v>9793.5600000000013</v>
      </c>
      <c r="U17" s="10" t="s">
        <v>9</v>
      </c>
      <c r="V17" s="10" t="s">
        <v>9</v>
      </c>
      <c r="W17" s="87" t="s">
        <v>39</v>
      </c>
      <c r="X17" s="88"/>
      <c r="Y17" s="89"/>
      <c r="Z17" s="75"/>
      <c r="AA17" s="55" t="s">
        <v>78</v>
      </c>
      <c r="AB17" s="54">
        <f>((AD5-INT((AE5*5)/2)*0.18)-0.2)*12</f>
        <v>8461.68</v>
      </c>
      <c r="AC17" s="54">
        <f>((AD5-INT((AE5*5)/2)*0.18)+0.2)*12</f>
        <v>8466.4800000000014</v>
      </c>
      <c r="AD17" s="10" t="s">
        <v>9</v>
      </c>
      <c r="AE17" s="10" t="s">
        <v>9</v>
      </c>
      <c r="AF17" s="90" t="s">
        <v>39</v>
      </c>
      <c r="AG17" s="90"/>
      <c r="AH17" s="90"/>
      <c r="AI17" s="75"/>
      <c r="AJ17" s="55" t="s">
        <v>80</v>
      </c>
      <c r="AK17" s="54">
        <f>((AM5+INT((AN5*5)/2)*0.18)-0.2)*12</f>
        <v>8585.5199999999986</v>
      </c>
      <c r="AL17" s="54">
        <f>((AM5+INT((AN5*5)/2)*0.18)+0.2)*12</f>
        <v>8590.32</v>
      </c>
      <c r="AM17" s="10" t="s">
        <v>9</v>
      </c>
      <c r="AN17" s="10" t="s">
        <v>9</v>
      </c>
      <c r="AO17" s="87" t="s">
        <v>39</v>
      </c>
      <c r="AP17" s="88"/>
      <c r="AQ17" s="89"/>
      <c r="AR17" s="75"/>
      <c r="AS17" s="55" t="s">
        <v>80</v>
      </c>
      <c r="AT17" s="54">
        <f>(AV5-AW5/2)*12</f>
        <v>8388</v>
      </c>
      <c r="AU17" s="54">
        <f>(AV5+AW5/2)*12</f>
        <v>8448</v>
      </c>
      <c r="AV17" s="10" t="s">
        <v>9</v>
      </c>
      <c r="AW17" s="10" t="s">
        <v>9</v>
      </c>
      <c r="AX17" s="87" t="s">
        <v>39</v>
      </c>
      <c r="AY17" s="88"/>
      <c r="AZ17" s="89"/>
      <c r="BA17" s="75"/>
      <c r="BB17" s="55" t="s">
        <v>80</v>
      </c>
      <c r="BC17" s="54">
        <f>(BE5-BF5/2)*12</f>
        <v>8532</v>
      </c>
      <c r="BD17" s="54">
        <f>(BE5+BF5/2)*12</f>
        <v>8592</v>
      </c>
      <c r="BE17" s="10" t="s">
        <v>9</v>
      </c>
      <c r="BF17" s="10" t="s">
        <v>9</v>
      </c>
      <c r="BG17" s="87" t="s">
        <v>39</v>
      </c>
      <c r="BH17" s="88"/>
      <c r="BI17" s="89"/>
      <c r="BJ17" s="75"/>
      <c r="BK17" s="55" t="s">
        <v>80</v>
      </c>
      <c r="BL17" s="54">
        <f>((BN5-(INT((BO5*5)/2)-0.5)*0.18)-0.2)*12</f>
        <v>8392.68</v>
      </c>
      <c r="BM17" s="54">
        <f>((BN5-(INT((BO5*5)/2)-0.5)*0.18)+0.2)*12</f>
        <v>8397.4800000000014</v>
      </c>
      <c r="BN17" s="10" t="s">
        <v>9</v>
      </c>
      <c r="BO17" s="10" t="s">
        <v>9</v>
      </c>
      <c r="BP17" s="87" t="s">
        <v>39</v>
      </c>
      <c r="BQ17" s="88"/>
      <c r="BR17" s="89"/>
      <c r="BS17" s="75"/>
      <c r="BT17" s="55" t="s">
        <v>80</v>
      </c>
      <c r="BU17" s="54">
        <f>((BW5+(INT((BX5*5)/2)-0.5)*0.18)-0.2)*12</f>
        <v>8582.5199999999986</v>
      </c>
      <c r="BV17" s="54">
        <f>((BW5+(INT((BX5*5)/2)-0.5)*0.18)+0.2)*12</f>
        <v>8587.32</v>
      </c>
      <c r="BW17" s="10" t="s">
        <v>9</v>
      </c>
      <c r="BX17" s="10" t="s">
        <v>9</v>
      </c>
      <c r="BY17" s="87" t="s">
        <v>39</v>
      </c>
      <c r="BZ17" s="88"/>
      <c r="CA17" s="89"/>
      <c r="CB17" s="75"/>
      <c r="CC17" s="55" t="s">
        <v>80</v>
      </c>
      <c r="CD17" s="54">
        <f>(CF5-CG5/2)*12</f>
        <v>8388</v>
      </c>
      <c r="CE17" s="54">
        <f>(CF5+CG5/2)*12</f>
        <v>8508</v>
      </c>
      <c r="CF17" s="10" t="s">
        <v>9</v>
      </c>
      <c r="CG17" s="10" t="s">
        <v>9</v>
      </c>
      <c r="CH17" s="87" t="s">
        <v>39</v>
      </c>
      <c r="CI17" s="88"/>
      <c r="CJ17" s="89"/>
      <c r="CK17" s="75"/>
      <c r="CL17" s="55" t="s">
        <v>80</v>
      </c>
      <c r="CM17" s="54">
        <f>(CO5-CP5/2)*12</f>
        <v>8472</v>
      </c>
      <c r="CN17" s="54">
        <f>(CO5+CP5/2)*12</f>
        <v>8592</v>
      </c>
      <c r="CO17" s="10" t="s">
        <v>9</v>
      </c>
      <c r="CP17" s="10" t="s">
        <v>9</v>
      </c>
      <c r="CQ17" s="87" t="s">
        <v>79</v>
      </c>
      <c r="CR17" s="88"/>
      <c r="CS17" s="89"/>
      <c r="CT17" s="75"/>
      <c r="CU17" s="55" t="s">
        <v>80</v>
      </c>
    </row>
    <row r="18" spans="1:99" ht="15">
      <c r="A18" s="54">
        <f>((C5-2.5*0.18)-0.2)*13</f>
        <v>9087.65</v>
      </c>
      <c r="B18" s="54">
        <f>((C5-2.5*0.18)+0.2)*13</f>
        <v>9092.85</v>
      </c>
      <c r="C18" s="10" t="s">
        <v>9</v>
      </c>
      <c r="D18" s="10" t="s">
        <v>9</v>
      </c>
      <c r="E18" s="90" t="s">
        <v>35</v>
      </c>
      <c r="F18" s="90"/>
      <c r="G18" s="90"/>
      <c r="H18" s="75"/>
      <c r="I18" s="55" t="s">
        <v>81</v>
      </c>
      <c r="J18" s="54">
        <f>((L5-2.5*0.18)-0.2)*13</f>
        <v>9290.4499999999989</v>
      </c>
      <c r="K18" s="54">
        <f>((L5-2.5*0.18)+0.2)*13</f>
        <v>9295.65</v>
      </c>
      <c r="L18" s="10" t="s">
        <v>9</v>
      </c>
      <c r="M18" s="10" t="s">
        <v>9</v>
      </c>
      <c r="N18" s="87" t="s">
        <v>39</v>
      </c>
      <c r="O18" s="88"/>
      <c r="P18" s="89"/>
      <c r="Q18" s="75"/>
      <c r="R18" s="55" t="s">
        <v>81</v>
      </c>
      <c r="S18" s="54">
        <f>((U5-INT((V5*5)/2)*0.18)-0.2)*13</f>
        <v>9088.82</v>
      </c>
      <c r="T18" s="54">
        <f>((U5-INT((V5*5)/2)*0.18)+0.2)*13</f>
        <v>9094.02</v>
      </c>
      <c r="U18" s="10" t="s">
        <v>9</v>
      </c>
      <c r="V18" s="10" t="s">
        <v>9</v>
      </c>
      <c r="W18" s="87" t="s">
        <v>39</v>
      </c>
      <c r="X18" s="88"/>
      <c r="Y18" s="89"/>
      <c r="Z18" s="75"/>
      <c r="AA18" s="55" t="s">
        <v>81</v>
      </c>
      <c r="AB18" s="54">
        <f>((AD5-INT((AE5*5)/2)*0.18)-0.2)*13</f>
        <v>9166.82</v>
      </c>
      <c r="AC18" s="54">
        <f>((AD5-INT((AE5*5)/2)*0.18)+0.2)*13</f>
        <v>9172.02</v>
      </c>
      <c r="AD18" s="10" t="s">
        <v>9</v>
      </c>
      <c r="AE18" s="10" t="s">
        <v>9</v>
      </c>
      <c r="AF18" s="90" t="s">
        <v>39</v>
      </c>
      <c r="AG18" s="90"/>
      <c r="AH18" s="90"/>
      <c r="AI18" s="75"/>
      <c r="AJ18" s="55" t="s">
        <v>83</v>
      </c>
      <c r="AK18" s="54">
        <f>((AM5+INT((AN5*5)/2)*0.18)-0.2)*13</f>
        <v>9300.98</v>
      </c>
      <c r="AL18" s="54">
        <f>((AM5+INT((AN5*5)/2)*0.18)+0.2)*13</f>
        <v>9306.18</v>
      </c>
      <c r="AM18" s="10" t="s">
        <v>9</v>
      </c>
      <c r="AN18" s="10" t="s">
        <v>9</v>
      </c>
      <c r="AO18" s="87" t="s">
        <v>39</v>
      </c>
      <c r="AP18" s="88"/>
      <c r="AQ18" s="89"/>
      <c r="AR18" s="75"/>
      <c r="AS18" s="55" t="s">
        <v>83</v>
      </c>
      <c r="AT18" s="54">
        <f>(AV5-AW5/2)*13</f>
        <v>9087</v>
      </c>
      <c r="AU18" s="54">
        <f>(AV5+AW5/2)*13</f>
        <v>9152</v>
      </c>
      <c r="AV18" s="10" t="s">
        <v>9</v>
      </c>
      <c r="AW18" s="10" t="s">
        <v>9</v>
      </c>
      <c r="AX18" s="87" t="s">
        <v>39</v>
      </c>
      <c r="AY18" s="88"/>
      <c r="AZ18" s="89"/>
      <c r="BA18" s="75"/>
      <c r="BB18" s="55" t="s">
        <v>83</v>
      </c>
      <c r="BC18" s="54">
        <f>(BE5-BF5/2)*13</f>
        <v>9243</v>
      </c>
      <c r="BD18" s="54">
        <f>(BE5+BF5/2)*13</f>
        <v>9308</v>
      </c>
      <c r="BE18" s="10" t="s">
        <v>9</v>
      </c>
      <c r="BF18" s="10" t="s">
        <v>9</v>
      </c>
      <c r="BG18" s="87" t="s">
        <v>39</v>
      </c>
      <c r="BH18" s="88"/>
      <c r="BI18" s="89"/>
      <c r="BJ18" s="75"/>
      <c r="BK18" s="55" t="s">
        <v>83</v>
      </c>
      <c r="BL18" s="54">
        <f>((BN5-(INT((BO5*5)/2)-0.5)*0.18)-0.2)*13</f>
        <v>9092.07</v>
      </c>
      <c r="BM18" s="54">
        <f>((BN5-(INT((BO5*5)/2)-0.5)*0.18)+0.2)*13</f>
        <v>9097.27</v>
      </c>
      <c r="BN18" s="10" t="s">
        <v>9</v>
      </c>
      <c r="BO18" s="10" t="s">
        <v>9</v>
      </c>
      <c r="BP18" s="87" t="s">
        <v>39</v>
      </c>
      <c r="BQ18" s="88"/>
      <c r="BR18" s="89"/>
      <c r="BS18" s="75"/>
      <c r="BT18" s="55" t="s">
        <v>83</v>
      </c>
      <c r="BU18" s="54">
        <f>((BW5+(INT((BX5*5)/2)-0.5)*0.18)-0.2)*13</f>
        <v>9297.73</v>
      </c>
      <c r="BV18" s="54">
        <f>((BW5+(INT((BX5*5)/2)-0.5)*0.18)+0.2)*13</f>
        <v>9302.93</v>
      </c>
      <c r="BW18" s="10" t="s">
        <v>9</v>
      </c>
      <c r="BX18" s="10" t="s">
        <v>9</v>
      </c>
      <c r="BY18" s="87" t="s">
        <v>39</v>
      </c>
      <c r="BZ18" s="88"/>
      <c r="CA18" s="89"/>
      <c r="CB18" s="75"/>
      <c r="CC18" s="55" t="s">
        <v>83</v>
      </c>
      <c r="CD18" s="54">
        <f>(CF5-CG5/2)*13</f>
        <v>9087</v>
      </c>
      <c r="CE18" s="54">
        <f>(CF5+CG5/2)*13</f>
        <v>9217</v>
      </c>
      <c r="CF18" s="10" t="s">
        <v>9</v>
      </c>
      <c r="CG18" s="10" t="s">
        <v>9</v>
      </c>
      <c r="CH18" s="87" t="s">
        <v>39</v>
      </c>
      <c r="CI18" s="88"/>
      <c r="CJ18" s="89"/>
      <c r="CK18" s="75"/>
      <c r="CL18" s="55" t="s">
        <v>83</v>
      </c>
      <c r="CM18" s="54">
        <f>(CO5-CP5/2)*13</f>
        <v>9178</v>
      </c>
      <c r="CN18" s="54">
        <f>(CO5+CP5/2)*13</f>
        <v>9308</v>
      </c>
      <c r="CO18" s="10" t="s">
        <v>9</v>
      </c>
      <c r="CP18" s="10" t="s">
        <v>9</v>
      </c>
      <c r="CQ18" s="87" t="s">
        <v>82</v>
      </c>
      <c r="CR18" s="88"/>
      <c r="CS18" s="89"/>
      <c r="CT18" s="75"/>
      <c r="CU18" s="55" t="s">
        <v>83</v>
      </c>
    </row>
    <row r="19" spans="1:99" ht="15">
      <c r="A19" s="54">
        <f>((C5-2.5*0.18)-0.2)*14</f>
        <v>9786.6999999999989</v>
      </c>
      <c r="B19" s="54">
        <f>((C5-2.5*0.18)+0.2)*14</f>
        <v>9792.3000000000011</v>
      </c>
      <c r="C19" s="10" t="s">
        <v>9</v>
      </c>
      <c r="D19" s="10" t="s">
        <v>9</v>
      </c>
      <c r="E19" s="90" t="s">
        <v>35</v>
      </c>
      <c r="F19" s="90"/>
      <c r="G19" s="90"/>
      <c r="H19" s="75"/>
      <c r="I19" s="55" t="s">
        <v>86</v>
      </c>
      <c r="J19" s="54">
        <f>((L5-2.5*0.18)-0.2)*14</f>
        <v>10005.099999999999</v>
      </c>
      <c r="K19" s="54">
        <f>((L5-2.5*0.18)+0.2)*14</f>
        <v>10010.699999999999</v>
      </c>
      <c r="L19" s="10" t="s">
        <v>9</v>
      </c>
      <c r="M19" s="10" t="s">
        <v>9</v>
      </c>
      <c r="N19" s="87" t="s">
        <v>39</v>
      </c>
      <c r="O19" s="88"/>
      <c r="P19" s="89"/>
      <c r="Q19" s="75"/>
      <c r="R19" s="55" t="s">
        <v>89</v>
      </c>
      <c r="S19" s="54">
        <f>((U5-INT((V5*5)/2)*0.18)-0.2)*14</f>
        <v>9787.9599999999991</v>
      </c>
      <c r="T19" s="54">
        <f>((U5-INT((V5*5)/2)*0.18)+0.2)*14</f>
        <v>9793.5600000000013</v>
      </c>
      <c r="U19" s="10" t="s">
        <v>9</v>
      </c>
      <c r="V19" s="10" t="s">
        <v>9</v>
      </c>
      <c r="W19" s="87" t="s">
        <v>39</v>
      </c>
      <c r="X19" s="88"/>
      <c r="Y19" s="89"/>
      <c r="Z19" s="75"/>
      <c r="AA19" s="55" t="s">
        <v>89</v>
      </c>
      <c r="AB19" s="54">
        <f>((AD5-INT((AE5*5)/2)*0.18)-0.2)*14</f>
        <v>9871.9599999999991</v>
      </c>
      <c r="AC19" s="54">
        <f>((AD5-INT((AE5*5)/2)*0.18)+0.2)*14</f>
        <v>9877.5600000000013</v>
      </c>
      <c r="AD19" s="10" t="s">
        <v>9</v>
      </c>
      <c r="AE19" s="10" t="s">
        <v>9</v>
      </c>
      <c r="AF19" s="87" t="s">
        <v>39</v>
      </c>
      <c r="AG19" s="88"/>
      <c r="AH19" s="89"/>
      <c r="AI19" s="75"/>
      <c r="AJ19" s="55" t="s">
        <v>86</v>
      </c>
      <c r="AK19" s="54">
        <f>((AM5+INT((AN5*5)/2)*0.18)-0.2)*14</f>
        <v>10016.439999999999</v>
      </c>
      <c r="AL19" s="54">
        <f>((AM5+INT((AN5*5)/2)*0.18)+0.2)*14</f>
        <v>10022.040000000001</v>
      </c>
      <c r="AM19" s="10" t="s">
        <v>9</v>
      </c>
      <c r="AN19" s="10" t="s">
        <v>9</v>
      </c>
      <c r="AO19" s="87" t="s">
        <v>39</v>
      </c>
      <c r="AP19" s="88"/>
      <c r="AQ19" s="89"/>
      <c r="AR19" s="75"/>
      <c r="AS19" s="55" t="s">
        <v>86</v>
      </c>
      <c r="AT19" s="54">
        <f>(AV5-AW5/2)*14</f>
        <v>9786</v>
      </c>
      <c r="AU19" s="54">
        <f>(AV5+AW5/2)*14</f>
        <v>9856</v>
      </c>
      <c r="AV19" s="10" t="s">
        <v>9</v>
      </c>
      <c r="AW19" s="10" t="s">
        <v>9</v>
      </c>
      <c r="AX19" s="87" t="s">
        <v>39</v>
      </c>
      <c r="AY19" s="88"/>
      <c r="AZ19" s="89"/>
      <c r="BA19" s="75"/>
      <c r="BB19" s="55" t="s">
        <v>86</v>
      </c>
      <c r="BC19" s="54">
        <f>(BE5-BF5/2)*14</f>
        <v>9954</v>
      </c>
      <c r="BD19" s="54">
        <f>(BE5+BF5/2)*14</f>
        <v>10024</v>
      </c>
      <c r="BE19" s="10" t="s">
        <v>9</v>
      </c>
      <c r="BF19" s="10" t="s">
        <v>9</v>
      </c>
      <c r="BG19" s="87" t="s">
        <v>39</v>
      </c>
      <c r="BH19" s="88"/>
      <c r="BI19" s="89"/>
      <c r="BJ19" s="75"/>
      <c r="BK19" s="55" t="s">
        <v>86</v>
      </c>
      <c r="BL19" s="54">
        <f>((BN5-(INT((BO5*5)/2)-0.5)*0.18)-0.2)*14</f>
        <v>9791.4599999999991</v>
      </c>
      <c r="BM19" s="54">
        <f>((BN5-(INT((BO5*5)/2)-0.5)*0.18)+0.2)*14</f>
        <v>9797.0600000000013</v>
      </c>
      <c r="BN19" s="10" t="s">
        <v>9</v>
      </c>
      <c r="BO19" s="10" t="s">
        <v>9</v>
      </c>
      <c r="BP19" s="87" t="s">
        <v>39</v>
      </c>
      <c r="BQ19" s="88"/>
      <c r="BR19" s="89"/>
      <c r="BS19" s="75"/>
      <c r="BT19" s="55" t="s">
        <v>86</v>
      </c>
      <c r="BU19" s="54">
        <f>((BW5+(INT((BX5*5)/2)-0.5)*0.18)-0.2)*14</f>
        <v>10012.939999999999</v>
      </c>
      <c r="BV19" s="54">
        <f>((BW5+(INT((BX5*5)/2)-0.5)*0.18)+0.2)*14</f>
        <v>10018.540000000001</v>
      </c>
      <c r="BW19" s="10" t="s">
        <v>9</v>
      </c>
      <c r="BX19" s="10" t="s">
        <v>9</v>
      </c>
      <c r="BY19" s="87" t="s">
        <v>39</v>
      </c>
      <c r="BZ19" s="88"/>
      <c r="CA19" s="89"/>
      <c r="CB19" s="75"/>
      <c r="CC19" s="55" t="s">
        <v>86</v>
      </c>
      <c r="CD19" s="54">
        <f>(CF5-CG5/2)*14</f>
        <v>9786</v>
      </c>
      <c r="CE19" s="54">
        <f>(CF5+CG5/2)*14</f>
        <v>9926</v>
      </c>
      <c r="CF19" s="10" t="s">
        <v>9</v>
      </c>
      <c r="CG19" s="10" t="s">
        <v>9</v>
      </c>
      <c r="CH19" s="87" t="s">
        <v>39</v>
      </c>
      <c r="CI19" s="88"/>
      <c r="CJ19" s="89"/>
      <c r="CK19" s="75"/>
      <c r="CL19" s="55" t="s">
        <v>86</v>
      </c>
      <c r="CM19" s="54">
        <f>(CO5-CP5/2)*14</f>
        <v>9884</v>
      </c>
      <c r="CN19" s="54">
        <f>(CO5+CP5/2)*14</f>
        <v>10024</v>
      </c>
      <c r="CO19" s="10" t="s">
        <v>9</v>
      </c>
      <c r="CP19" s="10" t="s">
        <v>9</v>
      </c>
      <c r="CQ19" s="87" t="s">
        <v>85</v>
      </c>
      <c r="CR19" s="88"/>
      <c r="CS19" s="89"/>
      <c r="CT19" s="75"/>
      <c r="CU19" s="55" t="s">
        <v>86</v>
      </c>
    </row>
    <row r="20" spans="1:99" ht="15">
      <c r="A20" s="54">
        <f>((C5-2.5*0.18)-0.2)*15</f>
        <v>10485.75</v>
      </c>
      <c r="B20" s="54">
        <f>((C5-2.5*0.18)+0.2)*15</f>
        <v>10491.75</v>
      </c>
      <c r="C20" s="10" t="s">
        <v>9</v>
      </c>
      <c r="D20" s="10" t="s">
        <v>9</v>
      </c>
      <c r="E20" s="90" t="s">
        <v>35</v>
      </c>
      <c r="F20" s="90"/>
      <c r="G20" s="90"/>
      <c r="H20" s="75"/>
      <c r="I20" s="55" t="s">
        <v>90</v>
      </c>
      <c r="J20" s="54">
        <f>((L5-2.5*0.18)-0.2)*15</f>
        <v>10719.749999999998</v>
      </c>
      <c r="K20" s="54">
        <f>((L5-2.5*0.18)+0.2)*15</f>
        <v>10725.75</v>
      </c>
      <c r="L20" s="10" t="s">
        <v>9</v>
      </c>
      <c r="M20" s="10" t="s">
        <v>9</v>
      </c>
      <c r="N20" s="87" t="s">
        <v>39</v>
      </c>
      <c r="O20" s="88"/>
      <c r="P20" s="89"/>
      <c r="Q20" s="75"/>
      <c r="R20" s="55" t="s">
        <v>91</v>
      </c>
      <c r="S20" s="54">
        <f>((U5-INT((V5*5)/2)*0.18)-0.2)*15</f>
        <v>10487.1</v>
      </c>
      <c r="T20" s="54">
        <f>((U5-INT((V5*5)/2)*0.18)+0.2)*15</f>
        <v>10493.1</v>
      </c>
      <c r="U20" s="10" t="s">
        <v>9</v>
      </c>
      <c r="V20" s="10" t="s">
        <v>9</v>
      </c>
      <c r="W20" s="87" t="s">
        <v>39</v>
      </c>
      <c r="X20" s="88"/>
      <c r="Y20" s="89"/>
      <c r="Z20" s="75"/>
      <c r="AA20" s="55" t="s">
        <v>91</v>
      </c>
      <c r="AB20" s="54">
        <f>((AD5-INT((AE5*5)/2)*0.18)-0.2)*15</f>
        <v>10577.1</v>
      </c>
      <c r="AC20" s="54">
        <f>((AD5-INT((AE5*5)/2)*0.18)+0.2)*15</f>
        <v>10583.1</v>
      </c>
      <c r="AD20" s="10" t="s">
        <v>9</v>
      </c>
      <c r="AE20" s="10" t="s">
        <v>9</v>
      </c>
      <c r="AF20" s="90" t="s">
        <v>39</v>
      </c>
      <c r="AG20" s="90"/>
      <c r="AH20" s="90"/>
      <c r="AI20" s="75"/>
      <c r="AJ20" s="55" t="s">
        <v>90</v>
      </c>
      <c r="AK20" s="54">
        <f>((AM5+INT((AN5*5)/2)*0.18)-0.2)*15</f>
        <v>10731.9</v>
      </c>
      <c r="AL20" s="54">
        <f>((AM5+INT((AN5*5)/2)*0.18)+0.2)*15</f>
        <v>10737.9</v>
      </c>
      <c r="AM20" s="10" t="s">
        <v>9</v>
      </c>
      <c r="AN20" s="10" t="s">
        <v>9</v>
      </c>
      <c r="AO20" s="87" t="s">
        <v>39</v>
      </c>
      <c r="AP20" s="88"/>
      <c r="AQ20" s="89"/>
      <c r="AR20" s="75"/>
      <c r="AS20" s="55" t="s">
        <v>90</v>
      </c>
      <c r="AT20" s="54">
        <f>(AV5-AW5/2)*15</f>
        <v>10485</v>
      </c>
      <c r="AU20" s="54">
        <f>(AV5+AW5/2)*15</f>
        <v>10560</v>
      </c>
      <c r="AV20" s="10" t="s">
        <v>9</v>
      </c>
      <c r="AW20" s="10" t="s">
        <v>9</v>
      </c>
      <c r="AX20" s="87" t="s">
        <v>39</v>
      </c>
      <c r="AY20" s="88"/>
      <c r="AZ20" s="89"/>
      <c r="BA20" s="75"/>
      <c r="BB20" s="55" t="s">
        <v>90</v>
      </c>
      <c r="BC20" s="54">
        <f>(BE5-BF5/2)*15</f>
        <v>10665</v>
      </c>
      <c r="BD20" s="54">
        <f>(BE5+BF5/2)*15</f>
        <v>10740</v>
      </c>
      <c r="BE20" s="10" t="s">
        <v>9</v>
      </c>
      <c r="BF20" s="10" t="s">
        <v>9</v>
      </c>
      <c r="BG20" s="87" t="s">
        <v>39</v>
      </c>
      <c r="BH20" s="88"/>
      <c r="BI20" s="89"/>
      <c r="BJ20" s="75"/>
      <c r="BK20" s="55" t="s">
        <v>90</v>
      </c>
      <c r="BL20" s="54">
        <f>((BN5-(INT((BO5*5)/2)-0.5)*0.18)-0.2)*15</f>
        <v>10490.85</v>
      </c>
      <c r="BM20" s="54">
        <f>((BN5-(INT((BO5*5)/2)-0.5)*0.18)+0.2)*15</f>
        <v>10496.85</v>
      </c>
      <c r="BN20" s="10" t="s">
        <v>9</v>
      </c>
      <c r="BO20" s="10" t="s">
        <v>9</v>
      </c>
      <c r="BP20" s="87" t="s">
        <v>39</v>
      </c>
      <c r="BQ20" s="88"/>
      <c r="BR20" s="89"/>
      <c r="BS20" s="75"/>
      <c r="BT20" s="55" t="s">
        <v>90</v>
      </c>
      <c r="BU20" s="54">
        <f>((BW5+(INT((BX5*5)/2)-0.5)*0.18)-0.2)*15</f>
        <v>10728.15</v>
      </c>
      <c r="BV20" s="54">
        <f>((BW5+(INT((BX5*5)/2)-0.5)*0.18)+0.2)*15</f>
        <v>10734.15</v>
      </c>
      <c r="BW20" s="10" t="s">
        <v>9</v>
      </c>
      <c r="BX20" s="10" t="s">
        <v>9</v>
      </c>
      <c r="BY20" s="87" t="s">
        <v>39</v>
      </c>
      <c r="BZ20" s="88"/>
      <c r="CA20" s="89"/>
      <c r="CB20" s="75"/>
      <c r="CC20" s="55" t="s">
        <v>90</v>
      </c>
      <c r="CD20" s="54">
        <f>(CF5-CG5/2)*15</f>
        <v>10485</v>
      </c>
      <c r="CE20" s="54">
        <f>(CF5+CG5/2)*15</f>
        <v>10635</v>
      </c>
      <c r="CF20" s="10" t="s">
        <v>9</v>
      </c>
      <c r="CG20" s="10" t="s">
        <v>9</v>
      </c>
      <c r="CH20" s="87" t="s">
        <v>39</v>
      </c>
      <c r="CI20" s="88"/>
      <c r="CJ20" s="89"/>
      <c r="CK20" s="75"/>
      <c r="CL20" s="55" t="s">
        <v>90</v>
      </c>
      <c r="CM20" s="54">
        <f>(CO5-CP5/2)*15</f>
        <v>10590</v>
      </c>
      <c r="CN20" s="54">
        <f>(CO5+CP5/2)*15</f>
        <v>10740</v>
      </c>
      <c r="CO20" s="10" t="s">
        <v>9</v>
      </c>
      <c r="CP20" s="10" t="s">
        <v>9</v>
      </c>
      <c r="CQ20" s="87" t="s">
        <v>92</v>
      </c>
      <c r="CR20" s="88"/>
      <c r="CS20" s="89"/>
      <c r="CT20" s="75"/>
      <c r="CU20" s="55" t="s">
        <v>90</v>
      </c>
    </row>
    <row r="21" spans="1:99" ht="15">
      <c r="A21" s="54">
        <f>((C5-2.5*0.18)-0.2)*16</f>
        <v>11184.8</v>
      </c>
      <c r="B21" s="54">
        <f>((C5-2.5*0.18)+0.2)*16</f>
        <v>11191.2</v>
      </c>
      <c r="C21" s="10" t="s">
        <v>9</v>
      </c>
      <c r="D21" s="10" t="s">
        <v>9</v>
      </c>
      <c r="E21" s="90" t="s">
        <v>35</v>
      </c>
      <c r="F21" s="90"/>
      <c r="G21" s="90"/>
      <c r="H21" s="75"/>
      <c r="I21" s="55" t="s">
        <v>93</v>
      </c>
      <c r="J21" s="54">
        <f>((L5-2.5*0.18)-0.2)*16</f>
        <v>11434.399999999998</v>
      </c>
      <c r="K21" s="54">
        <f>((L5-2.5*0.18)+0.2)*16</f>
        <v>11440.8</v>
      </c>
      <c r="L21" s="10" t="s">
        <v>9</v>
      </c>
      <c r="M21" s="10" t="s">
        <v>9</v>
      </c>
      <c r="N21" s="87" t="s">
        <v>39</v>
      </c>
      <c r="O21" s="88"/>
      <c r="P21" s="89"/>
      <c r="Q21" s="75"/>
      <c r="R21" s="55" t="s">
        <v>94</v>
      </c>
      <c r="S21" s="54">
        <f>((U5-INT((V5*5)/2)*0.18)-0.2)*16</f>
        <v>11186.24</v>
      </c>
      <c r="T21" s="54">
        <f>((U5-INT((V5*5)/2)*0.18)+0.2)*16</f>
        <v>11192.640000000001</v>
      </c>
      <c r="U21" s="10" t="s">
        <v>9</v>
      </c>
      <c r="V21" s="10" t="s">
        <v>9</v>
      </c>
      <c r="W21" s="87" t="s">
        <v>39</v>
      </c>
      <c r="X21" s="88"/>
      <c r="Y21" s="89"/>
      <c r="Z21" s="75"/>
      <c r="AA21" s="55" t="s">
        <v>94</v>
      </c>
      <c r="AB21" s="54">
        <f>((AD5-INT((AE5*5)/2)*0.18)-0.2)*16</f>
        <v>11282.24</v>
      </c>
      <c r="AC21" s="54">
        <f>((AD5-INT((AE5*5)/2)*0.18)+0.2)*16</f>
        <v>11288.640000000001</v>
      </c>
      <c r="AD21" s="10" t="s">
        <v>9</v>
      </c>
      <c r="AE21" s="10" t="s">
        <v>9</v>
      </c>
      <c r="AF21" s="90" t="s">
        <v>39</v>
      </c>
      <c r="AG21" s="90"/>
      <c r="AH21" s="90"/>
      <c r="AI21" s="75"/>
      <c r="AJ21" s="55" t="s">
        <v>93</v>
      </c>
      <c r="AK21" s="54">
        <f>((AM5+INT((AN5*5)/2)*0.18)-0.2)*16</f>
        <v>11447.359999999999</v>
      </c>
      <c r="AL21" s="54">
        <f>((AM5+INT((AN5*5)/2)*0.18)+0.2)*16</f>
        <v>11453.76</v>
      </c>
      <c r="AM21" s="10" t="s">
        <v>9</v>
      </c>
      <c r="AN21" s="10" t="s">
        <v>9</v>
      </c>
      <c r="AO21" s="87" t="s">
        <v>39</v>
      </c>
      <c r="AP21" s="88"/>
      <c r="AQ21" s="89"/>
      <c r="AR21" s="75"/>
      <c r="AS21" s="55" t="s">
        <v>93</v>
      </c>
      <c r="AT21" s="54">
        <f>(AV5-AW5/2)*16</f>
        <v>11184</v>
      </c>
      <c r="AU21" s="54">
        <f>(AV5+AW5/2)*16</f>
        <v>11264</v>
      </c>
      <c r="AV21" s="10" t="s">
        <v>9</v>
      </c>
      <c r="AW21" s="10" t="s">
        <v>9</v>
      </c>
      <c r="AX21" s="87" t="s">
        <v>39</v>
      </c>
      <c r="AY21" s="88"/>
      <c r="AZ21" s="89"/>
      <c r="BA21" s="75"/>
      <c r="BB21" s="55" t="s">
        <v>93</v>
      </c>
      <c r="BC21" s="54">
        <f>(BE5-BF5/2)*16</f>
        <v>11376</v>
      </c>
      <c r="BD21" s="54">
        <f>(BE5+BF5/2)*16</f>
        <v>11456</v>
      </c>
      <c r="BE21" s="10" t="s">
        <v>9</v>
      </c>
      <c r="BF21" s="10" t="s">
        <v>9</v>
      </c>
      <c r="BG21" s="87" t="s">
        <v>39</v>
      </c>
      <c r="BH21" s="88"/>
      <c r="BI21" s="89"/>
      <c r="BJ21" s="75"/>
      <c r="BK21" s="55" t="s">
        <v>93</v>
      </c>
      <c r="BL21" s="54">
        <f>((BN5-(INT((BO5*5)/2)-0.5)*0.18)-0.2)*16</f>
        <v>11190.24</v>
      </c>
      <c r="BM21" s="54">
        <f>((BN5-(INT((BO5*5)/2)-0.5)*0.18)+0.2)*16</f>
        <v>11196.640000000001</v>
      </c>
      <c r="BN21" s="10" t="s">
        <v>9</v>
      </c>
      <c r="BO21" s="10" t="s">
        <v>9</v>
      </c>
      <c r="BP21" s="87" t="s">
        <v>39</v>
      </c>
      <c r="BQ21" s="88"/>
      <c r="BR21" s="89"/>
      <c r="BS21" s="75"/>
      <c r="BT21" s="55" t="s">
        <v>93</v>
      </c>
      <c r="BU21" s="54">
        <f>((BW5+(INT((BX5*5)/2)-0.5)*0.18)-0.2)*16</f>
        <v>11443.359999999999</v>
      </c>
      <c r="BV21" s="54">
        <f>((BW5+(INT((BX5*5)/2)-0.5)*0.18)+0.2)*16</f>
        <v>11449.76</v>
      </c>
      <c r="BW21" s="10" t="s">
        <v>9</v>
      </c>
      <c r="BX21" s="10" t="s">
        <v>9</v>
      </c>
      <c r="BY21" s="87" t="s">
        <v>39</v>
      </c>
      <c r="BZ21" s="88"/>
      <c r="CA21" s="89"/>
      <c r="CB21" s="75"/>
      <c r="CC21" s="55" t="s">
        <v>93</v>
      </c>
      <c r="CD21" s="54">
        <f>(CF5-CG5/2)*16</f>
        <v>11184</v>
      </c>
      <c r="CE21" s="54">
        <f>(CF5+CG5/2)*16</f>
        <v>11344</v>
      </c>
      <c r="CF21" s="10" t="s">
        <v>9</v>
      </c>
      <c r="CG21" s="10" t="s">
        <v>9</v>
      </c>
      <c r="CH21" s="87" t="s">
        <v>39</v>
      </c>
      <c r="CI21" s="88"/>
      <c r="CJ21" s="89"/>
      <c r="CK21" s="75"/>
      <c r="CL21" s="55" t="s">
        <v>93</v>
      </c>
      <c r="CM21" s="54">
        <f>(CO5-CP5/2)*16</f>
        <v>11296</v>
      </c>
      <c r="CN21" s="54">
        <f>(CO5+CP5/2)*16</f>
        <v>11456</v>
      </c>
      <c r="CO21" s="10" t="s">
        <v>9</v>
      </c>
      <c r="CP21" s="10" t="s">
        <v>9</v>
      </c>
      <c r="CQ21" s="87" t="s">
        <v>95</v>
      </c>
      <c r="CR21" s="88"/>
      <c r="CS21" s="89"/>
      <c r="CT21" s="75"/>
      <c r="CU21" s="55" t="s">
        <v>93</v>
      </c>
    </row>
    <row r="22" spans="1:99" ht="15">
      <c r="A22" s="54">
        <f>((C5-2.5*0.18)-0.2)*17</f>
        <v>11883.849999999999</v>
      </c>
      <c r="B22" s="54">
        <f>((C5-2.5*0.18)+0.2)*17</f>
        <v>11890.650000000001</v>
      </c>
      <c r="C22" s="10" t="s">
        <v>9</v>
      </c>
      <c r="D22" s="10" t="s">
        <v>9</v>
      </c>
      <c r="E22" s="90" t="s">
        <v>35</v>
      </c>
      <c r="F22" s="90"/>
      <c r="G22" s="90"/>
      <c r="H22" s="75"/>
      <c r="I22" s="55" t="s">
        <v>96</v>
      </c>
      <c r="J22" s="54">
        <f>((L5-2.5*0.18)-0.2)*17</f>
        <v>12149.049999999997</v>
      </c>
      <c r="K22" s="54">
        <f>((L5-2.5*0.18)+0.2)*17</f>
        <v>12155.849999999999</v>
      </c>
      <c r="L22" s="10" t="s">
        <v>9</v>
      </c>
      <c r="M22" s="10" t="s">
        <v>9</v>
      </c>
      <c r="N22" s="87" t="s">
        <v>39</v>
      </c>
      <c r="O22" s="88"/>
      <c r="P22" s="89"/>
      <c r="Q22" s="75"/>
      <c r="R22" s="55" t="s">
        <v>97</v>
      </c>
      <c r="S22" s="54">
        <f>((U5-INT((V5*5)/2)*0.18)-0.2)*17</f>
        <v>11885.38</v>
      </c>
      <c r="T22" s="54">
        <f>((U5-INT((V5*5)/2)*0.18)+0.2)*17</f>
        <v>11892.180000000002</v>
      </c>
      <c r="U22" s="10" t="s">
        <v>9</v>
      </c>
      <c r="V22" s="10" t="s">
        <v>9</v>
      </c>
      <c r="W22" s="87" t="s">
        <v>39</v>
      </c>
      <c r="X22" s="88"/>
      <c r="Y22" s="89"/>
      <c r="Z22" s="75"/>
      <c r="AA22" s="55" t="s">
        <v>97</v>
      </c>
      <c r="AB22" s="54">
        <f>((AD5-INT((AE5*5)/2)*0.18)-0.2)*17</f>
        <v>11987.38</v>
      </c>
      <c r="AC22" s="54">
        <f>((AD5-INT((AE5*5)/2)*0.18)+0.2)*17</f>
        <v>11994.180000000002</v>
      </c>
      <c r="AD22" s="10" t="s">
        <v>9</v>
      </c>
      <c r="AE22" s="10" t="s">
        <v>9</v>
      </c>
      <c r="AF22" s="87" t="s">
        <v>39</v>
      </c>
      <c r="AG22" s="88"/>
      <c r="AH22" s="89"/>
      <c r="AI22" s="75"/>
      <c r="AJ22" s="55" t="s">
        <v>96</v>
      </c>
      <c r="AK22" s="54">
        <f>((AM5+INT((AN5*5)/2)*0.18)-0.2)*17</f>
        <v>12162.819999999998</v>
      </c>
      <c r="AL22" s="54">
        <f>((AM5+INT((AN5*5)/2)*0.18)+0.2)*17</f>
        <v>12169.62</v>
      </c>
      <c r="AM22" s="10" t="s">
        <v>9</v>
      </c>
      <c r="AN22" s="10" t="s">
        <v>9</v>
      </c>
      <c r="AO22" s="87" t="s">
        <v>39</v>
      </c>
      <c r="AP22" s="88"/>
      <c r="AQ22" s="89"/>
      <c r="AR22" s="75"/>
      <c r="AS22" s="55" t="s">
        <v>96</v>
      </c>
      <c r="AT22" s="54">
        <f>(AV5-AW5/2)*17</f>
        <v>11883</v>
      </c>
      <c r="AU22" s="54">
        <f>(AV5+AW5/2)*17</f>
        <v>11968</v>
      </c>
      <c r="AV22" s="10" t="s">
        <v>9</v>
      </c>
      <c r="AW22" s="10" t="s">
        <v>9</v>
      </c>
      <c r="AX22" s="87" t="s">
        <v>39</v>
      </c>
      <c r="AY22" s="88"/>
      <c r="AZ22" s="89"/>
      <c r="BA22" s="75"/>
      <c r="BB22" s="55" t="s">
        <v>96</v>
      </c>
      <c r="BC22" s="54">
        <f>(BE5-BF5/2)*17</f>
        <v>12087</v>
      </c>
      <c r="BD22" s="54">
        <f>(BE5+BF5/2)*17</f>
        <v>12172</v>
      </c>
      <c r="BE22" s="10" t="s">
        <v>9</v>
      </c>
      <c r="BF22" s="10" t="s">
        <v>9</v>
      </c>
      <c r="BG22" s="87" t="s">
        <v>39</v>
      </c>
      <c r="BH22" s="88"/>
      <c r="BI22" s="89"/>
      <c r="BJ22" s="75"/>
      <c r="BK22" s="55" t="s">
        <v>96</v>
      </c>
      <c r="BL22" s="54">
        <f>((BN5-(INT((BO5*5)/2)-0.5)*0.18)-0.2)*17</f>
        <v>11889.63</v>
      </c>
      <c r="BM22" s="54">
        <f>((BN5-(INT((BO5*5)/2)-0.5)*0.18)+0.2)*17</f>
        <v>11896.430000000002</v>
      </c>
      <c r="BN22" s="10" t="s">
        <v>9</v>
      </c>
      <c r="BO22" s="10" t="s">
        <v>9</v>
      </c>
      <c r="BP22" s="87" t="s">
        <v>39</v>
      </c>
      <c r="BQ22" s="88"/>
      <c r="BR22" s="89"/>
      <c r="BS22" s="75"/>
      <c r="BT22" s="55" t="s">
        <v>96</v>
      </c>
      <c r="BU22" s="54">
        <f>((BW5+(INT((BX5*5)/2)-0.5)*0.18)-0.2)*17</f>
        <v>12158.569999999998</v>
      </c>
      <c r="BV22" s="54">
        <f>((BW5+(INT((BX5*5)/2)-0.5)*0.18)+0.2)*17</f>
        <v>12165.37</v>
      </c>
      <c r="BW22" s="10" t="s">
        <v>9</v>
      </c>
      <c r="BX22" s="10" t="s">
        <v>9</v>
      </c>
      <c r="BY22" s="87" t="s">
        <v>39</v>
      </c>
      <c r="BZ22" s="88"/>
      <c r="CA22" s="89"/>
      <c r="CB22" s="75"/>
      <c r="CC22" s="55" t="s">
        <v>96</v>
      </c>
      <c r="CD22" s="54">
        <f>(CF5-CG5/2)*17</f>
        <v>11883</v>
      </c>
      <c r="CE22" s="54">
        <f>(CF5+CG5/2)*17</f>
        <v>12053</v>
      </c>
      <c r="CF22" s="10" t="s">
        <v>9</v>
      </c>
      <c r="CG22" s="10" t="s">
        <v>9</v>
      </c>
      <c r="CH22" s="87" t="s">
        <v>39</v>
      </c>
      <c r="CI22" s="88"/>
      <c r="CJ22" s="89"/>
      <c r="CK22" s="75"/>
      <c r="CL22" s="55" t="s">
        <v>96</v>
      </c>
      <c r="CM22" s="54">
        <f>(CO5-CP5/2)*17</f>
        <v>12002</v>
      </c>
      <c r="CN22" s="54">
        <f>(CO5+CP5/2)*17</f>
        <v>12172</v>
      </c>
      <c r="CO22" s="10" t="s">
        <v>9</v>
      </c>
      <c r="CP22" s="10" t="s">
        <v>9</v>
      </c>
      <c r="CQ22" s="87" t="s">
        <v>98</v>
      </c>
      <c r="CR22" s="88"/>
      <c r="CS22" s="89"/>
      <c r="CT22" s="75"/>
      <c r="CU22" s="55" t="s">
        <v>96</v>
      </c>
    </row>
  </sheetData>
  <mergeCells count="198">
    <mergeCell ref="CH22:CJ22"/>
    <mergeCell ref="CQ22:CS22"/>
    <mergeCell ref="AO22:AQ22"/>
    <mergeCell ref="AX22:AZ22"/>
    <mergeCell ref="BG22:BI22"/>
    <mergeCell ref="BP22:BR22"/>
    <mergeCell ref="BY22:CA22"/>
    <mergeCell ref="CH20:CJ20"/>
    <mergeCell ref="CQ20:CS20"/>
    <mergeCell ref="AO21:AQ21"/>
    <mergeCell ref="AX21:AZ21"/>
    <mergeCell ref="BG21:BI21"/>
    <mergeCell ref="BP21:BR21"/>
    <mergeCell ref="BY21:CA21"/>
    <mergeCell ref="CH21:CJ21"/>
    <mergeCell ref="CQ21:CS21"/>
    <mergeCell ref="AO20:AQ20"/>
    <mergeCell ref="AX20:AZ20"/>
    <mergeCell ref="BG20:BI20"/>
    <mergeCell ref="BP20:BR20"/>
    <mergeCell ref="BY20:CA20"/>
    <mergeCell ref="CH18:CJ18"/>
    <mergeCell ref="CQ18:CS18"/>
    <mergeCell ref="AO19:AQ19"/>
    <mergeCell ref="AX19:AZ19"/>
    <mergeCell ref="BG19:BI19"/>
    <mergeCell ref="BP19:BR19"/>
    <mergeCell ref="BY19:CA19"/>
    <mergeCell ref="CH19:CJ19"/>
    <mergeCell ref="CQ19:CS19"/>
    <mergeCell ref="AO18:AQ18"/>
    <mergeCell ref="AX18:AZ18"/>
    <mergeCell ref="BG18:BI18"/>
    <mergeCell ref="BP18:BR18"/>
    <mergeCell ref="BY18:CA18"/>
    <mergeCell ref="CH16:CJ16"/>
    <mergeCell ref="CQ16:CS16"/>
    <mergeCell ref="AO17:AQ17"/>
    <mergeCell ref="AX17:AZ17"/>
    <mergeCell ref="BG17:BI17"/>
    <mergeCell ref="BP17:BR17"/>
    <mergeCell ref="BY17:CA17"/>
    <mergeCell ref="CH17:CJ17"/>
    <mergeCell ref="CQ17:CS17"/>
    <mergeCell ref="AO16:AQ16"/>
    <mergeCell ref="AX16:AZ16"/>
    <mergeCell ref="BG16:BI16"/>
    <mergeCell ref="BP16:BR16"/>
    <mergeCell ref="BY16:CA16"/>
    <mergeCell ref="CH14:CJ14"/>
    <mergeCell ref="CQ14:CS14"/>
    <mergeCell ref="AO15:AQ15"/>
    <mergeCell ref="AX15:AZ15"/>
    <mergeCell ref="BG15:BI15"/>
    <mergeCell ref="BP15:BR15"/>
    <mergeCell ref="BY15:CA15"/>
    <mergeCell ref="CH15:CJ15"/>
    <mergeCell ref="CQ15:CS15"/>
    <mergeCell ref="AO14:AQ14"/>
    <mergeCell ref="AX14:AZ14"/>
    <mergeCell ref="BG14:BI14"/>
    <mergeCell ref="BP14:BR14"/>
    <mergeCell ref="BY14:CA14"/>
    <mergeCell ref="CH12:CJ12"/>
    <mergeCell ref="CQ12:CS12"/>
    <mergeCell ref="AO13:AQ13"/>
    <mergeCell ref="AX13:AZ13"/>
    <mergeCell ref="BG13:BI13"/>
    <mergeCell ref="BP13:BR13"/>
    <mergeCell ref="BY13:CA13"/>
    <mergeCell ref="CH13:CJ13"/>
    <mergeCell ref="CQ13:CS13"/>
    <mergeCell ref="AO12:AQ12"/>
    <mergeCell ref="BG12:BI12"/>
    <mergeCell ref="BP12:BR12"/>
    <mergeCell ref="BY12:CA12"/>
    <mergeCell ref="AX12:AZ12"/>
    <mergeCell ref="BG8:BI8"/>
    <mergeCell ref="BP8:BR8"/>
    <mergeCell ref="BY8:CA8"/>
    <mergeCell ref="CH10:CJ10"/>
    <mergeCell ref="CQ10:CS10"/>
    <mergeCell ref="BG11:BI11"/>
    <mergeCell ref="BP11:BR11"/>
    <mergeCell ref="BY11:CA11"/>
    <mergeCell ref="CH11:CJ11"/>
    <mergeCell ref="CQ11:CS11"/>
    <mergeCell ref="BG10:BI10"/>
    <mergeCell ref="BP10:BR10"/>
    <mergeCell ref="BY10:CA10"/>
    <mergeCell ref="E19:G19"/>
    <mergeCell ref="N19:P19"/>
    <mergeCell ref="W19:Y19"/>
    <mergeCell ref="AF21:AH21"/>
    <mergeCell ref="AF22:AH22"/>
    <mergeCell ref="AF19:AH19"/>
    <mergeCell ref="AF20:AH20"/>
    <mergeCell ref="CH6:CJ6"/>
    <mergeCell ref="CQ6:CS6"/>
    <mergeCell ref="BG7:BI7"/>
    <mergeCell ref="BP7:BR7"/>
    <mergeCell ref="BY7:CA7"/>
    <mergeCell ref="CH7:CJ7"/>
    <mergeCell ref="CQ7:CS7"/>
    <mergeCell ref="BG6:BI6"/>
    <mergeCell ref="BP6:BR6"/>
    <mergeCell ref="BY6:CA6"/>
    <mergeCell ref="CH8:CJ8"/>
    <mergeCell ref="CQ8:CS8"/>
    <mergeCell ref="BG9:BI9"/>
    <mergeCell ref="BP9:BR9"/>
    <mergeCell ref="BY9:CA9"/>
    <mergeCell ref="CH9:CJ9"/>
    <mergeCell ref="CQ9:CS9"/>
    <mergeCell ref="E22:G22"/>
    <mergeCell ref="N22:P22"/>
    <mergeCell ref="W22:Y22"/>
    <mergeCell ref="E21:G21"/>
    <mergeCell ref="N21:P21"/>
    <mergeCell ref="W21:Y21"/>
    <mergeCell ref="E20:G20"/>
    <mergeCell ref="N20:P20"/>
    <mergeCell ref="W20:Y20"/>
    <mergeCell ref="AF18:AH18"/>
    <mergeCell ref="AF17:AH17"/>
    <mergeCell ref="AA4:AA5"/>
    <mergeCell ref="B1:K1"/>
    <mergeCell ref="B2:J2"/>
    <mergeCell ref="B3:J3"/>
    <mergeCell ref="I4:I5"/>
    <mergeCell ref="R4:R5"/>
    <mergeCell ref="A6:B6"/>
    <mergeCell ref="E6:G6"/>
    <mergeCell ref="J6:K6"/>
    <mergeCell ref="AB6:AC6"/>
    <mergeCell ref="AF6:AH6"/>
    <mergeCell ref="AF7:AH7"/>
    <mergeCell ref="W18:Y18"/>
    <mergeCell ref="E18:G18"/>
    <mergeCell ref="N18:P18"/>
    <mergeCell ref="W15:Y15"/>
    <mergeCell ref="E15:G15"/>
    <mergeCell ref="W16:Y16"/>
    <mergeCell ref="E16:G16"/>
    <mergeCell ref="N16:P16"/>
    <mergeCell ref="W14:Y14"/>
    <mergeCell ref="W17:Y17"/>
    <mergeCell ref="E17:G17"/>
    <mergeCell ref="N17:P17"/>
    <mergeCell ref="E12:G12"/>
    <mergeCell ref="N12:P12"/>
    <mergeCell ref="E13:G13"/>
    <mergeCell ref="W12:Y12"/>
    <mergeCell ref="W11:Y11"/>
    <mergeCell ref="W9:Y9"/>
    <mergeCell ref="E10:G10"/>
    <mergeCell ref="N10:P10"/>
    <mergeCell ref="W10:Y10"/>
    <mergeCell ref="E14:G14"/>
    <mergeCell ref="N14:P14"/>
    <mergeCell ref="W13:Y13"/>
    <mergeCell ref="AF8:AH8"/>
    <mergeCell ref="N7:P7"/>
    <mergeCell ref="W7:Y7"/>
    <mergeCell ref="AF9:AH9"/>
    <mergeCell ref="AF10:AH10"/>
    <mergeCell ref="AF11:AH11"/>
    <mergeCell ref="AF15:AH15"/>
    <mergeCell ref="AF16:AH16"/>
    <mergeCell ref="AF12:AH12"/>
    <mergeCell ref="AF13:AH13"/>
    <mergeCell ref="N15:P15"/>
    <mergeCell ref="N8:P8"/>
    <mergeCell ref="W8:Y8"/>
    <mergeCell ref="AF14:AH14"/>
    <mergeCell ref="N6:P6"/>
    <mergeCell ref="S6:T6"/>
    <mergeCell ref="W6:Y6"/>
    <mergeCell ref="E7:G7"/>
    <mergeCell ref="N13:P13"/>
    <mergeCell ref="E9:G9"/>
    <mergeCell ref="N9:P9"/>
    <mergeCell ref="E11:G11"/>
    <mergeCell ref="N11:P11"/>
    <mergeCell ref="E8:G8"/>
    <mergeCell ref="AO11:AQ11"/>
    <mergeCell ref="AX11:AZ11"/>
    <mergeCell ref="AO10:AQ10"/>
    <mergeCell ref="AX10:AZ10"/>
    <mergeCell ref="AX6:AZ6"/>
    <mergeCell ref="AJ4:AJ5"/>
    <mergeCell ref="AO6:AQ6"/>
    <mergeCell ref="AO9:AQ9"/>
    <mergeCell ref="AX9:AZ9"/>
    <mergeCell ref="AO8:AQ8"/>
    <mergeCell ref="AX8:AZ8"/>
    <mergeCell ref="AO7:AQ7"/>
    <mergeCell ref="AX7:AZ7"/>
  </mergeCells>
  <phoneticPr fontId="18" type="noConversion"/>
  <conditionalFormatting sqref="CB11:CB22">
    <cfRule type="containsBlanks" priority="88" stopIfTrue="1">
      <formula>LEN(TRIM(CB11))=0</formula>
    </cfRule>
    <cfRule type="cellIs" dxfId="1979" priority="89" stopIfTrue="1" operator="greaterThan">
      <formula>-30</formula>
    </cfRule>
    <cfRule type="cellIs" dxfId="1978" priority="90" stopIfTrue="1" operator="between">
      <formula>-33</formula>
      <formula>-30</formula>
    </cfRule>
  </conditionalFormatting>
  <conditionalFormatting sqref="Z10">
    <cfRule type="containsBlanks" priority="85" stopIfTrue="1">
      <formula>LEN(TRIM(Z10))=0</formula>
    </cfRule>
    <cfRule type="cellIs" dxfId="1977" priority="86" stopIfTrue="1" operator="greaterThan">
      <formula>-30</formula>
    </cfRule>
    <cfRule type="cellIs" dxfId="1976" priority="87" stopIfTrue="1" operator="between">
      <formula>-33</formula>
      <formula>-30</formula>
    </cfRule>
  </conditionalFormatting>
  <conditionalFormatting sqref="Z11">
    <cfRule type="containsBlanks" priority="82" stopIfTrue="1">
      <formula>LEN(TRIM(Z11))=0</formula>
    </cfRule>
    <cfRule type="cellIs" dxfId="1975" priority="83" stopIfTrue="1" operator="greaterThan">
      <formula>-30</formula>
    </cfRule>
    <cfRule type="cellIs" dxfId="1974" priority="84" stopIfTrue="1" operator="between">
      <formula>-33</formula>
      <formula>-30</formula>
    </cfRule>
  </conditionalFormatting>
  <conditionalFormatting sqref="AI10">
    <cfRule type="containsBlanks" priority="79" stopIfTrue="1">
      <formula>LEN(TRIM(AI10))=0</formula>
    </cfRule>
    <cfRule type="cellIs" dxfId="1973" priority="80" stopIfTrue="1" operator="greaterThan">
      <formula>-30</formula>
    </cfRule>
    <cfRule type="cellIs" dxfId="1972" priority="81" stopIfTrue="1" operator="between">
      <formula>-33</formula>
      <formula>-30</formula>
    </cfRule>
  </conditionalFormatting>
  <conditionalFormatting sqref="AI11:AI22">
    <cfRule type="containsBlanks" priority="76" stopIfTrue="1">
      <formula>LEN(TRIM(AI11))=0</formula>
    </cfRule>
    <cfRule type="cellIs" dxfId="1971" priority="77" stopIfTrue="1" operator="greaterThan">
      <formula>-30</formula>
    </cfRule>
    <cfRule type="cellIs" dxfId="1970" priority="78" stopIfTrue="1" operator="between">
      <formula>-33</formula>
      <formula>-30</formula>
    </cfRule>
  </conditionalFormatting>
  <conditionalFormatting sqref="AR10">
    <cfRule type="containsBlanks" priority="73" stopIfTrue="1">
      <formula>LEN(TRIM(AR10))=0</formula>
    </cfRule>
    <cfRule type="cellIs" dxfId="1969" priority="74" stopIfTrue="1" operator="greaterThan">
      <formula>-30</formula>
    </cfRule>
    <cfRule type="cellIs" dxfId="1968" priority="75" stopIfTrue="1" operator="between">
      <formula>-33</formula>
      <formula>-30</formula>
    </cfRule>
  </conditionalFormatting>
  <conditionalFormatting sqref="AR11:AR22">
    <cfRule type="containsBlanks" priority="70" stopIfTrue="1">
      <formula>LEN(TRIM(AR11))=0</formula>
    </cfRule>
    <cfRule type="cellIs" dxfId="1967" priority="71" stopIfTrue="1" operator="greaterThan">
      <formula>-30</formula>
    </cfRule>
    <cfRule type="cellIs" dxfId="1966" priority="72" stopIfTrue="1" operator="between">
      <formula>-33</formula>
      <formula>-30</formula>
    </cfRule>
  </conditionalFormatting>
  <conditionalFormatting sqref="BA10">
    <cfRule type="containsBlanks" priority="67" stopIfTrue="1">
      <formula>LEN(TRIM(BA10))=0</formula>
    </cfRule>
    <cfRule type="cellIs" dxfId="1965" priority="68" stopIfTrue="1" operator="greaterThan">
      <formula>-30</formula>
    </cfRule>
    <cfRule type="cellIs" dxfId="1964" priority="69" stopIfTrue="1" operator="between">
      <formula>-33</formula>
      <formula>-30</formula>
    </cfRule>
  </conditionalFormatting>
  <conditionalFormatting sqref="BA11:BA22">
    <cfRule type="containsBlanks" priority="64" stopIfTrue="1">
      <formula>LEN(TRIM(BA11))=0</formula>
    </cfRule>
    <cfRule type="cellIs" dxfId="1963" priority="65" stopIfTrue="1" operator="greaterThan">
      <formula>-30</formula>
    </cfRule>
    <cfRule type="cellIs" dxfId="1962" priority="66" stopIfTrue="1" operator="between">
      <formula>-33</formula>
      <formula>-30</formula>
    </cfRule>
  </conditionalFormatting>
  <conditionalFormatting sqref="BJ10">
    <cfRule type="containsBlanks" priority="61" stopIfTrue="1">
      <formula>LEN(TRIM(BJ10))=0</formula>
    </cfRule>
    <cfRule type="cellIs" dxfId="1961" priority="62" stopIfTrue="1" operator="greaterThan">
      <formula>-30</formula>
    </cfRule>
    <cfRule type="cellIs" dxfId="1960" priority="63" stopIfTrue="1" operator="between">
      <formula>-33</formula>
      <formula>-30</formula>
    </cfRule>
  </conditionalFormatting>
  <conditionalFormatting sqref="BJ11:BJ22">
    <cfRule type="containsBlanks" priority="58" stopIfTrue="1">
      <formula>LEN(TRIM(BJ11))=0</formula>
    </cfRule>
    <cfRule type="cellIs" dxfId="1959" priority="59" stopIfTrue="1" operator="greaterThan">
      <formula>-30</formula>
    </cfRule>
    <cfRule type="cellIs" dxfId="1958" priority="60" stopIfTrue="1" operator="between">
      <formula>-33</formula>
      <formula>-30</formula>
    </cfRule>
  </conditionalFormatting>
  <conditionalFormatting sqref="BS10">
    <cfRule type="containsBlanks" priority="55" stopIfTrue="1">
      <formula>LEN(TRIM(BS10))=0</formula>
    </cfRule>
    <cfRule type="cellIs" dxfId="1957" priority="56" stopIfTrue="1" operator="greaterThan">
      <formula>-30</formula>
    </cfRule>
    <cfRule type="cellIs" dxfId="1956" priority="57" stopIfTrue="1" operator="between">
      <formula>-33</formula>
      <formula>-30</formula>
    </cfRule>
  </conditionalFormatting>
  <conditionalFormatting sqref="BS11:BS22">
    <cfRule type="containsBlanks" priority="52" stopIfTrue="1">
      <formula>LEN(TRIM(BS11))=0</formula>
    </cfRule>
    <cfRule type="cellIs" dxfId="1955" priority="53" stopIfTrue="1" operator="greaterThan">
      <formula>-30</formula>
    </cfRule>
    <cfRule type="cellIs" dxfId="1954" priority="54" stopIfTrue="1" operator="between">
      <formula>-33</formula>
      <formula>-30</formula>
    </cfRule>
  </conditionalFormatting>
  <conditionalFormatting sqref="CB10">
    <cfRule type="containsBlanks" priority="49" stopIfTrue="1">
      <formula>LEN(TRIM(CB10))=0</formula>
    </cfRule>
    <cfRule type="cellIs" dxfId="1953" priority="50" stopIfTrue="1" operator="greaterThan">
      <formula>-30</formula>
    </cfRule>
    <cfRule type="cellIs" dxfId="1952" priority="51" stopIfTrue="1" operator="between">
      <formula>-33</formula>
      <formula>-30</formula>
    </cfRule>
  </conditionalFormatting>
  <conditionalFormatting sqref="CB11:CB22">
    <cfRule type="containsBlanks" priority="46" stopIfTrue="1">
      <formula>LEN(TRIM(CB11))=0</formula>
    </cfRule>
    <cfRule type="cellIs" dxfId="1951" priority="47" stopIfTrue="1" operator="greaterThan">
      <formula>-30</formula>
    </cfRule>
    <cfRule type="cellIs" dxfId="1950" priority="48" stopIfTrue="1" operator="between">
      <formula>-33</formula>
      <formula>-30</formula>
    </cfRule>
  </conditionalFormatting>
  <conditionalFormatting sqref="CK10">
    <cfRule type="containsBlanks" priority="43" stopIfTrue="1">
      <formula>LEN(TRIM(CK10))=0</formula>
    </cfRule>
    <cfRule type="cellIs" dxfId="1949" priority="44" stopIfTrue="1" operator="greaterThan">
      <formula>-30</formula>
    </cfRule>
    <cfRule type="cellIs" dxfId="1948" priority="45" stopIfTrue="1" operator="between">
      <formula>-33</formula>
      <formula>-30</formula>
    </cfRule>
  </conditionalFormatting>
  <conditionalFormatting sqref="CK11:CK22">
    <cfRule type="containsBlanks" priority="40" stopIfTrue="1">
      <formula>LEN(TRIM(CK11))=0</formula>
    </cfRule>
    <cfRule type="cellIs" dxfId="1947" priority="41" stopIfTrue="1" operator="greaterThan">
      <formula>-30</formula>
    </cfRule>
    <cfRule type="cellIs" dxfId="1946" priority="42" stopIfTrue="1" operator="between">
      <formula>-33</formula>
      <formula>-30</formula>
    </cfRule>
  </conditionalFormatting>
  <conditionalFormatting sqref="CT10">
    <cfRule type="containsBlanks" priority="37" stopIfTrue="1">
      <formula>LEN(TRIM(CT10))=0</formula>
    </cfRule>
    <cfRule type="cellIs" dxfId="1945" priority="38" stopIfTrue="1" operator="greaterThan">
      <formula>-30</formula>
    </cfRule>
    <cfRule type="cellIs" dxfId="1944" priority="39" stopIfTrue="1" operator="between">
      <formula>-33</formula>
      <formula>-30</formula>
    </cfRule>
  </conditionalFormatting>
  <conditionalFormatting sqref="CT11:CT22">
    <cfRule type="containsBlanks" priority="34" stopIfTrue="1">
      <formula>LEN(TRIM(CT11))=0</formula>
    </cfRule>
    <cfRule type="cellIs" dxfId="1943" priority="35" stopIfTrue="1" operator="greaterThan">
      <formula>-30</formula>
    </cfRule>
    <cfRule type="cellIs" dxfId="1942" priority="36" stopIfTrue="1" operator="between">
      <formula>-33</formula>
      <formula>-30</formula>
    </cfRule>
  </conditionalFormatting>
  <conditionalFormatting sqref="H12">
    <cfRule type="containsBlanks" priority="31" stopIfTrue="1">
      <formula>LEN(TRIM(H12))=0</formula>
    </cfRule>
    <cfRule type="cellIs" dxfId="1941" priority="32" stopIfTrue="1" operator="greaterThan">
      <formula>-30</formula>
    </cfRule>
    <cfRule type="cellIs" dxfId="1940" priority="33" stopIfTrue="1" operator="between">
      <formula>-33</formula>
      <formula>-30</formula>
    </cfRule>
  </conditionalFormatting>
  <conditionalFormatting sqref="H13">
    <cfRule type="containsBlanks" priority="28" stopIfTrue="1">
      <formula>LEN(TRIM(H13))=0</formula>
    </cfRule>
    <cfRule type="cellIs" dxfId="1939" priority="29" stopIfTrue="1" operator="greaterThan">
      <formula>-30</formula>
    </cfRule>
    <cfRule type="cellIs" dxfId="1938" priority="30" stopIfTrue="1" operator="between">
      <formula>-33</formula>
      <formula>-30</formula>
    </cfRule>
  </conditionalFormatting>
  <conditionalFormatting sqref="H14">
    <cfRule type="containsBlanks" priority="25" stopIfTrue="1">
      <formula>LEN(TRIM(H14))=0</formula>
    </cfRule>
    <cfRule type="cellIs" dxfId="1937" priority="26" stopIfTrue="1" operator="greaterThan">
      <formula>-30</formula>
    </cfRule>
    <cfRule type="cellIs" dxfId="1936" priority="27" stopIfTrue="1" operator="between">
      <formula>-33</formula>
      <formula>-30</formula>
    </cfRule>
  </conditionalFormatting>
  <conditionalFormatting sqref="H15">
    <cfRule type="containsBlanks" priority="22" stopIfTrue="1">
      <formula>LEN(TRIM(H15))=0</formula>
    </cfRule>
    <cfRule type="cellIs" dxfId="1935" priority="23" stopIfTrue="1" operator="greaterThan">
      <formula>-30</formula>
    </cfRule>
    <cfRule type="cellIs" dxfId="1934" priority="24" stopIfTrue="1" operator="between">
      <formula>-33</formula>
      <formula>-30</formula>
    </cfRule>
  </conditionalFormatting>
  <conditionalFormatting sqref="H16">
    <cfRule type="containsBlanks" priority="19" stopIfTrue="1">
      <formula>LEN(TRIM(H16))=0</formula>
    </cfRule>
    <cfRule type="cellIs" dxfId="1933" priority="20" stopIfTrue="1" operator="greaterThan">
      <formula>-30</formula>
    </cfRule>
    <cfRule type="cellIs" dxfId="1932" priority="21" stopIfTrue="1" operator="between">
      <formula>-33</formula>
      <formula>-30</formula>
    </cfRule>
  </conditionalFormatting>
  <conditionalFormatting sqref="H17">
    <cfRule type="containsBlanks" priority="16" stopIfTrue="1">
      <formula>LEN(TRIM(H17))=0</formula>
    </cfRule>
    <cfRule type="cellIs" dxfId="1931" priority="17" stopIfTrue="1" operator="greaterThan">
      <formula>-30</formula>
    </cfRule>
    <cfRule type="cellIs" dxfId="1930" priority="18" stopIfTrue="1" operator="between">
      <formula>-33</formula>
      <formula>-30</formula>
    </cfRule>
  </conditionalFormatting>
  <conditionalFormatting sqref="H18">
    <cfRule type="containsBlanks" priority="13" stopIfTrue="1">
      <formula>LEN(TRIM(H18))=0</formula>
    </cfRule>
    <cfRule type="cellIs" dxfId="1929" priority="14" stopIfTrue="1" operator="greaterThan">
      <formula>-30</formula>
    </cfRule>
    <cfRule type="cellIs" dxfId="1928" priority="15" stopIfTrue="1" operator="between">
      <formula>-33</formula>
      <formula>-30</formula>
    </cfRule>
  </conditionalFormatting>
  <conditionalFormatting sqref="H7">
    <cfRule type="containsBlanks" priority="301" stopIfTrue="1">
      <formula>LEN(TRIM(H7))=0</formula>
    </cfRule>
    <cfRule type="cellIs" dxfId="1927" priority="302" stopIfTrue="1" operator="greaterThan">
      <formula>-30</formula>
    </cfRule>
    <cfRule type="cellIs" dxfId="1926" priority="303" stopIfTrue="1" operator="between">
      <formula>-33</formula>
      <formula>-30</formula>
    </cfRule>
  </conditionalFormatting>
  <conditionalFormatting sqref="H8">
    <cfRule type="containsBlanks" priority="298" stopIfTrue="1">
      <formula>LEN(TRIM(H8))=0</formula>
    </cfRule>
    <cfRule type="cellIs" dxfId="1925" priority="299" stopIfTrue="1" operator="greaterThan">
      <formula>-30</formula>
    </cfRule>
    <cfRule type="cellIs" dxfId="1924" priority="300" stopIfTrue="1" operator="between">
      <formula>-33</formula>
      <formula>-30</formula>
    </cfRule>
  </conditionalFormatting>
  <conditionalFormatting sqref="H9">
    <cfRule type="containsBlanks" priority="295" stopIfTrue="1">
      <formula>LEN(TRIM(H9))=0</formula>
    </cfRule>
    <cfRule type="cellIs" dxfId="1923" priority="296" stopIfTrue="1" operator="greaterThan">
      <formula>-30</formula>
    </cfRule>
    <cfRule type="cellIs" dxfId="1922" priority="297" stopIfTrue="1" operator="between">
      <formula>-33</formula>
      <formula>-30</formula>
    </cfRule>
  </conditionalFormatting>
  <conditionalFormatting sqref="Q7">
    <cfRule type="containsBlanks" priority="292" stopIfTrue="1">
      <formula>LEN(TRIM(Q7))=0</formula>
    </cfRule>
    <cfRule type="cellIs" dxfId="1921" priority="293" stopIfTrue="1" operator="greaterThan">
      <formula>-30</formula>
    </cfRule>
    <cfRule type="cellIs" dxfId="1920" priority="294" stopIfTrue="1" operator="between">
      <formula>-33</formula>
      <formula>-30</formula>
    </cfRule>
  </conditionalFormatting>
  <conditionalFormatting sqref="Q8">
    <cfRule type="containsBlanks" priority="289" stopIfTrue="1">
      <formula>LEN(TRIM(Q8))=0</formula>
    </cfRule>
    <cfRule type="cellIs" dxfId="1919" priority="290" stopIfTrue="1" operator="greaterThan">
      <formula>-30</formula>
    </cfRule>
    <cfRule type="cellIs" dxfId="1918" priority="291" stopIfTrue="1" operator="between">
      <formula>-33</formula>
      <formula>-30</formula>
    </cfRule>
  </conditionalFormatting>
  <conditionalFormatting sqref="Q9">
    <cfRule type="containsBlanks" priority="286" stopIfTrue="1">
      <formula>LEN(TRIM(Q9))=0</formula>
    </cfRule>
    <cfRule type="cellIs" dxfId="1917" priority="287" stopIfTrue="1" operator="greaterThan">
      <formula>-30</formula>
    </cfRule>
    <cfRule type="cellIs" dxfId="1916" priority="288" stopIfTrue="1" operator="between">
      <formula>-33</formula>
      <formula>-30</formula>
    </cfRule>
  </conditionalFormatting>
  <conditionalFormatting sqref="Z7">
    <cfRule type="containsBlanks" priority="283" stopIfTrue="1">
      <formula>LEN(TRIM(Z7))=0</formula>
    </cfRule>
    <cfRule type="cellIs" dxfId="1915" priority="284" stopIfTrue="1" operator="greaterThan">
      <formula>-30</formula>
    </cfRule>
    <cfRule type="cellIs" dxfId="1914" priority="285" stopIfTrue="1" operator="between">
      <formula>-33</formula>
      <formula>-30</formula>
    </cfRule>
  </conditionalFormatting>
  <conditionalFormatting sqref="Z8">
    <cfRule type="containsBlanks" priority="280" stopIfTrue="1">
      <formula>LEN(TRIM(Z8))=0</formula>
    </cfRule>
    <cfRule type="cellIs" dxfId="1913" priority="281" stopIfTrue="1" operator="greaterThan">
      <formula>-30</formula>
    </cfRule>
    <cfRule type="cellIs" dxfId="1912" priority="282" stopIfTrue="1" operator="between">
      <formula>-33</formula>
      <formula>-30</formula>
    </cfRule>
  </conditionalFormatting>
  <conditionalFormatting sqref="Z9">
    <cfRule type="containsBlanks" priority="277" stopIfTrue="1">
      <formula>LEN(TRIM(Z9))=0</formula>
    </cfRule>
    <cfRule type="cellIs" dxfId="1911" priority="278" stopIfTrue="1" operator="greaterThan">
      <formula>-30</formula>
    </cfRule>
    <cfRule type="cellIs" dxfId="1910" priority="279" stopIfTrue="1" operator="between">
      <formula>-33</formula>
      <formula>-30</formula>
    </cfRule>
  </conditionalFormatting>
  <conditionalFormatting sqref="AI7">
    <cfRule type="containsBlanks" priority="274" stopIfTrue="1">
      <formula>LEN(TRIM(AI7))=0</formula>
    </cfRule>
    <cfRule type="cellIs" dxfId="1909" priority="275" stopIfTrue="1" operator="greaterThan">
      <formula>-30</formula>
    </cfRule>
    <cfRule type="cellIs" dxfId="1908" priority="276" stopIfTrue="1" operator="between">
      <formula>-33</formula>
      <formula>-30</formula>
    </cfRule>
  </conditionalFormatting>
  <conditionalFormatting sqref="AI8">
    <cfRule type="containsBlanks" priority="271" stopIfTrue="1">
      <formula>LEN(TRIM(AI8))=0</formula>
    </cfRule>
    <cfRule type="cellIs" dxfId="1907" priority="272" stopIfTrue="1" operator="greaterThan">
      <formula>-30</formula>
    </cfRule>
    <cfRule type="cellIs" dxfId="1906" priority="273" stopIfTrue="1" operator="between">
      <formula>-33</formula>
      <formula>-30</formula>
    </cfRule>
  </conditionalFormatting>
  <conditionalFormatting sqref="AI9">
    <cfRule type="containsBlanks" priority="268" stopIfTrue="1">
      <formula>LEN(TRIM(AI9))=0</formula>
    </cfRule>
    <cfRule type="cellIs" dxfId="1905" priority="269" stopIfTrue="1" operator="greaterThan">
      <formula>-30</formula>
    </cfRule>
    <cfRule type="cellIs" dxfId="1904" priority="270" stopIfTrue="1" operator="between">
      <formula>-33</formula>
      <formula>-30</formula>
    </cfRule>
  </conditionalFormatting>
  <conditionalFormatting sqref="AR7">
    <cfRule type="containsBlanks" priority="265" stopIfTrue="1">
      <formula>LEN(TRIM(AR7))=0</formula>
    </cfRule>
    <cfRule type="cellIs" dxfId="1903" priority="266" stopIfTrue="1" operator="greaterThan">
      <formula>-30</formula>
    </cfRule>
    <cfRule type="cellIs" dxfId="1902" priority="267" stopIfTrue="1" operator="between">
      <formula>-33</formula>
      <formula>-30</formula>
    </cfRule>
  </conditionalFormatting>
  <conditionalFormatting sqref="AR8">
    <cfRule type="containsBlanks" priority="262" stopIfTrue="1">
      <formula>LEN(TRIM(AR8))=0</formula>
    </cfRule>
    <cfRule type="cellIs" dxfId="1901" priority="263" stopIfTrue="1" operator="greaterThan">
      <formula>-30</formula>
    </cfRule>
    <cfRule type="cellIs" dxfId="1900" priority="264" stopIfTrue="1" operator="between">
      <formula>-33</formula>
      <formula>-30</formula>
    </cfRule>
  </conditionalFormatting>
  <conditionalFormatting sqref="AR9">
    <cfRule type="containsBlanks" priority="259" stopIfTrue="1">
      <formula>LEN(TRIM(AR9))=0</formula>
    </cfRule>
    <cfRule type="cellIs" dxfId="1899" priority="260" stopIfTrue="1" operator="greaterThan">
      <formula>-30</formula>
    </cfRule>
    <cfRule type="cellIs" dxfId="1898" priority="261" stopIfTrue="1" operator="between">
      <formula>-33</formula>
      <formula>-30</formula>
    </cfRule>
  </conditionalFormatting>
  <conditionalFormatting sqref="BA7">
    <cfRule type="containsBlanks" priority="256" stopIfTrue="1">
      <formula>LEN(TRIM(BA7))=0</formula>
    </cfRule>
    <cfRule type="cellIs" dxfId="1897" priority="257" stopIfTrue="1" operator="greaterThan">
      <formula>-30</formula>
    </cfRule>
    <cfRule type="cellIs" dxfId="1896" priority="258" stopIfTrue="1" operator="between">
      <formula>-33</formula>
      <formula>-30</formula>
    </cfRule>
  </conditionalFormatting>
  <conditionalFormatting sqref="BA8">
    <cfRule type="containsBlanks" priority="253" stopIfTrue="1">
      <formula>LEN(TRIM(BA8))=0</formula>
    </cfRule>
    <cfRule type="cellIs" dxfId="1895" priority="254" stopIfTrue="1" operator="greaterThan">
      <formula>-30</formula>
    </cfRule>
    <cfRule type="cellIs" dxfId="1894" priority="255" stopIfTrue="1" operator="between">
      <formula>-33</formula>
      <formula>-30</formula>
    </cfRule>
  </conditionalFormatting>
  <conditionalFormatting sqref="BA9">
    <cfRule type="containsBlanks" priority="250" stopIfTrue="1">
      <formula>LEN(TRIM(BA9))=0</formula>
    </cfRule>
    <cfRule type="cellIs" dxfId="1893" priority="251" stopIfTrue="1" operator="greaterThan">
      <formula>-30</formula>
    </cfRule>
    <cfRule type="cellIs" dxfId="1892" priority="252" stopIfTrue="1" operator="between">
      <formula>-33</formula>
      <formula>-30</formula>
    </cfRule>
  </conditionalFormatting>
  <conditionalFormatting sqref="BJ7">
    <cfRule type="containsBlanks" priority="247" stopIfTrue="1">
      <formula>LEN(TRIM(BJ7))=0</formula>
    </cfRule>
    <cfRule type="cellIs" dxfId="1891" priority="248" stopIfTrue="1" operator="greaterThan">
      <formula>-30</formula>
    </cfRule>
    <cfRule type="cellIs" dxfId="1890" priority="249" stopIfTrue="1" operator="between">
      <formula>-33</formula>
      <formula>-30</formula>
    </cfRule>
  </conditionalFormatting>
  <conditionalFormatting sqref="BJ8">
    <cfRule type="containsBlanks" priority="244" stopIfTrue="1">
      <formula>LEN(TRIM(BJ8))=0</formula>
    </cfRule>
    <cfRule type="cellIs" dxfId="1889" priority="245" stopIfTrue="1" operator="greaterThan">
      <formula>-30</formula>
    </cfRule>
    <cfRule type="cellIs" dxfId="1888" priority="246" stopIfTrue="1" operator="between">
      <formula>-33</formula>
      <formula>-30</formula>
    </cfRule>
  </conditionalFormatting>
  <conditionalFormatting sqref="BJ9">
    <cfRule type="containsBlanks" priority="241" stopIfTrue="1">
      <formula>LEN(TRIM(BJ9))=0</formula>
    </cfRule>
    <cfRule type="cellIs" dxfId="1887" priority="242" stopIfTrue="1" operator="greaterThan">
      <formula>-30</formula>
    </cfRule>
    <cfRule type="cellIs" dxfId="1886" priority="243" stopIfTrue="1" operator="between">
      <formula>-33</formula>
      <formula>-30</formula>
    </cfRule>
  </conditionalFormatting>
  <conditionalFormatting sqref="BS7">
    <cfRule type="containsBlanks" priority="238" stopIfTrue="1">
      <formula>LEN(TRIM(BS7))=0</formula>
    </cfRule>
    <cfRule type="cellIs" dxfId="1885" priority="239" stopIfTrue="1" operator="greaterThan">
      <formula>-30</formula>
    </cfRule>
    <cfRule type="cellIs" dxfId="1884" priority="240" stopIfTrue="1" operator="between">
      <formula>-33</formula>
      <formula>-30</formula>
    </cfRule>
  </conditionalFormatting>
  <conditionalFormatting sqref="BS8">
    <cfRule type="containsBlanks" priority="235" stopIfTrue="1">
      <formula>LEN(TRIM(BS8))=0</formula>
    </cfRule>
    <cfRule type="cellIs" dxfId="1883" priority="236" stopIfTrue="1" operator="greaterThan">
      <formula>-30</formula>
    </cfRule>
    <cfRule type="cellIs" dxfId="1882" priority="237" stopIfTrue="1" operator="between">
      <formula>-33</formula>
      <formula>-30</formula>
    </cfRule>
  </conditionalFormatting>
  <conditionalFormatting sqref="BS9">
    <cfRule type="containsBlanks" priority="232" stopIfTrue="1">
      <formula>LEN(TRIM(BS9))=0</formula>
    </cfRule>
    <cfRule type="cellIs" dxfId="1881" priority="233" stopIfTrue="1" operator="greaterThan">
      <formula>-30</formula>
    </cfRule>
    <cfRule type="cellIs" dxfId="1880" priority="234" stopIfTrue="1" operator="between">
      <formula>-33</formula>
      <formula>-30</formula>
    </cfRule>
  </conditionalFormatting>
  <conditionalFormatting sqref="CB7">
    <cfRule type="containsBlanks" priority="229" stopIfTrue="1">
      <formula>LEN(TRIM(CB7))=0</formula>
    </cfRule>
    <cfRule type="cellIs" dxfId="1879" priority="230" stopIfTrue="1" operator="greaterThan">
      <formula>-30</formula>
    </cfRule>
    <cfRule type="cellIs" dxfId="1878" priority="231" stopIfTrue="1" operator="between">
      <formula>-33</formula>
      <formula>-30</formula>
    </cfRule>
  </conditionalFormatting>
  <conditionalFormatting sqref="CB8">
    <cfRule type="containsBlanks" priority="226" stopIfTrue="1">
      <formula>LEN(TRIM(CB8))=0</formula>
    </cfRule>
    <cfRule type="cellIs" dxfId="1877" priority="227" stopIfTrue="1" operator="greaterThan">
      <formula>-30</formula>
    </cfRule>
    <cfRule type="cellIs" dxfId="1876" priority="228" stopIfTrue="1" operator="between">
      <formula>-33</formula>
      <formula>-30</formula>
    </cfRule>
  </conditionalFormatting>
  <conditionalFormatting sqref="CB9">
    <cfRule type="containsBlanks" priority="223" stopIfTrue="1">
      <formula>LEN(TRIM(CB9))=0</formula>
    </cfRule>
    <cfRule type="cellIs" dxfId="1875" priority="224" stopIfTrue="1" operator="greaterThan">
      <formula>-30</formula>
    </cfRule>
    <cfRule type="cellIs" dxfId="1874" priority="225" stopIfTrue="1" operator="between">
      <formula>-33</formula>
      <formula>-30</formula>
    </cfRule>
  </conditionalFormatting>
  <conditionalFormatting sqref="Z7">
    <cfRule type="containsBlanks" priority="220" stopIfTrue="1">
      <formula>LEN(TRIM(Z7))=0</formula>
    </cfRule>
    <cfRule type="cellIs" dxfId="1873" priority="221" stopIfTrue="1" operator="greaterThan">
      <formula>-30</formula>
    </cfRule>
    <cfRule type="cellIs" dxfId="1872" priority="222" stopIfTrue="1" operator="between">
      <formula>-33</formula>
      <formula>-30</formula>
    </cfRule>
  </conditionalFormatting>
  <conditionalFormatting sqref="Z8">
    <cfRule type="containsBlanks" priority="217" stopIfTrue="1">
      <formula>LEN(TRIM(Z8))=0</formula>
    </cfRule>
    <cfRule type="cellIs" dxfId="1871" priority="218" stopIfTrue="1" operator="greaterThan">
      <formula>-30</formula>
    </cfRule>
    <cfRule type="cellIs" dxfId="1870" priority="219" stopIfTrue="1" operator="between">
      <formula>-33</formula>
      <formula>-30</formula>
    </cfRule>
  </conditionalFormatting>
  <conditionalFormatting sqref="Z9">
    <cfRule type="containsBlanks" priority="214" stopIfTrue="1">
      <formula>LEN(TRIM(Z9))=0</formula>
    </cfRule>
    <cfRule type="cellIs" dxfId="1869" priority="215" stopIfTrue="1" operator="greaterThan">
      <formula>-30</formula>
    </cfRule>
    <cfRule type="cellIs" dxfId="1868" priority="216" stopIfTrue="1" operator="between">
      <formula>-33</formula>
      <formula>-30</formula>
    </cfRule>
  </conditionalFormatting>
  <conditionalFormatting sqref="AI7">
    <cfRule type="containsBlanks" priority="211" stopIfTrue="1">
      <formula>LEN(TRIM(AI7))=0</formula>
    </cfRule>
    <cfRule type="cellIs" dxfId="1867" priority="212" stopIfTrue="1" operator="greaterThan">
      <formula>-30</formula>
    </cfRule>
    <cfRule type="cellIs" dxfId="1866" priority="213" stopIfTrue="1" operator="between">
      <formula>-33</formula>
      <formula>-30</formula>
    </cfRule>
  </conditionalFormatting>
  <conditionalFormatting sqref="AI8">
    <cfRule type="containsBlanks" priority="208" stopIfTrue="1">
      <formula>LEN(TRIM(AI8))=0</formula>
    </cfRule>
    <cfRule type="cellIs" dxfId="1865" priority="209" stopIfTrue="1" operator="greaterThan">
      <formula>-30</formula>
    </cfRule>
    <cfRule type="cellIs" dxfId="1864" priority="210" stopIfTrue="1" operator="between">
      <formula>-33</formula>
      <formula>-30</formula>
    </cfRule>
  </conditionalFormatting>
  <conditionalFormatting sqref="AI9">
    <cfRule type="containsBlanks" priority="205" stopIfTrue="1">
      <formula>LEN(TRIM(AI9))=0</formula>
    </cfRule>
    <cfRule type="cellIs" dxfId="1863" priority="206" stopIfTrue="1" operator="greaterThan">
      <formula>-30</formula>
    </cfRule>
    <cfRule type="cellIs" dxfId="1862" priority="207" stopIfTrue="1" operator="between">
      <formula>-33</formula>
      <formula>-30</formula>
    </cfRule>
  </conditionalFormatting>
  <conditionalFormatting sqref="AR7">
    <cfRule type="containsBlanks" priority="202" stopIfTrue="1">
      <formula>LEN(TRIM(AR7))=0</formula>
    </cfRule>
    <cfRule type="cellIs" dxfId="1861" priority="203" stopIfTrue="1" operator="greaterThan">
      <formula>-30</formula>
    </cfRule>
    <cfRule type="cellIs" dxfId="1860" priority="204" stopIfTrue="1" operator="between">
      <formula>-33</formula>
      <formula>-30</formula>
    </cfRule>
  </conditionalFormatting>
  <conditionalFormatting sqref="AR8">
    <cfRule type="containsBlanks" priority="199" stopIfTrue="1">
      <formula>LEN(TRIM(AR8))=0</formula>
    </cfRule>
    <cfRule type="cellIs" dxfId="1859" priority="200" stopIfTrue="1" operator="greaterThan">
      <formula>-30</formula>
    </cfRule>
    <cfRule type="cellIs" dxfId="1858" priority="201" stopIfTrue="1" operator="between">
      <formula>-33</formula>
      <formula>-30</formula>
    </cfRule>
  </conditionalFormatting>
  <conditionalFormatting sqref="AR9">
    <cfRule type="containsBlanks" priority="196" stopIfTrue="1">
      <formula>LEN(TRIM(AR9))=0</formula>
    </cfRule>
    <cfRule type="cellIs" dxfId="1857" priority="197" stopIfTrue="1" operator="greaterThan">
      <formula>-30</formula>
    </cfRule>
    <cfRule type="cellIs" dxfId="1856" priority="198" stopIfTrue="1" operator="between">
      <formula>-33</formula>
      <formula>-30</formula>
    </cfRule>
  </conditionalFormatting>
  <conditionalFormatting sqref="BA7">
    <cfRule type="containsBlanks" priority="193" stopIfTrue="1">
      <formula>LEN(TRIM(BA7))=0</formula>
    </cfRule>
    <cfRule type="cellIs" dxfId="1855" priority="194" stopIfTrue="1" operator="greaterThan">
      <formula>-30</formula>
    </cfRule>
    <cfRule type="cellIs" dxfId="1854" priority="195" stopIfTrue="1" operator="between">
      <formula>-33</formula>
      <formula>-30</formula>
    </cfRule>
  </conditionalFormatting>
  <conditionalFormatting sqref="BA8">
    <cfRule type="containsBlanks" priority="190" stopIfTrue="1">
      <formula>LEN(TRIM(BA8))=0</formula>
    </cfRule>
    <cfRule type="cellIs" dxfId="1853" priority="191" stopIfTrue="1" operator="greaterThan">
      <formula>-30</formula>
    </cfRule>
    <cfRule type="cellIs" dxfId="1852" priority="192" stopIfTrue="1" operator="between">
      <formula>-33</formula>
      <formula>-30</formula>
    </cfRule>
  </conditionalFormatting>
  <conditionalFormatting sqref="BA9">
    <cfRule type="containsBlanks" priority="187" stopIfTrue="1">
      <formula>LEN(TRIM(BA9))=0</formula>
    </cfRule>
    <cfRule type="cellIs" dxfId="1851" priority="188" stopIfTrue="1" operator="greaterThan">
      <formula>-30</formula>
    </cfRule>
    <cfRule type="cellIs" dxfId="1850" priority="189" stopIfTrue="1" operator="between">
      <formula>-33</formula>
      <formula>-30</formula>
    </cfRule>
  </conditionalFormatting>
  <conditionalFormatting sqref="BJ7">
    <cfRule type="containsBlanks" priority="184" stopIfTrue="1">
      <formula>LEN(TRIM(BJ7))=0</formula>
    </cfRule>
    <cfRule type="cellIs" dxfId="1849" priority="185" stopIfTrue="1" operator="greaterThan">
      <formula>-30</formula>
    </cfRule>
    <cfRule type="cellIs" dxfId="1848" priority="186" stopIfTrue="1" operator="between">
      <formula>-33</formula>
      <formula>-30</formula>
    </cfRule>
  </conditionalFormatting>
  <conditionalFormatting sqref="BJ8">
    <cfRule type="containsBlanks" priority="181" stopIfTrue="1">
      <formula>LEN(TRIM(BJ8))=0</formula>
    </cfRule>
    <cfRule type="cellIs" dxfId="1847" priority="182" stopIfTrue="1" operator="greaterThan">
      <formula>-30</formula>
    </cfRule>
    <cfRule type="cellIs" dxfId="1846" priority="183" stopIfTrue="1" operator="between">
      <formula>-33</formula>
      <formula>-30</formula>
    </cfRule>
  </conditionalFormatting>
  <conditionalFormatting sqref="BJ9">
    <cfRule type="containsBlanks" priority="178" stopIfTrue="1">
      <formula>LEN(TRIM(BJ9))=0</formula>
    </cfRule>
    <cfRule type="cellIs" dxfId="1845" priority="179" stopIfTrue="1" operator="greaterThan">
      <formula>-30</formula>
    </cfRule>
    <cfRule type="cellIs" dxfId="1844" priority="180" stopIfTrue="1" operator="between">
      <formula>-33</formula>
      <formula>-30</formula>
    </cfRule>
  </conditionalFormatting>
  <conditionalFormatting sqref="BS7">
    <cfRule type="containsBlanks" priority="175" stopIfTrue="1">
      <formula>LEN(TRIM(BS7))=0</formula>
    </cfRule>
    <cfRule type="cellIs" dxfId="1843" priority="176" stopIfTrue="1" operator="greaterThan">
      <formula>-30</formula>
    </cfRule>
    <cfRule type="cellIs" dxfId="1842" priority="177" stopIfTrue="1" operator="between">
      <formula>-33</formula>
      <formula>-30</formula>
    </cfRule>
  </conditionalFormatting>
  <conditionalFormatting sqref="BS8">
    <cfRule type="containsBlanks" priority="172" stopIfTrue="1">
      <formula>LEN(TRIM(BS8))=0</formula>
    </cfRule>
    <cfRule type="cellIs" dxfId="1841" priority="173" stopIfTrue="1" operator="greaterThan">
      <formula>-30</formula>
    </cfRule>
    <cfRule type="cellIs" dxfId="1840" priority="174" stopIfTrue="1" operator="between">
      <formula>-33</formula>
      <formula>-30</formula>
    </cfRule>
  </conditionalFormatting>
  <conditionalFormatting sqref="BS9">
    <cfRule type="containsBlanks" priority="169" stopIfTrue="1">
      <formula>LEN(TRIM(BS9))=0</formula>
    </cfRule>
    <cfRule type="cellIs" dxfId="1839" priority="170" stopIfTrue="1" operator="greaterThan">
      <formula>-30</formula>
    </cfRule>
    <cfRule type="cellIs" dxfId="1838" priority="171" stopIfTrue="1" operator="between">
      <formula>-33</formula>
      <formula>-30</formula>
    </cfRule>
  </conditionalFormatting>
  <conditionalFormatting sqref="CB7">
    <cfRule type="containsBlanks" priority="166" stopIfTrue="1">
      <formula>LEN(TRIM(CB7))=0</formula>
    </cfRule>
    <cfRule type="cellIs" dxfId="1837" priority="167" stopIfTrue="1" operator="greaterThan">
      <formula>-30</formula>
    </cfRule>
    <cfRule type="cellIs" dxfId="1836" priority="168" stopIfTrue="1" operator="between">
      <formula>-33</formula>
      <formula>-30</formula>
    </cfRule>
  </conditionalFormatting>
  <conditionalFormatting sqref="CB8">
    <cfRule type="containsBlanks" priority="163" stopIfTrue="1">
      <formula>LEN(TRIM(CB8))=0</formula>
    </cfRule>
    <cfRule type="cellIs" dxfId="1835" priority="164" stopIfTrue="1" operator="greaterThan">
      <formula>-30</formula>
    </cfRule>
    <cfRule type="cellIs" dxfId="1834" priority="165" stopIfTrue="1" operator="between">
      <formula>-33</formula>
      <formula>-30</formula>
    </cfRule>
  </conditionalFormatting>
  <conditionalFormatting sqref="CB9">
    <cfRule type="containsBlanks" priority="160" stopIfTrue="1">
      <formula>LEN(TRIM(CB9))=0</formula>
    </cfRule>
    <cfRule type="cellIs" dxfId="1833" priority="161" stopIfTrue="1" operator="greaterThan">
      <formula>-30</formula>
    </cfRule>
    <cfRule type="cellIs" dxfId="1832" priority="162" stopIfTrue="1" operator="between">
      <formula>-33</formula>
      <formula>-30</formula>
    </cfRule>
  </conditionalFormatting>
  <conditionalFormatting sqref="CK7">
    <cfRule type="containsBlanks" priority="157" stopIfTrue="1">
      <formula>LEN(TRIM(CK7))=0</formula>
    </cfRule>
    <cfRule type="cellIs" dxfId="1831" priority="158" stopIfTrue="1" operator="greaterThan">
      <formula>-30</formula>
    </cfRule>
    <cfRule type="cellIs" dxfId="1830" priority="159" stopIfTrue="1" operator="between">
      <formula>-33</formula>
      <formula>-30</formula>
    </cfRule>
  </conditionalFormatting>
  <conditionalFormatting sqref="CK8">
    <cfRule type="containsBlanks" priority="154" stopIfTrue="1">
      <formula>LEN(TRIM(CK8))=0</formula>
    </cfRule>
    <cfRule type="cellIs" dxfId="1829" priority="155" stopIfTrue="1" operator="greaterThan">
      <formula>-30</formula>
    </cfRule>
    <cfRule type="cellIs" dxfId="1828" priority="156" stopIfTrue="1" operator="between">
      <formula>-33</formula>
      <formula>-30</formula>
    </cfRule>
  </conditionalFormatting>
  <conditionalFormatting sqref="CK9">
    <cfRule type="containsBlanks" priority="151" stopIfTrue="1">
      <formula>LEN(TRIM(CK9))=0</formula>
    </cfRule>
    <cfRule type="cellIs" dxfId="1827" priority="152" stopIfTrue="1" operator="greaterThan">
      <formula>-30</formula>
    </cfRule>
    <cfRule type="cellIs" dxfId="1826" priority="153" stopIfTrue="1" operator="between">
      <formula>-33</formula>
      <formula>-30</formula>
    </cfRule>
  </conditionalFormatting>
  <conditionalFormatting sqref="CT7">
    <cfRule type="containsBlanks" priority="148" stopIfTrue="1">
      <formula>LEN(TRIM(CT7))=0</formula>
    </cfRule>
    <cfRule type="cellIs" dxfId="1825" priority="149" stopIfTrue="1" operator="greaterThan">
      <formula>-30</formula>
    </cfRule>
    <cfRule type="cellIs" dxfId="1824" priority="150" stopIfTrue="1" operator="between">
      <formula>-33</formula>
      <formula>-30</formula>
    </cfRule>
  </conditionalFormatting>
  <conditionalFormatting sqref="CT8">
    <cfRule type="containsBlanks" priority="145" stopIfTrue="1">
      <formula>LEN(TRIM(CT8))=0</formula>
    </cfRule>
    <cfRule type="cellIs" dxfId="1823" priority="146" stopIfTrue="1" operator="greaterThan">
      <formula>-30</formula>
    </cfRule>
    <cfRule type="cellIs" dxfId="1822" priority="147" stopIfTrue="1" operator="between">
      <formula>-33</formula>
      <formula>-30</formula>
    </cfRule>
  </conditionalFormatting>
  <conditionalFormatting sqref="CT9">
    <cfRule type="containsBlanks" priority="142" stopIfTrue="1">
      <formula>LEN(TRIM(CT9))=0</formula>
    </cfRule>
    <cfRule type="cellIs" dxfId="1821" priority="143" stopIfTrue="1" operator="greaterThan">
      <formula>-30</formula>
    </cfRule>
    <cfRule type="cellIs" dxfId="1820" priority="144" stopIfTrue="1" operator="between">
      <formula>-33</formula>
      <formula>-30</formula>
    </cfRule>
  </conditionalFormatting>
  <conditionalFormatting sqref="H10">
    <cfRule type="containsBlanks" priority="139" stopIfTrue="1">
      <formula>LEN(TRIM(H10))=0</formula>
    </cfRule>
    <cfRule type="cellIs" dxfId="1819" priority="140" stopIfTrue="1" operator="greaterThan">
      <formula>-30</formula>
    </cfRule>
    <cfRule type="cellIs" dxfId="1818" priority="141" stopIfTrue="1" operator="between">
      <formula>-33</formula>
      <formula>-30</formula>
    </cfRule>
  </conditionalFormatting>
  <conditionalFormatting sqref="H11">
    <cfRule type="containsBlanks" priority="136" stopIfTrue="1">
      <formula>LEN(TRIM(H11))=0</formula>
    </cfRule>
    <cfRule type="cellIs" dxfId="1817" priority="137" stopIfTrue="1" operator="greaterThan">
      <formula>-30</formula>
    </cfRule>
    <cfRule type="cellIs" dxfId="1816" priority="138" stopIfTrue="1" operator="between">
      <formula>-33</formula>
      <formula>-30</formula>
    </cfRule>
  </conditionalFormatting>
  <conditionalFormatting sqref="Q10">
    <cfRule type="containsBlanks" priority="133" stopIfTrue="1">
      <formula>LEN(TRIM(Q10))=0</formula>
    </cfRule>
    <cfRule type="cellIs" dxfId="1815" priority="134" stopIfTrue="1" operator="greaterThan">
      <formula>-30</formula>
    </cfRule>
    <cfRule type="cellIs" dxfId="1814" priority="135" stopIfTrue="1" operator="between">
      <formula>-33</formula>
      <formula>-30</formula>
    </cfRule>
  </conditionalFormatting>
  <conditionalFormatting sqref="Q11">
    <cfRule type="containsBlanks" priority="130" stopIfTrue="1">
      <formula>LEN(TRIM(Q11))=0</formula>
    </cfRule>
    <cfRule type="cellIs" dxfId="1813" priority="131" stopIfTrue="1" operator="greaterThan">
      <formula>-30</formula>
    </cfRule>
    <cfRule type="cellIs" dxfId="1812" priority="132" stopIfTrue="1" operator="between">
      <formula>-33</formula>
      <formula>-30</formula>
    </cfRule>
  </conditionalFormatting>
  <conditionalFormatting sqref="Z10">
    <cfRule type="containsBlanks" priority="127" stopIfTrue="1">
      <formula>LEN(TRIM(Z10))=0</formula>
    </cfRule>
    <cfRule type="cellIs" dxfId="1811" priority="128" stopIfTrue="1" operator="greaterThan">
      <formula>-30</formula>
    </cfRule>
    <cfRule type="cellIs" dxfId="1810" priority="129" stopIfTrue="1" operator="between">
      <formula>-33</formula>
      <formula>-30</formula>
    </cfRule>
  </conditionalFormatting>
  <conditionalFormatting sqref="Z11">
    <cfRule type="containsBlanks" priority="124" stopIfTrue="1">
      <formula>LEN(TRIM(Z11))=0</formula>
    </cfRule>
    <cfRule type="cellIs" dxfId="1809" priority="125" stopIfTrue="1" operator="greaterThan">
      <formula>-30</formula>
    </cfRule>
    <cfRule type="cellIs" dxfId="1808" priority="126" stopIfTrue="1" operator="between">
      <formula>-33</formula>
      <formula>-30</formula>
    </cfRule>
  </conditionalFormatting>
  <conditionalFormatting sqref="AI10">
    <cfRule type="containsBlanks" priority="121" stopIfTrue="1">
      <formula>LEN(TRIM(AI10))=0</formula>
    </cfRule>
    <cfRule type="cellIs" dxfId="1807" priority="122" stopIfTrue="1" operator="greaterThan">
      <formula>-30</formula>
    </cfRule>
    <cfRule type="cellIs" dxfId="1806" priority="123" stopIfTrue="1" operator="between">
      <formula>-33</formula>
      <formula>-30</formula>
    </cfRule>
  </conditionalFormatting>
  <conditionalFormatting sqref="AI11:AI22">
    <cfRule type="containsBlanks" priority="118" stopIfTrue="1">
      <formula>LEN(TRIM(AI11))=0</formula>
    </cfRule>
    <cfRule type="cellIs" dxfId="1805" priority="119" stopIfTrue="1" operator="greaterThan">
      <formula>-30</formula>
    </cfRule>
    <cfRule type="cellIs" dxfId="1804" priority="120" stopIfTrue="1" operator="between">
      <formula>-33</formula>
      <formula>-30</formula>
    </cfRule>
  </conditionalFormatting>
  <conditionalFormatting sqref="AR10">
    <cfRule type="containsBlanks" priority="115" stopIfTrue="1">
      <formula>LEN(TRIM(AR10))=0</formula>
    </cfRule>
    <cfRule type="cellIs" dxfId="1803" priority="116" stopIfTrue="1" operator="greaterThan">
      <formula>-30</formula>
    </cfRule>
    <cfRule type="cellIs" dxfId="1802" priority="117" stopIfTrue="1" operator="between">
      <formula>-33</formula>
      <formula>-30</formula>
    </cfRule>
  </conditionalFormatting>
  <conditionalFormatting sqref="AR11:AR22">
    <cfRule type="containsBlanks" priority="112" stopIfTrue="1">
      <formula>LEN(TRIM(AR11))=0</formula>
    </cfRule>
    <cfRule type="cellIs" dxfId="1801" priority="113" stopIfTrue="1" operator="greaterThan">
      <formula>-30</formula>
    </cfRule>
    <cfRule type="cellIs" dxfId="1800" priority="114" stopIfTrue="1" operator="between">
      <formula>-33</formula>
      <formula>-30</formula>
    </cfRule>
  </conditionalFormatting>
  <conditionalFormatting sqref="BA10">
    <cfRule type="containsBlanks" priority="109" stopIfTrue="1">
      <formula>LEN(TRIM(BA10))=0</formula>
    </cfRule>
    <cfRule type="cellIs" dxfId="1799" priority="110" stopIfTrue="1" operator="greaterThan">
      <formula>-30</formula>
    </cfRule>
    <cfRule type="cellIs" dxfId="1798" priority="111" stopIfTrue="1" operator="between">
      <formula>-33</formula>
      <formula>-30</formula>
    </cfRule>
  </conditionalFormatting>
  <conditionalFormatting sqref="BA11:BA22">
    <cfRule type="containsBlanks" priority="106" stopIfTrue="1">
      <formula>LEN(TRIM(BA11))=0</formula>
    </cfRule>
    <cfRule type="cellIs" dxfId="1797" priority="107" stopIfTrue="1" operator="greaterThan">
      <formula>-30</formula>
    </cfRule>
    <cfRule type="cellIs" dxfId="1796" priority="108" stopIfTrue="1" operator="between">
      <formula>-33</formula>
      <formula>-30</formula>
    </cfRule>
  </conditionalFormatting>
  <conditionalFormatting sqref="BJ10">
    <cfRule type="containsBlanks" priority="103" stopIfTrue="1">
      <formula>LEN(TRIM(BJ10))=0</formula>
    </cfRule>
    <cfRule type="cellIs" dxfId="1795" priority="104" stopIfTrue="1" operator="greaterThan">
      <formula>-30</formula>
    </cfRule>
    <cfRule type="cellIs" dxfId="1794" priority="105" stopIfTrue="1" operator="between">
      <formula>-33</formula>
      <formula>-30</formula>
    </cfRule>
  </conditionalFormatting>
  <conditionalFormatting sqref="BJ11:BJ22">
    <cfRule type="containsBlanks" priority="100" stopIfTrue="1">
      <formula>LEN(TRIM(BJ11))=0</formula>
    </cfRule>
    <cfRule type="cellIs" dxfId="1793" priority="101" stopIfTrue="1" operator="greaterThan">
      <formula>-30</formula>
    </cfRule>
    <cfRule type="cellIs" dxfId="1792" priority="102" stopIfTrue="1" operator="between">
      <formula>-33</formula>
      <formula>-30</formula>
    </cfRule>
  </conditionalFormatting>
  <conditionalFormatting sqref="BS10">
    <cfRule type="containsBlanks" priority="97" stopIfTrue="1">
      <formula>LEN(TRIM(BS10))=0</formula>
    </cfRule>
    <cfRule type="cellIs" dxfId="1791" priority="98" stopIfTrue="1" operator="greaterThan">
      <formula>-30</formula>
    </cfRule>
    <cfRule type="cellIs" dxfId="1790" priority="99" stopIfTrue="1" operator="between">
      <formula>-33</formula>
      <formula>-30</formula>
    </cfRule>
  </conditionalFormatting>
  <conditionalFormatting sqref="BS11:BS22">
    <cfRule type="containsBlanks" priority="94" stopIfTrue="1">
      <formula>LEN(TRIM(BS11))=0</formula>
    </cfRule>
    <cfRule type="cellIs" dxfId="1789" priority="95" stopIfTrue="1" operator="greaterThan">
      <formula>-30</formula>
    </cfRule>
    <cfRule type="cellIs" dxfId="1788" priority="96" stopIfTrue="1" operator="between">
      <formula>-33</formula>
      <formula>-30</formula>
    </cfRule>
  </conditionalFormatting>
  <conditionalFormatting sqref="CB10">
    <cfRule type="containsBlanks" priority="91" stopIfTrue="1">
      <formula>LEN(TRIM(CB10))=0</formula>
    </cfRule>
    <cfRule type="cellIs" dxfId="1787" priority="92" stopIfTrue="1" operator="greaterThan">
      <formula>-30</formula>
    </cfRule>
    <cfRule type="cellIs" dxfId="1786" priority="93" stopIfTrue="1" operator="between">
      <formula>-33</formula>
      <formula>-30</formula>
    </cfRule>
  </conditionalFormatting>
  <conditionalFormatting sqref="H19">
    <cfRule type="containsBlanks" priority="10" stopIfTrue="1">
      <formula>LEN(TRIM(H19))=0</formula>
    </cfRule>
    <cfRule type="cellIs" dxfId="1785" priority="11" stopIfTrue="1" operator="greaterThan">
      <formula>-30</formula>
    </cfRule>
    <cfRule type="cellIs" dxfId="1784" priority="12" stopIfTrue="1" operator="between">
      <formula>-33</formula>
      <formula>-30</formula>
    </cfRule>
  </conditionalFormatting>
  <conditionalFormatting sqref="H20">
    <cfRule type="containsBlanks" priority="7" stopIfTrue="1">
      <formula>LEN(TRIM(H20))=0</formula>
    </cfRule>
    <cfRule type="cellIs" dxfId="1783" priority="8" stopIfTrue="1" operator="greaterThan">
      <formula>-30</formula>
    </cfRule>
    <cfRule type="cellIs" dxfId="1782" priority="9" stopIfTrue="1" operator="between">
      <formula>-33</formula>
      <formula>-30</formula>
    </cfRule>
  </conditionalFormatting>
  <conditionalFormatting sqref="H21">
    <cfRule type="containsBlanks" priority="4" stopIfTrue="1">
      <formula>LEN(TRIM(H21))=0</formula>
    </cfRule>
    <cfRule type="cellIs" dxfId="1781" priority="5" stopIfTrue="1" operator="greaterThan">
      <formula>-30</formula>
    </cfRule>
    <cfRule type="cellIs" dxfId="1780" priority="6" stopIfTrue="1" operator="between">
      <formula>-33</formula>
      <formula>-30</formula>
    </cfRule>
  </conditionalFormatting>
  <conditionalFormatting sqref="H22">
    <cfRule type="containsBlanks" priority="1" stopIfTrue="1">
      <formula>LEN(TRIM(H22))=0</formula>
    </cfRule>
    <cfRule type="cellIs" dxfId="1779" priority="2" stopIfTrue="1" operator="greaterThan">
      <formula>-30</formula>
    </cfRule>
    <cfRule type="cellIs" dxfId="1778" priority="3" stopIfTrue="1" operator="between">
      <formula>-33</formula>
      <formula>-30</formula>
    </cfRule>
  </conditionalFormatting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A549"/>
  <sheetViews>
    <sheetView zoomScale="80" zoomScaleNormal="80" workbookViewId="0">
      <selection activeCell="M31" sqref="M31"/>
    </sheetView>
  </sheetViews>
  <sheetFormatPr defaultRowHeight="13.5"/>
  <cols>
    <col min="3" max="3" width="9.875" bestFit="1" customWidth="1"/>
    <col min="4" max="4" width="9" customWidth="1"/>
    <col min="9" max="9" width="7.625" bestFit="1" customWidth="1"/>
    <col min="259" max="259" width="9.875" bestFit="1" customWidth="1"/>
    <col min="260" max="260" width="9" customWidth="1"/>
    <col min="265" max="265" width="7.625" bestFit="1" customWidth="1"/>
    <col min="515" max="515" width="9.875" bestFit="1" customWidth="1"/>
    <col min="516" max="516" width="9" customWidth="1"/>
    <col min="521" max="521" width="7.625" bestFit="1" customWidth="1"/>
    <col min="771" max="771" width="9.875" bestFit="1" customWidth="1"/>
    <col min="772" max="772" width="9" customWidth="1"/>
    <col min="777" max="777" width="7.625" bestFit="1" customWidth="1"/>
    <col min="1027" max="1027" width="9.875" bestFit="1" customWidth="1"/>
    <col min="1028" max="1028" width="9" customWidth="1"/>
    <col min="1033" max="1033" width="7.625" bestFit="1" customWidth="1"/>
    <col min="1283" max="1283" width="9.875" bestFit="1" customWidth="1"/>
    <col min="1284" max="1284" width="9" customWidth="1"/>
    <col min="1289" max="1289" width="7.625" bestFit="1" customWidth="1"/>
    <col min="1539" max="1539" width="9.875" bestFit="1" customWidth="1"/>
    <col min="1540" max="1540" width="9" customWidth="1"/>
    <col min="1545" max="1545" width="7.625" bestFit="1" customWidth="1"/>
    <col min="1795" max="1795" width="9.875" bestFit="1" customWidth="1"/>
    <col min="1796" max="1796" width="9" customWidth="1"/>
    <col min="1801" max="1801" width="7.625" bestFit="1" customWidth="1"/>
    <col min="2051" max="2051" width="9.875" bestFit="1" customWidth="1"/>
    <col min="2052" max="2052" width="9" customWidth="1"/>
    <col min="2057" max="2057" width="7.625" bestFit="1" customWidth="1"/>
    <col min="2307" max="2307" width="9.875" bestFit="1" customWidth="1"/>
    <col min="2308" max="2308" width="9" customWidth="1"/>
    <col min="2313" max="2313" width="7.625" bestFit="1" customWidth="1"/>
    <col min="2563" max="2563" width="9.875" bestFit="1" customWidth="1"/>
    <col min="2564" max="2564" width="9" customWidth="1"/>
    <col min="2569" max="2569" width="7.625" bestFit="1" customWidth="1"/>
    <col min="2819" max="2819" width="9.875" bestFit="1" customWidth="1"/>
    <col min="2820" max="2820" width="9" customWidth="1"/>
    <col min="2825" max="2825" width="7.625" bestFit="1" customWidth="1"/>
    <col min="3075" max="3075" width="9.875" bestFit="1" customWidth="1"/>
    <col min="3076" max="3076" width="9" customWidth="1"/>
    <col min="3081" max="3081" width="7.625" bestFit="1" customWidth="1"/>
    <col min="3331" max="3331" width="9.875" bestFit="1" customWidth="1"/>
    <col min="3332" max="3332" width="9" customWidth="1"/>
    <col min="3337" max="3337" width="7.625" bestFit="1" customWidth="1"/>
    <col min="3587" max="3587" width="9.875" bestFit="1" customWidth="1"/>
    <col min="3588" max="3588" width="9" customWidth="1"/>
    <col min="3593" max="3593" width="7.625" bestFit="1" customWidth="1"/>
    <col min="3843" max="3843" width="9.875" bestFit="1" customWidth="1"/>
    <col min="3844" max="3844" width="9" customWidth="1"/>
    <col min="3849" max="3849" width="7.625" bestFit="1" customWidth="1"/>
    <col min="4099" max="4099" width="9.875" bestFit="1" customWidth="1"/>
    <col min="4100" max="4100" width="9" customWidth="1"/>
    <col min="4105" max="4105" width="7.625" bestFit="1" customWidth="1"/>
    <col min="4355" max="4355" width="9.875" bestFit="1" customWidth="1"/>
    <col min="4356" max="4356" width="9" customWidth="1"/>
    <col min="4361" max="4361" width="7.625" bestFit="1" customWidth="1"/>
    <col min="4611" max="4611" width="9.875" bestFit="1" customWidth="1"/>
    <col min="4612" max="4612" width="9" customWidth="1"/>
    <col min="4617" max="4617" width="7.625" bestFit="1" customWidth="1"/>
    <col min="4867" max="4867" width="9.875" bestFit="1" customWidth="1"/>
    <col min="4868" max="4868" width="9" customWidth="1"/>
    <col min="4873" max="4873" width="7.625" bestFit="1" customWidth="1"/>
    <col min="5123" max="5123" width="9.875" bestFit="1" customWidth="1"/>
    <col min="5124" max="5124" width="9" customWidth="1"/>
    <col min="5129" max="5129" width="7.625" bestFit="1" customWidth="1"/>
    <col min="5379" max="5379" width="9.875" bestFit="1" customWidth="1"/>
    <col min="5380" max="5380" width="9" customWidth="1"/>
    <col min="5385" max="5385" width="7.625" bestFit="1" customWidth="1"/>
    <col min="5635" max="5635" width="9.875" bestFit="1" customWidth="1"/>
    <col min="5636" max="5636" width="9" customWidth="1"/>
    <col min="5641" max="5641" width="7.625" bestFit="1" customWidth="1"/>
    <col min="5891" max="5891" width="9.875" bestFit="1" customWidth="1"/>
    <col min="5892" max="5892" width="9" customWidth="1"/>
    <col min="5897" max="5897" width="7.625" bestFit="1" customWidth="1"/>
    <col min="6147" max="6147" width="9.875" bestFit="1" customWidth="1"/>
    <col min="6148" max="6148" width="9" customWidth="1"/>
    <col min="6153" max="6153" width="7.625" bestFit="1" customWidth="1"/>
    <col min="6403" max="6403" width="9.875" bestFit="1" customWidth="1"/>
    <col min="6404" max="6404" width="9" customWidth="1"/>
    <col min="6409" max="6409" width="7.625" bestFit="1" customWidth="1"/>
    <col min="6659" max="6659" width="9.875" bestFit="1" customWidth="1"/>
    <col min="6660" max="6660" width="9" customWidth="1"/>
    <col min="6665" max="6665" width="7.625" bestFit="1" customWidth="1"/>
    <col min="6915" max="6915" width="9.875" bestFit="1" customWidth="1"/>
    <col min="6916" max="6916" width="9" customWidth="1"/>
    <col min="6921" max="6921" width="7.625" bestFit="1" customWidth="1"/>
    <col min="7171" max="7171" width="9.875" bestFit="1" customWidth="1"/>
    <col min="7172" max="7172" width="9" customWidth="1"/>
    <col min="7177" max="7177" width="7.625" bestFit="1" customWidth="1"/>
    <col min="7427" max="7427" width="9.875" bestFit="1" customWidth="1"/>
    <col min="7428" max="7428" width="9" customWidth="1"/>
    <col min="7433" max="7433" width="7.625" bestFit="1" customWidth="1"/>
    <col min="7683" max="7683" width="9.875" bestFit="1" customWidth="1"/>
    <col min="7684" max="7684" width="9" customWidth="1"/>
    <col min="7689" max="7689" width="7.625" bestFit="1" customWidth="1"/>
    <col min="7939" max="7939" width="9.875" bestFit="1" customWidth="1"/>
    <col min="7940" max="7940" width="9" customWidth="1"/>
    <col min="7945" max="7945" width="7.625" bestFit="1" customWidth="1"/>
    <col min="8195" max="8195" width="9.875" bestFit="1" customWidth="1"/>
    <col min="8196" max="8196" width="9" customWidth="1"/>
    <col min="8201" max="8201" width="7.625" bestFit="1" customWidth="1"/>
    <col min="8451" max="8451" width="9.875" bestFit="1" customWidth="1"/>
    <col min="8452" max="8452" width="9" customWidth="1"/>
    <col min="8457" max="8457" width="7.625" bestFit="1" customWidth="1"/>
    <col min="8707" max="8707" width="9.875" bestFit="1" customWidth="1"/>
    <col min="8708" max="8708" width="9" customWidth="1"/>
    <col min="8713" max="8713" width="7.625" bestFit="1" customWidth="1"/>
    <col min="8963" max="8963" width="9.875" bestFit="1" customWidth="1"/>
    <col min="8964" max="8964" width="9" customWidth="1"/>
    <col min="8969" max="8969" width="7.625" bestFit="1" customWidth="1"/>
    <col min="9219" max="9219" width="9.875" bestFit="1" customWidth="1"/>
    <col min="9220" max="9220" width="9" customWidth="1"/>
    <col min="9225" max="9225" width="7.625" bestFit="1" customWidth="1"/>
    <col min="9475" max="9475" width="9.875" bestFit="1" customWidth="1"/>
    <col min="9476" max="9476" width="9" customWidth="1"/>
    <col min="9481" max="9481" width="7.625" bestFit="1" customWidth="1"/>
    <col min="9731" max="9731" width="9.875" bestFit="1" customWidth="1"/>
    <col min="9732" max="9732" width="9" customWidth="1"/>
    <col min="9737" max="9737" width="7.625" bestFit="1" customWidth="1"/>
    <col min="9987" max="9987" width="9.875" bestFit="1" customWidth="1"/>
    <col min="9988" max="9988" width="9" customWidth="1"/>
    <col min="9993" max="9993" width="7.625" bestFit="1" customWidth="1"/>
    <col min="10243" max="10243" width="9.875" bestFit="1" customWidth="1"/>
    <col min="10244" max="10244" width="9" customWidth="1"/>
    <col min="10249" max="10249" width="7.625" bestFit="1" customWidth="1"/>
    <col min="10499" max="10499" width="9.875" bestFit="1" customWidth="1"/>
    <col min="10500" max="10500" width="9" customWidth="1"/>
    <col min="10505" max="10505" width="7.625" bestFit="1" customWidth="1"/>
    <col min="10755" max="10755" width="9.875" bestFit="1" customWidth="1"/>
    <col min="10756" max="10756" width="9" customWidth="1"/>
    <col min="10761" max="10761" width="7.625" bestFit="1" customWidth="1"/>
    <col min="11011" max="11011" width="9.875" bestFit="1" customWidth="1"/>
    <col min="11012" max="11012" width="9" customWidth="1"/>
    <col min="11017" max="11017" width="7.625" bestFit="1" customWidth="1"/>
    <col min="11267" max="11267" width="9.875" bestFit="1" customWidth="1"/>
    <col min="11268" max="11268" width="9" customWidth="1"/>
    <col min="11273" max="11273" width="7.625" bestFit="1" customWidth="1"/>
    <col min="11523" max="11523" width="9.875" bestFit="1" customWidth="1"/>
    <col min="11524" max="11524" width="9" customWidth="1"/>
    <col min="11529" max="11529" width="7.625" bestFit="1" customWidth="1"/>
    <col min="11779" max="11779" width="9.875" bestFit="1" customWidth="1"/>
    <col min="11780" max="11780" width="9" customWidth="1"/>
    <col min="11785" max="11785" width="7.625" bestFit="1" customWidth="1"/>
    <col min="12035" max="12035" width="9.875" bestFit="1" customWidth="1"/>
    <col min="12036" max="12036" width="9" customWidth="1"/>
    <col min="12041" max="12041" width="7.625" bestFit="1" customWidth="1"/>
    <col min="12291" max="12291" width="9.875" bestFit="1" customWidth="1"/>
    <col min="12292" max="12292" width="9" customWidth="1"/>
    <col min="12297" max="12297" width="7.625" bestFit="1" customWidth="1"/>
    <col min="12547" max="12547" width="9.875" bestFit="1" customWidth="1"/>
    <col min="12548" max="12548" width="9" customWidth="1"/>
    <col min="12553" max="12553" width="7.625" bestFit="1" customWidth="1"/>
    <col min="12803" max="12803" width="9.875" bestFit="1" customWidth="1"/>
    <col min="12804" max="12804" width="9" customWidth="1"/>
    <col min="12809" max="12809" width="7.625" bestFit="1" customWidth="1"/>
    <col min="13059" max="13059" width="9.875" bestFit="1" customWidth="1"/>
    <col min="13060" max="13060" width="9" customWidth="1"/>
    <col min="13065" max="13065" width="7.625" bestFit="1" customWidth="1"/>
    <col min="13315" max="13315" width="9.875" bestFit="1" customWidth="1"/>
    <col min="13316" max="13316" width="9" customWidth="1"/>
    <col min="13321" max="13321" width="7.625" bestFit="1" customWidth="1"/>
    <col min="13571" max="13571" width="9.875" bestFit="1" customWidth="1"/>
    <col min="13572" max="13572" width="9" customWidth="1"/>
    <col min="13577" max="13577" width="7.625" bestFit="1" customWidth="1"/>
    <col min="13827" max="13827" width="9.875" bestFit="1" customWidth="1"/>
    <col min="13828" max="13828" width="9" customWidth="1"/>
    <col min="13833" max="13833" width="7.625" bestFit="1" customWidth="1"/>
    <col min="14083" max="14083" width="9.875" bestFit="1" customWidth="1"/>
    <col min="14084" max="14084" width="9" customWidth="1"/>
    <col min="14089" max="14089" width="7.625" bestFit="1" customWidth="1"/>
    <col min="14339" max="14339" width="9.875" bestFit="1" customWidth="1"/>
    <col min="14340" max="14340" width="9" customWidth="1"/>
    <col min="14345" max="14345" width="7.625" bestFit="1" customWidth="1"/>
    <col min="14595" max="14595" width="9.875" bestFit="1" customWidth="1"/>
    <col min="14596" max="14596" width="9" customWidth="1"/>
    <col min="14601" max="14601" width="7.625" bestFit="1" customWidth="1"/>
    <col min="14851" max="14851" width="9.875" bestFit="1" customWidth="1"/>
    <col min="14852" max="14852" width="9" customWidth="1"/>
    <col min="14857" max="14857" width="7.625" bestFit="1" customWidth="1"/>
    <col min="15107" max="15107" width="9.875" bestFit="1" customWidth="1"/>
    <col min="15108" max="15108" width="9" customWidth="1"/>
    <col min="15113" max="15113" width="7.625" bestFit="1" customWidth="1"/>
    <col min="15363" max="15363" width="9.875" bestFit="1" customWidth="1"/>
    <col min="15364" max="15364" width="9" customWidth="1"/>
    <col min="15369" max="15369" width="7.625" bestFit="1" customWidth="1"/>
    <col min="15619" max="15619" width="9.875" bestFit="1" customWidth="1"/>
    <col min="15620" max="15620" width="9" customWidth="1"/>
    <col min="15625" max="15625" width="7.625" bestFit="1" customWidth="1"/>
    <col min="15875" max="15875" width="9.875" bestFit="1" customWidth="1"/>
    <col min="15876" max="15876" width="9" customWidth="1"/>
    <col min="15881" max="15881" width="7.625" bestFit="1" customWidth="1"/>
    <col min="16131" max="16131" width="9.875" bestFit="1" customWidth="1"/>
    <col min="16132" max="16132" width="9" customWidth="1"/>
    <col min="16137" max="16137" width="7.625" bestFit="1" customWidth="1"/>
  </cols>
  <sheetData>
    <row r="1" spans="1:27" s="2" customFormat="1" ht="35.25" customHeight="1">
      <c r="A1" s="1" t="s">
        <v>8</v>
      </c>
      <c r="B1" s="78" t="s">
        <v>99</v>
      </c>
      <c r="C1" s="78"/>
      <c r="D1" s="78"/>
      <c r="E1" s="78"/>
      <c r="F1" s="78"/>
      <c r="G1" s="78"/>
      <c r="H1" s="78"/>
      <c r="I1" s="78"/>
      <c r="J1" s="78"/>
      <c r="K1" s="91" t="s">
        <v>100</v>
      </c>
      <c r="L1" s="91"/>
      <c r="M1" s="91"/>
      <c r="N1" s="91"/>
      <c r="O1" s="91"/>
      <c r="P1" s="91"/>
      <c r="Q1" s="91"/>
      <c r="R1" s="91"/>
      <c r="S1" s="91"/>
      <c r="T1" s="91"/>
      <c r="U1" s="91"/>
    </row>
    <row r="2" spans="1:27" ht="14.25">
      <c r="A2" s="3" t="s">
        <v>23</v>
      </c>
      <c r="B2" s="79" t="s">
        <v>24</v>
      </c>
      <c r="C2" s="80"/>
      <c r="D2" s="80"/>
      <c r="E2" s="80"/>
      <c r="F2" s="80"/>
      <c r="G2" s="80"/>
      <c r="H2" s="80"/>
    </row>
    <row r="3" spans="1:27" ht="14.25">
      <c r="A3" s="3" t="s">
        <v>0</v>
      </c>
      <c r="B3" s="79" t="s">
        <v>25</v>
      </c>
      <c r="C3" s="80"/>
      <c r="D3" s="80"/>
      <c r="E3" s="80"/>
      <c r="F3" s="80"/>
      <c r="G3" s="80"/>
      <c r="H3" s="80"/>
    </row>
    <row r="4" spans="1:27" ht="14.25">
      <c r="A4" s="9" t="s">
        <v>101</v>
      </c>
      <c r="B4" s="45" t="s">
        <v>55</v>
      </c>
      <c r="C4" s="46"/>
      <c r="D4" s="46"/>
      <c r="E4" s="46"/>
      <c r="F4" s="46"/>
      <c r="G4" s="46"/>
      <c r="H4" s="46"/>
    </row>
    <row r="5" spans="1:27" ht="14.25" customHeight="1">
      <c r="A5" s="19" t="s">
        <v>167</v>
      </c>
      <c r="B5" s="5" t="s">
        <v>26</v>
      </c>
      <c r="C5" s="5" t="s">
        <v>27</v>
      </c>
      <c r="D5" s="5" t="s">
        <v>28</v>
      </c>
      <c r="E5" s="5" t="s">
        <v>56</v>
      </c>
      <c r="F5" s="5" t="s">
        <v>57</v>
      </c>
      <c r="G5" s="21" t="s">
        <v>3</v>
      </c>
      <c r="H5" s="41" t="s">
        <v>4</v>
      </c>
      <c r="I5" s="47" t="s">
        <v>29</v>
      </c>
      <c r="J5" s="19" t="s">
        <v>167</v>
      </c>
      <c r="K5" s="20" t="s">
        <v>26</v>
      </c>
      <c r="L5" s="20" t="s">
        <v>27</v>
      </c>
      <c r="M5" s="20" t="s">
        <v>28</v>
      </c>
      <c r="N5" s="20" t="s">
        <v>56</v>
      </c>
      <c r="O5" s="20" t="s">
        <v>57</v>
      </c>
      <c r="P5" s="21" t="s">
        <v>3</v>
      </c>
      <c r="Q5" s="41" t="s">
        <v>4</v>
      </c>
      <c r="R5" s="41" t="s">
        <v>29</v>
      </c>
      <c r="S5" s="19" t="s">
        <v>167</v>
      </c>
      <c r="T5" s="5" t="s">
        <v>26</v>
      </c>
      <c r="U5" s="5" t="s">
        <v>27</v>
      </c>
      <c r="V5" s="5" t="s">
        <v>28</v>
      </c>
      <c r="W5" s="5" t="s">
        <v>56</v>
      </c>
      <c r="X5" s="5" t="s">
        <v>57</v>
      </c>
      <c r="Y5" s="21" t="s">
        <v>3</v>
      </c>
      <c r="Z5" s="41" t="s">
        <v>4</v>
      </c>
      <c r="AA5" s="47" t="s">
        <v>29</v>
      </c>
    </row>
    <row r="6" spans="1:27" ht="15">
      <c r="A6" s="7" t="s">
        <v>30</v>
      </c>
      <c r="B6" s="8">
        <v>23230</v>
      </c>
      <c r="C6" s="8">
        <v>782</v>
      </c>
      <c r="D6" s="4">
        <v>10</v>
      </c>
      <c r="E6" s="8" t="s">
        <v>10</v>
      </c>
      <c r="F6" s="50">
        <v>1</v>
      </c>
      <c r="G6" s="24" t="s">
        <v>15</v>
      </c>
      <c r="H6" s="25" t="s">
        <v>6</v>
      </c>
      <c r="I6" s="48"/>
      <c r="J6" s="27" t="s">
        <v>31</v>
      </c>
      <c r="K6" s="8">
        <v>23230</v>
      </c>
      <c r="L6" s="8">
        <v>782</v>
      </c>
      <c r="M6" s="23">
        <v>10</v>
      </c>
      <c r="N6" s="28" t="s">
        <v>10</v>
      </c>
      <c r="O6" s="29">
        <v>1</v>
      </c>
      <c r="P6" s="24" t="s">
        <v>31</v>
      </c>
      <c r="Q6" s="25" t="s">
        <v>7</v>
      </c>
      <c r="R6" s="41"/>
      <c r="S6" s="7" t="s">
        <v>30</v>
      </c>
      <c r="T6" s="8">
        <v>23230</v>
      </c>
      <c r="U6" s="8">
        <v>782</v>
      </c>
      <c r="V6" s="4">
        <v>10</v>
      </c>
      <c r="W6" s="8" t="s">
        <v>10</v>
      </c>
      <c r="X6" s="50">
        <v>50</v>
      </c>
      <c r="Y6" s="24" t="s">
        <v>30</v>
      </c>
      <c r="Z6" s="25" t="s">
        <v>6</v>
      </c>
      <c r="AA6" s="48"/>
    </row>
    <row r="7" spans="1:27" ht="14.25">
      <c r="A7" s="52" t="s">
        <v>16</v>
      </c>
      <c r="B7" s="53"/>
      <c r="C7" s="6" t="s">
        <v>17</v>
      </c>
      <c r="D7" s="6" t="s">
        <v>33</v>
      </c>
      <c r="E7" s="83" t="s">
        <v>34</v>
      </c>
      <c r="F7" s="85"/>
      <c r="G7" s="84"/>
      <c r="H7" s="26" t="s">
        <v>5</v>
      </c>
      <c r="I7" s="2"/>
      <c r="J7" s="42" t="s">
        <v>16</v>
      </c>
      <c r="K7" s="43"/>
      <c r="L7" s="18" t="s">
        <v>17</v>
      </c>
      <c r="M7" s="18" t="s">
        <v>33</v>
      </c>
      <c r="N7" s="83" t="s">
        <v>34</v>
      </c>
      <c r="O7" s="85"/>
      <c r="P7" s="84"/>
      <c r="Q7" s="26" t="s">
        <v>5</v>
      </c>
      <c r="R7" s="19"/>
      <c r="S7" s="52" t="s">
        <v>16</v>
      </c>
      <c r="T7" s="53"/>
      <c r="U7" s="6" t="s">
        <v>17</v>
      </c>
      <c r="V7" s="6" t="s">
        <v>33</v>
      </c>
      <c r="W7" s="83" t="s">
        <v>34</v>
      </c>
      <c r="X7" s="85"/>
      <c r="Y7" s="84"/>
      <c r="Z7" s="26" t="s">
        <v>5</v>
      </c>
      <c r="AA7" s="2"/>
    </row>
    <row r="8" spans="1:27" ht="15">
      <c r="A8" s="54">
        <f>((C6-(INT((D6*5)/2)-0.5)*0.18)-0.2)*2</f>
        <v>1554.78</v>
      </c>
      <c r="B8" s="54">
        <f>((C6-(INT((D6*5)/2)-0.5)*0.18)+0.2)*2</f>
        <v>1555.5800000000002</v>
      </c>
      <c r="C8" s="10" t="s">
        <v>9</v>
      </c>
      <c r="D8" s="10" t="s">
        <v>9</v>
      </c>
      <c r="E8" s="87" t="s">
        <v>35</v>
      </c>
      <c r="F8" s="88"/>
      <c r="G8" s="89"/>
      <c r="H8" s="75"/>
      <c r="I8" s="55" t="s">
        <v>36</v>
      </c>
      <c r="J8" s="54">
        <f>((L6+(INT((M6*5)/2)-0.5)*0.18)-0.2)*2</f>
        <v>1572.4199999999998</v>
      </c>
      <c r="K8" s="54">
        <f>((L6+(INT((M6*5)/2)-0.5)*0.18)+0.2)*2</f>
        <v>1573.22</v>
      </c>
      <c r="L8" s="10" t="s">
        <v>9</v>
      </c>
      <c r="M8" s="10" t="s">
        <v>9</v>
      </c>
      <c r="N8" s="87" t="s">
        <v>35</v>
      </c>
      <c r="O8" s="88"/>
      <c r="P8" s="89"/>
      <c r="Q8" s="75"/>
      <c r="R8" s="55" t="s">
        <v>36</v>
      </c>
      <c r="S8" s="54">
        <f>(U6-V6/2)*2</f>
        <v>1554</v>
      </c>
      <c r="T8" s="54">
        <f>(U6+V6/2)*2</f>
        <v>1574</v>
      </c>
      <c r="U8" s="10" t="s">
        <v>9</v>
      </c>
      <c r="V8" s="10" t="s">
        <v>9</v>
      </c>
      <c r="W8" s="87" t="s">
        <v>35</v>
      </c>
      <c r="X8" s="88"/>
      <c r="Y8" s="89"/>
      <c r="Z8" s="75"/>
      <c r="AA8" s="55" t="s">
        <v>36</v>
      </c>
    </row>
    <row r="9" spans="1:27" ht="15">
      <c r="A9" s="54">
        <f>((Band13!C6-(INT((Band13!D6*5)/2)-0.5)*0.18)-0.2)*3</f>
        <v>2332.17</v>
      </c>
      <c r="B9" s="54">
        <f>((Band13!C6-(INT((Band13!D6*5)/2)-0.5)*0.18)+0.2)*3</f>
        <v>2333.3700000000003</v>
      </c>
      <c r="C9" s="10" t="s">
        <v>9</v>
      </c>
      <c r="D9" s="10" t="s">
        <v>9</v>
      </c>
      <c r="E9" s="87" t="s">
        <v>35</v>
      </c>
      <c r="F9" s="88"/>
      <c r="G9" s="89"/>
      <c r="H9" s="75"/>
      <c r="I9" s="55" t="s">
        <v>37</v>
      </c>
      <c r="J9" s="54">
        <f>((Band13!L6+(INT((Band13!M6*5)/2)-0.5)*0.18)-0.2)*3</f>
        <v>2358.6299999999997</v>
      </c>
      <c r="K9" s="54">
        <f>((Band13!L6+(INT((Band13!M6*5)/2)-0.5)*0.18)+0.2)*3</f>
        <v>2359.83</v>
      </c>
      <c r="L9" s="10" t="s">
        <v>9</v>
      </c>
      <c r="M9" s="10" t="s">
        <v>9</v>
      </c>
      <c r="N9" s="87" t="s">
        <v>35</v>
      </c>
      <c r="O9" s="88"/>
      <c r="P9" s="89"/>
      <c r="Q9" s="75"/>
      <c r="R9" s="55" t="s">
        <v>37</v>
      </c>
      <c r="S9" s="54">
        <f>(Band13!U6-Band13!V6/2)*3</f>
        <v>2331</v>
      </c>
      <c r="T9" s="54">
        <f>(Band13!U6+Band13!V6/2)*3</f>
        <v>2361</v>
      </c>
      <c r="U9" s="10" t="s">
        <v>9</v>
      </c>
      <c r="V9" s="10" t="s">
        <v>9</v>
      </c>
      <c r="W9" s="87" t="s">
        <v>35</v>
      </c>
      <c r="X9" s="88"/>
      <c r="Y9" s="89"/>
      <c r="Z9" s="75"/>
      <c r="AA9" s="55" t="s">
        <v>37</v>
      </c>
    </row>
    <row r="10" spans="1:27" ht="15">
      <c r="A10" s="54">
        <f>((Band13!C6-(INT((Band13!D6*5)/2)-0.5)*0.18)-0.2)*4</f>
        <v>3109.56</v>
      </c>
      <c r="B10" s="54">
        <f>((Band13!C6-(INT((Band13!D6*5)/2)-0.5)*0.18)+0.2)*4</f>
        <v>3111.1600000000003</v>
      </c>
      <c r="C10" s="10" t="s">
        <v>9</v>
      </c>
      <c r="D10" s="10" t="s">
        <v>9</v>
      </c>
      <c r="E10" s="87" t="s">
        <v>39</v>
      </c>
      <c r="F10" s="88"/>
      <c r="G10" s="89"/>
      <c r="H10" s="75"/>
      <c r="I10" s="55" t="s">
        <v>38</v>
      </c>
      <c r="J10" s="54">
        <f>((Band13!L6+(INT((Band13!M6*5)/2)-0.5)*0.18)-0.2)*4</f>
        <v>3144.8399999999997</v>
      </c>
      <c r="K10" s="54">
        <f>((Band13!L6+(INT((Band13!M6*5)/2)-0.5)*0.18)+0.2)*4</f>
        <v>3146.44</v>
      </c>
      <c r="L10" s="10" t="s">
        <v>9</v>
      </c>
      <c r="M10" s="10" t="s">
        <v>9</v>
      </c>
      <c r="N10" s="87" t="s">
        <v>39</v>
      </c>
      <c r="O10" s="88"/>
      <c r="P10" s="89"/>
      <c r="Q10" s="75"/>
      <c r="R10" s="55" t="s">
        <v>38</v>
      </c>
      <c r="S10" s="54">
        <f>(Band13!U6-Band13!V6/2)*4</f>
        <v>3108</v>
      </c>
      <c r="T10" s="54">
        <f>(Band13!U6+Band13!V6/2)*4</f>
        <v>3148</v>
      </c>
      <c r="U10" s="10" t="s">
        <v>9</v>
      </c>
      <c r="V10" s="10" t="s">
        <v>9</v>
      </c>
      <c r="W10" s="87" t="s">
        <v>39</v>
      </c>
      <c r="X10" s="88"/>
      <c r="Y10" s="89"/>
      <c r="Z10" s="75"/>
      <c r="AA10" s="55" t="s">
        <v>38</v>
      </c>
    </row>
    <row r="11" spans="1:27" ht="15">
      <c r="A11" s="54">
        <f>((Band13!C6-(INT((Band13!D6*5)/2)-0.5)*0.18)-0.2)*5</f>
        <v>3886.95</v>
      </c>
      <c r="B11" s="54">
        <f>((Band13!C6-(INT((Band13!D6*5)/2)-0.5)*0.18)+0.2)*5</f>
        <v>3888.9500000000003</v>
      </c>
      <c r="C11" s="10" t="s">
        <v>9</v>
      </c>
      <c r="D11" s="10" t="s">
        <v>9</v>
      </c>
      <c r="E11" s="87" t="s">
        <v>39</v>
      </c>
      <c r="F11" s="88"/>
      <c r="G11" s="89"/>
      <c r="H11" s="75"/>
      <c r="I11" s="55" t="s">
        <v>40</v>
      </c>
      <c r="J11" s="54">
        <f>((Band13!L6+(INT((Band13!M6*5)/2)-0.5)*0.18)-0.2)*5</f>
        <v>3931.0499999999997</v>
      </c>
      <c r="K11" s="54">
        <f>((Band13!L6+(INT((Band13!M6*5)/2)-0.5)*0.18)+0.2)*5</f>
        <v>3933.05</v>
      </c>
      <c r="L11" s="10" t="s">
        <v>9</v>
      </c>
      <c r="M11" s="10" t="s">
        <v>9</v>
      </c>
      <c r="N11" s="87" t="s">
        <v>39</v>
      </c>
      <c r="O11" s="88"/>
      <c r="P11" s="89"/>
      <c r="Q11" s="75"/>
      <c r="R11" s="55" t="s">
        <v>40</v>
      </c>
      <c r="S11" s="54">
        <f>(Band13!U6-Band13!V6/2)*5</f>
        <v>3885</v>
      </c>
      <c r="T11" s="54">
        <f>(Band13!U6+Band13!V6/2)*5</f>
        <v>3935</v>
      </c>
      <c r="U11" s="10" t="s">
        <v>9</v>
      </c>
      <c r="V11" s="10" t="s">
        <v>9</v>
      </c>
      <c r="W11" s="87" t="s">
        <v>39</v>
      </c>
      <c r="X11" s="88"/>
      <c r="Y11" s="89"/>
      <c r="Z11" s="75"/>
      <c r="AA11" s="55" t="s">
        <v>40</v>
      </c>
    </row>
    <row r="12" spans="1:27" ht="15">
      <c r="A12" s="54">
        <f>((Band13!C6-(INT((Band13!D6*5)/2)-0.5)*0.18)-0.2)*6</f>
        <v>4664.34</v>
      </c>
      <c r="B12" s="54">
        <f>((Band13!C6-(INT((Band13!D6*5)/2)-0.5)*0.18)+0.2)*6</f>
        <v>4666.7400000000007</v>
      </c>
      <c r="C12" s="10" t="s">
        <v>9</v>
      </c>
      <c r="D12" s="10" t="s">
        <v>9</v>
      </c>
      <c r="E12" s="87" t="s">
        <v>39</v>
      </c>
      <c r="F12" s="88"/>
      <c r="G12" s="89"/>
      <c r="H12" s="75"/>
      <c r="I12" s="55" t="s">
        <v>41</v>
      </c>
      <c r="J12" s="54">
        <f>((Band13!L6+(INT((Band13!M6*5)/2)-0.5)*0.18)-0.2)*6</f>
        <v>4717.2599999999993</v>
      </c>
      <c r="K12" s="54">
        <f>((Band13!L6+(INT((Band13!M6*5)/2)-0.5)*0.18)+0.2)*6</f>
        <v>4719.66</v>
      </c>
      <c r="L12" s="10" t="s">
        <v>9</v>
      </c>
      <c r="M12" s="10" t="s">
        <v>9</v>
      </c>
      <c r="N12" s="87" t="s">
        <v>39</v>
      </c>
      <c r="O12" s="88"/>
      <c r="P12" s="89"/>
      <c r="Q12" s="75"/>
      <c r="R12" s="55" t="s">
        <v>41</v>
      </c>
      <c r="S12" s="54">
        <f>(Band13!U6-Band13!V6/2)*6</f>
        <v>4662</v>
      </c>
      <c r="T12" s="54">
        <f>(Band13!U6+Band13!V6/2)*6</f>
        <v>4722</v>
      </c>
      <c r="U12" s="10" t="s">
        <v>9</v>
      </c>
      <c r="V12" s="10" t="s">
        <v>9</v>
      </c>
      <c r="W12" s="87" t="s">
        <v>39</v>
      </c>
      <c r="X12" s="88"/>
      <c r="Y12" s="89"/>
      <c r="Z12" s="75"/>
      <c r="AA12" s="55" t="s">
        <v>41</v>
      </c>
    </row>
    <row r="13" spans="1:27" ht="15">
      <c r="A13" s="54">
        <f>((Band13!C6-(INT((Band13!D6*5)/2)-0.5)*0.18)-0.2)*7</f>
        <v>5441.73</v>
      </c>
      <c r="B13" s="54">
        <f>((Band13!C6-(INT((Band13!D6*5)/2)-0.5)*0.18)+0.2)*7</f>
        <v>5444.5300000000007</v>
      </c>
      <c r="C13" s="10" t="s">
        <v>9</v>
      </c>
      <c r="D13" s="10" t="s">
        <v>9</v>
      </c>
      <c r="E13" s="87" t="s">
        <v>39</v>
      </c>
      <c r="F13" s="88"/>
      <c r="G13" s="89"/>
      <c r="H13" s="75"/>
      <c r="I13" s="55" t="s">
        <v>65</v>
      </c>
      <c r="J13" s="54">
        <f>((Band13!L6+(INT((Band13!M6*5)/2)-0.5)*0.18)-0.2)*7</f>
        <v>5503.4699999999993</v>
      </c>
      <c r="K13" s="54">
        <f>((Band13!L6+(INT((Band13!M6*5)/2)-0.5)*0.18)+0.2)*7</f>
        <v>5506.27</v>
      </c>
      <c r="L13" s="10" t="s">
        <v>9</v>
      </c>
      <c r="M13" s="10" t="s">
        <v>9</v>
      </c>
      <c r="N13" s="87" t="s">
        <v>39</v>
      </c>
      <c r="O13" s="88"/>
      <c r="P13" s="89"/>
      <c r="Q13" s="75"/>
      <c r="R13" s="55" t="s">
        <v>65</v>
      </c>
      <c r="S13" s="54">
        <f>(Band13!U6-Band13!V6/2)*7</f>
        <v>5439</v>
      </c>
      <c r="T13" s="54">
        <f>(Band13!U6+Band13!V6/2)*7</f>
        <v>5509</v>
      </c>
      <c r="U13" s="10" t="s">
        <v>9</v>
      </c>
      <c r="V13" s="10" t="s">
        <v>9</v>
      </c>
      <c r="W13" s="87" t="s">
        <v>39</v>
      </c>
      <c r="X13" s="88"/>
      <c r="Y13" s="89"/>
      <c r="Z13" s="75"/>
      <c r="AA13" s="55" t="s">
        <v>65</v>
      </c>
    </row>
    <row r="14" spans="1:27" ht="15">
      <c r="A14" s="54">
        <f>((Band13!C6-(INT((Band13!D6*5)/2)-0.5)*0.18)-0.2)*8</f>
        <v>6219.12</v>
      </c>
      <c r="B14" s="54">
        <f>((Band13!C6-(INT((Band13!D6*5)/2)-0.5)*0.18)+0.2)*8</f>
        <v>6222.3200000000006</v>
      </c>
      <c r="C14" s="10" t="s">
        <v>9</v>
      </c>
      <c r="D14" s="10" t="s">
        <v>9</v>
      </c>
      <c r="E14" s="87" t="s">
        <v>39</v>
      </c>
      <c r="F14" s="88"/>
      <c r="G14" s="89"/>
      <c r="H14" s="75"/>
      <c r="I14" s="55" t="s">
        <v>68</v>
      </c>
      <c r="J14" s="54">
        <f>((Band13!L6+(INT((Band13!M6*5)/2)-0.5)*0.18)-0.2)*8</f>
        <v>6289.6799999999994</v>
      </c>
      <c r="K14" s="54">
        <f>((Band13!L6+(INT((Band13!M6*5)/2)-0.5)*0.18)+0.2)*8</f>
        <v>6292.88</v>
      </c>
      <c r="L14" s="10" t="s">
        <v>9</v>
      </c>
      <c r="M14" s="10" t="s">
        <v>9</v>
      </c>
      <c r="N14" s="87" t="s">
        <v>39</v>
      </c>
      <c r="O14" s="88"/>
      <c r="P14" s="89"/>
      <c r="Q14" s="75"/>
      <c r="R14" s="55" t="s">
        <v>68</v>
      </c>
      <c r="S14" s="54">
        <f>(Band13!U6-Band13!V6/2)*8</f>
        <v>6216</v>
      </c>
      <c r="T14" s="54">
        <f>(Band13!U6+Band13!V6/2)*8</f>
        <v>6296</v>
      </c>
      <c r="U14" s="10" t="s">
        <v>9</v>
      </c>
      <c r="V14" s="10" t="s">
        <v>9</v>
      </c>
      <c r="W14" s="87" t="s">
        <v>39</v>
      </c>
      <c r="X14" s="88"/>
      <c r="Y14" s="89"/>
      <c r="Z14" s="75"/>
      <c r="AA14" s="55" t="s">
        <v>68</v>
      </c>
    </row>
    <row r="15" spans="1:27" ht="15">
      <c r="A15" s="54">
        <f>((Band13!C6-(INT((Band13!D6*5)/2)-0.5)*0.18)-0.2)*9</f>
        <v>6996.51</v>
      </c>
      <c r="B15" s="54">
        <f>((Band13!C6-(INT((Band13!D6*5)/2)-0.5)*0.18)+0.2)*9</f>
        <v>7000.1100000000006</v>
      </c>
      <c r="C15" s="10" t="s">
        <v>9</v>
      </c>
      <c r="D15" s="10" t="s">
        <v>9</v>
      </c>
      <c r="E15" s="87" t="s">
        <v>39</v>
      </c>
      <c r="F15" s="88"/>
      <c r="G15" s="89"/>
      <c r="H15" s="75"/>
      <c r="I15" s="55" t="s">
        <v>71</v>
      </c>
      <c r="J15" s="54">
        <f>((Band13!L6+(INT((Band13!M6*5)/2)-0.5)*0.18)-0.2)*9</f>
        <v>7075.8899999999994</v>
      </c>
      <c r="K15" s="54">
        <f>((Band13!L6+(INT((Band13!M6*5)/2)-0.5)*0.18)+0.2)*9</f>
        <v>7079.49</v>
      </c>
      <c r="L15" s="10" t="s">
        <v>9</v>
      </c>
      <c r="M15" s="10" t="s">
        <v>9</v>
      </c>
      <c r="N15" s="87" t="s">
        <v>39</v>
      </c>
      <c r="O15" s="88"/>
      <c r="P15" s="89"/>
      <c r="Q15" s="75"/>
      <c r="R15" s="55" t="s">
        <v>71</v>
      </c>
      <c r="S15" s="54">
        <f>(Band13!U6-Band13!V6/2)*9</f>
        <v>6993</v>
      </c>
      <c r="T15" s="54">
        <f>(Band13!U6+Band13!V6/2)*9</f>
        <v>7083</v>
      </c>
      <c r="U15" s="10" t="s">
        <v>9</v>
      </c>
      <c r="V15" s="10" t="s">
        <v>9</v>
      </c>
      <c r="W15" s="87" t="s">
        <v>39</v>
      </c>
      <c r="X15" s="88"/>
      <c r="Y15" s="89"/>
      <c r="Z15" s="75"/>
      <c r="AA15" s="55" t="s">
        <v>71</v>
      </c>
    </row>
    <row r="16" spans="1:27" ht="15">
      <c r="A16" s="54">
        <f>((Band13!C6-(INT((Band13!D6*5)/2)-0.5)*0.18)-0.2)*10</f>
        <v>7773.9</v>
      </c>
      <c r="B16" s="54">
        <f>((Band13!C6-(INT((Band13!D6*5)/2)-0.5)*0.18)+0.2)*10</f>
        <v>7777.9000000000005</v>
      </c>
      <c r="C16" s="10" t="s">
        <v>9</v>
      </c>
      <c r="D16" s="10" t="s">
        <v>9</v>
      </c>
      <c r="E16" s="87" t="s">
        <v>39</v>
      </c>
      <c r="F16" s="88"/>
      <c r="G16" s="89"/>
      <c r="H16" s="75"/>
      <c r="I16" s="55" t="s">
        <v>74</v>
      </c>
      <c r="J16" s="54">
        <f>((Band13!L6+(INT((Band13!M6*5)/2)-0.5)*0.18)-0.2)*10</f>
        <v>7862.0999999999995</v>
      </c>
      <c r="K16" s="54">
        <f>((Band13!L6+(INT((Band13!M6*5)/2)-0.5)*0.18)+0.2)*10</f>
        <v>7866.1</v>
      </c>
      <c r="L16" s="10" t="s">
        <v>9</v>
      </c>
      <c r="M16" s="10" t="s">
        <v>9</v>
      </c>
      <c r="N16" s="87" t="s">
        <v>39</v>
      </c>
      <c r="O16" s="88"/>
      <c r="P16" s="89"/>
      <c r="Q16" s="75"/>
      <c r="R16" s="55" t="s">
        <v>74</v>
      </c>
      <c r="S16" s="54">
        <f>(Band13!U6-Band13!V6/2)*10</f>
        <v>7770</v>
      </c>
      <c r="T16" s="54">
        <f>(Band13!U6+Band13!V6/2)*10</f>
        <v>7870</v>
      </c>
      <c r="U16" s="10" t="s">
        <v>9</v>
      </c>
      <c r="V16" s="10" t="s">
        <v>9</v>
      </c>
      <c r="W16" s="87" t="s">
        <v>39</v>
      </c>
      <c r="X16" s="88"/>
      <c r="Y16" s="89"/>
      <c r="Z16" s="75"/>
      <c r="AA16" s="55" t="s">
        <v>74</v>
      </c>
    </row>
    <row r="17" spans="1:27" ht="15">
      <c r="A17" s="54">
        <f>((Band13!C6-(INT((Band13!D6*5)/2)-0.5)*0.18)-0.2)*11</f>
        <v>8551.2899999999991</v>
      </c>
      <c r="B17" s="54">
        <f>((Band13!C6-(INT((Band13!D6*5)/2)-0.5)*0.18)+0.2)*11</f>
        <v>8555.69</v>
      </c>
      <c r="C17" s="10" t="s">
        <v>9</v>
      </c>
      <c r="D17" s="10" t="s">
        <v>9</v>
      </c>
      <c r="E17" s="87" t="s">
        <v>39</v>
      </c>
      <c r="F17" s="88"/>
      <c r="G17" s="89"/>
      <c r="H17" s="75"/>
      <c r="I17" s="55" t="s">
        <v>77</v>
      </c>
      <c r="J17" s="54">
        <f>((Band13!L6+(INT((Band13!M6*5)/2)-0.5)*0.18)-0.2)*11</f>
        <v>8648.31</v>
      </c>
      <c r="K17" s="54">
        <f>((Band13!L6+(INT((Band13!M6*5)/2)-0.5)*0.18)+0.2)*11</f>
        <v>8652.7100000000009</v>
      </c>
      <c r="L17" s="10" t="s">
        <v>9</v>
      </c>
      <c r="M17" s="10" t="s">
        <v>9</v>
      </c>
      <c r="N17" s="87" t="s">
        <v>39</v>
      </c>
      <c r="O17" s="88"/>
      <c r="P17" s="89"/>
      <c r="Q17" s="75"/>
      <c r="R17" s="55" t="s">
        <v>77</v>
      </c>
      <c r="S17" s="54">
        <f>(Band13!U6-Band13!V6/2)*11</f>
        <v>8547</v>
      </c>
      <c r="T17" s="54">
        <f>(Band13!U6+Band13!V6/2)*11</f>
        <v>8657</v>
      </c>
      <c r="U17" s="10" t="s">
        <v>9</v>
      </c>
      <c r="V17" s="10" t="s">
        <v>9</v>
      </c>
      <c r="W17" s="87" t="s">
        <v>39</v>
      </c>
      <c r="X17" s="88"/>
      <c r="Y17" s="89"/>
      <c r="Z17" s="75"/>
      <c r="AA17" s="55" t="s">
        <v>77</v>
      </c>
    </row>
    <row r="18" spans="1:27" ht="15">
      <c r="A18" s="54">
        <f>((Band13!C6-(INT((Band13!D6*5)/2)-0.5)*0.18)-0.2)*12</f>
        <v>9328.68</v>
      </c>
      <c r="B18" s="54">
        <f>((Band13!C6-(INT((Band13!D6*5)/2)-0.5)*0.18)+0.2)*12</f>
        <v>9333.4800000000014</v>
      </c>
      <c r="C18" s="10" t="s">
        <v>9</v>
      </c>
      <c r="D18" s="10" t="s">
        <v>9</v>
      </c>
      <c r="E18" s="87" t="s">
        <v>39</v>
      </c>
      <c r="F18" s="88"/>
      <c r="G18" s="89"/>
      <c r="H18" s="75"/>
      <c r="I18" s="55" t="s">
        <v>80</v>
      </c>
      <c r="J18" s="54">
        <f>((Band13!L6+(INT((Band13!M6*5)/2)-0.5)*0.18)-0.2)*12</f>
        <v>9434.5199999999986</v>
      </c>
      <c r="K18" s="54">
        <f>((Band13!L6+(INT((Band13!M6*5)/2)-0.5)*0.18)+0.2)*12</f>
        <v>9439.32</v>
      </c>
      <c r="L18" s="10" t="s">
        <v>9</v>
      </c>
      <c r="M18" s="10" t="s">
        <v>9</v>
      </c>
      <c r="N18" s="87" t="s">
        <v>39</v>
      </c>
      <c r="O18" s="88"/>
      <c r="P18" s="89"/>
      <c r="Q18" s="75"/>
      <c r="R18" s="55" t="s">
        <v>80</v>
      </c>
      <c r="S18" s="54">
        <f>(Band13!U6-Band13!V6/2)*12</f>
        <v>9324</v>
      </c>
      <c r="T18" s="54">
        <f>(Band13!U6+Band13!V6/2)*12</f>
        <v>9444</v>
      </c>
      <c r="U18" s="10" t="s">
        <v>9</v>
      </c>
      <c r="V18" s="10" t="s">
        <v>9</v>
      </c>
      <c r="W18" s="87" t="s">
        <v>39</v>
      </c>
      <c r="X18" s="88"/>
      <c r="Y18" s="89"/>
      <c r="Z18" s="75"/>
      <c r="AA18" s="55" t="s">
        <v>80</v>
      </c>
    </row>
    <row r="19" spans="1:27" ht="15">
      <c r="A19" s="54">
        <f>((Band13!C6-(INT((Band13!D6*5)/2)-0.5)*0.18)-0.2)*13</f>
        <v>10106.07</v>
      </c>
      <c r="B19" s="54">
        <f>((Band13!C6-(INT((Band13!D6*5)/2)-0.5)*0.18)+0.2)*13</f>
        <v>10111.27</v>
      </c>
      <c r="C19" s="10" t="s">
        <v>9</v>
      </c>
      <c r="D19" s="10" t="s">
        <v>9</v>
      </c>
      <c r="E19" s="87" t="s">
        <v>39</v>
      </c>
      <c r="F19" s="88"/>
      <c r="G19" s="89"/>
      <c r="H19" s="75"/>
      <c r="I19" s="55" t="s">
        <v>83</v>
      </c>
      <c r="J19" s="54">
        <f>((Band13!L6+(INT((Band13!M6*5)/2)-0.5)*0.18)-0.2)*13</f>
        <v>10220.73</v>
      </c>
      <c r="K19" s="54">
        <f>((Band13!L6+(INT((Band13!M6*5)/2)-0.5)*0.18)+0.2)*13</f>
        <v>10225.93</v>
      </c>
      <c r="L19" s="10" t="s">
        <v>9</v>
      </c>
      <c r="M19" s="10" t="s">
        <v>9</v>
      </c>
      <c r="N19" s="87" t="s">
        <v>39</v>
      </c>
      <c r="O19" s="88"/>
      <c r="P19" s="89"/>
      <c r="Q19" s="75"/>
      <c r="R19" s="55" t="s">
        <v>83</v>
      </c>
      <c r="S19" s="54">
        <f>(Band13!U6-Band13!V6/2)*13</f>
        <v>10101</v>
      </c>
      <c r="T19" s="54">
        <f>(Band13!U6+Band13!V6/2)*13</f>
        <v>10231</v>
      </c>
      <c r="U19" s="10" t="s">
        <v>9</v>
      </c>
      <c r="V19" s="10" t="s">
        <v>9</v>
      </c>
      <c r="W19" s="87" t="s">
        <v>39</v>
      </c>
      <c r="X19" s="88"/>
      <c r="Y19" s="89"/>
      <c r="Z19" s="75"/>
      <c r="AA19" s="55" t="s">
        <v>83</v>
      </c>
    </row>
    <row r="20" spans="1:27" ht="15">
      <c r="A20" s="54">
        <f>((Band13!C6-(INT((Band13!D6*5)/2)-0.5)*0.18)-0.2)*14</f>
        <v>10883.46</v>
      </c>
      <c r="B20" s="54">
        <f>((Band13!C6-(INT((Band13!D6*5)/2)-0.5)*0.18)+0.2)*14</f>
        <v>10889.060000000001</v>
      </c>
      <c r="C20" s="10" t="s">
        <v>9</v>
      </c>
      <c r="D20" s="10" t="s">
        <v>9</v>
      </c>
      <c r="E20" s="87" t="s">
        <v>39</v>
      </c>
      <c r="F20" s="88"/>
      <c r="G20" s="89"/>
      <c r="H20" s="75"/>
      <c r="I20" s="55" t="s">
        <v>86</v>
      </c>
      <c r="J20" s="54">
        <f>((Band13!L6+(INT((Band13!M6*5)/2)-0.5)*0.18)-0.2)*14</f>
        <v>11006.939999999999</v>
      </c>
      <c r="K20" s="54">
        <f>((Band13!L6+(INT((Band13!M6*5)/2)-0.5)*0.18)+0.2)*14</f>
        <v>11012.54</v>
      </c>
      <c r="L20" s="10" t="s">
        <v>9</v>
      </c>
      <c r="M20" s="10" t="s">
        <v>9</v>
      </c>
      <c r="N20" s="87" t="s">
        <v>39</v>
      </c>
      <c r="O20" s="88"/>
      <c r="P20" s="89"/>
      <c r="Q20" s="75"/>
      <c r="R20" s="55" t="s">
        <v>86</v>
      </c>
      <c r="S20" s="54">
        <f>(Band13!U6-Band13!V6/2)*14</f>
        <v>10878</v>
      </c>
      <c r="T20" s="54">
        <f>(Band13!U6+Band13!V6/2)*14</f>
        <v>11018</v>
      </c>
      <c r="U20" s="10" t="s">
        <v>9</v>
      </c>
      <c r="V20" s="10" t="s">
        <v>9</v>
      </c>
      <c r="W20" s="87" t="s">
        <v>39</v>
      </c>
      <c r="X20" s="88"/>
      <c r="Y20" s="89"/>
      <c r="Z20" s="75"/>
      <c r="AA20" s="55" t="s">
        <v>86</v>
      </c>
    </row>
    <row r="21" spans="1:27" ht="15">
      <c r="A21" s="54">
        <f>((Band13!C6-(INT((Band13!D6*5)/2)-0.5)*0.18)-0.2)*15</f>
        <v>11660.85</v>
      </c>
      <c r="B21" s="54">
        <f>((Band13!C6-(INT((Band13!D6*5)/2)-0.5)*0.18)+0.2)*15</f>
        <v>11666.85</v>
      </c>
      <c r="C21" s="10" t="s">
        <v>9</v>
      </c>
      <c r="D21" s="10" t="s">
        <v>9</v>
      </c>
      <c r="E21" s="87" t="s">
        <v>39</v>
      </c>
      <c r="F21" s="88"/>
      <c r="G21" s="89"/>
      <c r="H21" s="75"/>
      <c r="I21" s="55" t="s">
        <v>90</v>
      </c>
      <c r="J21" s="54">
        <f>((Band13!L6+(INT((Band13!M6*5)/2)-0.5)*0.18)-0.2)*15</f>
        <v>11793.15</v>
      </c>
      <c r="K21" s="54">
        <f>((Band13!L6+(INT((Band13!M6*5)/2)-0.5)*0.18)+0.2)*15</f>
        <v>11799.15</v>
      </c>
      <c r="L21" s="10" t="s">
        <v>9</v>
      </c>
      <c r="M21" s="10" t="s">
        <v>9</v>
      </c>
      <c r="N21" s="87" t="s">
        <v>39</v>
      </c>
      <c r="O21" s="88"/>
      <c r="P21" s="89"/>
      <c r="Q21" s="75"/>
      <c r="R21" s="55" t="s">
        <v>90</v>
      </c>
      <c r="S21" s="54">
        <f>(Band13!U6-Band13!V6/2)*15</f>
        <v>11655</v>
      </c>
      <c r="T21" s="54">
        <f>(Band13!U6+Band13!V6/2)*15</f>
        <v>11805</v>
      </c>
      <c r="U21" s="10" t="s">
        <v>9</v>
      </c>
      <c r="V21" s="10" t="s">
        <v>9</v>
      </c>
      <c r="W21" s="87" t="s">
        <v>39</v>
      </c>
      <c r="X21" s="88"/>
      <c r="Y21" s="89"/>
      <c r="Z21" s="75"/>
      <c r="AA21" s="55" t="s">
        <v>90</v>
      </c>
    </row>
    <row r="49" spans="1:8">
      <c r="B49" t="s">
        <v>152</v>
      </c>
      <c r="E49" t="s">
        <v>153</v>
      </c>
      <c r="H49" t="s">
        <v>154</v>
      </c>
    </row>
    <row r="50" spans="1:8">
      <c r="A50">
        <v>1554780000</v>
      </c>
      <c r="B50" s="72">
        <v>-70.205955509999995</v>
      </c>
      <c r="D50">
        <v>1572420000</v>
      </c>
      <c r="E50" s="72">
        <v>-70.420799259999995</v>
      </c>
      <c r="G50">
        <v>1554000000</v>
      </c>
      <c r="H50" s="72">
        <v>-70.742454530000003</v>
      </c>
    </row>
    <row r="51" spans="1:8">
      <c r="A51">
        <v>1554781603.2064128</v>
      </c>
      <c r="B51" s="72">
        <v>-70.078300479999996</v>
      </c>
      <c r="D51">
        <v>1572421603.2064128</v>
      </c>
      <c r="E51" s="72">
        <v>-70.406265259999998</v>
      </c>
      <c r="G51">
        <v>1554040080.1603208</v>
      </c>
      <c r="H51" s="72">
        <v>-70.497016909999999</v>
      </c>
    </row>
    <row r="52" spans="1:8">
      <c r="A52">
        <v>1554783206.4128256</v>
      </c>
      <c r="B52" s="72">
        <v>-70.282112119999994</v>
      </c>
      <c r="D52">
        <v>1572423206.4128256</v>
      </c>
      <c r="E52" s="72">
        <v>-70.365905760000004</v>
      </c>
      <c r="G52">
        <v>1554080160.3206415</v>
      </c>
      <c r="H52" s="72">
        <v>-70.667434689999993</v>
      </c>
    </row>
    <row r="53" spans="1:8">
      <c r="A53">
        <v>1554784809.6192384</v>
      </c>
      <c r="B53" s="72">
        <v>-70.284767149999993</v>
      </c>
      <c r="D53">
        <v>1572424809.6192384</v>
      </c>
      <c r="E53" s="72">
        <v>-70.235656739999996</v>
      </c>
      <c r="G53">
        <v>1554120240.4809623</v>
      </c>
      <c r="H53" s="72">
        <v>-70.529502870000002</v>
      </c>
    </row>
    <row r="54" spans="1:8">
      <c r="A54">
        <v>1554786412.8256512</v>
      </c>
      <c r="B54" s="72">
        <v>-70.204292300000006</v>
      </c>
      <c r="D54">
        <v>1572426412.8256512</v>
      </c>
      <c r="E54" s="72">
        <v>-70.402854919999996</v>
      </c>
      <c r="G54">
        <v>1554160320.641283</v>
      </c>
      <c r="H54" s="72">
        <v>-70.534492490000005</v>
      </c>
    </row>
    <row r="55" spans="1:8">
      <c r="A55">
        <v>1554788016.032064</v>
      </c>
      <c r="B55" s="72">
        <v>-70.235755920000003</v>
      </c>
      <c r="D55">
        <v>1572428016.032064</v>
      </c>
      <c r="E55" s="72">
        <v>-70.215476989999999</v>
      </c>
      <c r="G55">
        <v>1554200400.8016038</v>
      </c>
      <c r="H55" s="72">
        <v>-70.660072330000006</v>
      </c>
    </row>
    <row r="56" spans="1:8">
      <c r="A56">
        <v>1554789619.2384768</v>
      </c>
      <c r="B56" s="72">
        <v>-70.184799190000007</v>
      </c>
      <c r="D56">
        <v>1572429619.2384768</v>
      </c>
      <c r="E56" s="72">
        <v>-70.388076780000006</v>
      </c>
      <c r="G56">
        <v>1554240480.9619246</v>
      </c>
      <c r="H56" s="72">
        <v>-70.4931488</v>
      </c>
    </row>
    <row r="57" spans="1:8">
      <c r="A57">
        <v>1554791222.4448895</v>
      </c>
      <c r="B57" s="72">
        <v>-70.153289790000002</v>
      </c>
      <c r="D57">
        <v>1572431222.4448895</v>
      </c>
      <c r="E57" s="72">
        <v>-70.438774109999997</v>
      </c>
      <c r="G57">
        <v>1554280561.1222453</v>
      </c>
      <c r="H57" s="72">
        <v>-70.668617249999997</v>
      </c>
    </row>
    <row r="58" spans="1:8">
      <c r="A58">
        <v>1554792825.6513023</v>
      </c>
      <c r="B58" s="72">
        <v>-69.995109560000003</v>
      </c>
      <c r="D58">
        <v>1572432825.6513023</v>
      </c>
      <c r="E58" s="72">
        <v>-70.362815859999998</v>
      </c>
      <c r="G58">
        <v>1554320641.2825661</v>
      </c>
      <c r="H58" s="72">
        <v>-70.463394170000001</v>
      </c>
    </row>
    <row r="59" spans="1:8">
      <c r="A59">
        <v>1554794428.8577151</v>
      </c>
      <c r="B59" s="72">
        <v>-70.258796689999997</v>
      </c>
      <c r="D59">
        <v>1572434428.8577151</v>
      </c>
      <c r="E59" s="72">
        <v>-70.357337950000002</v>
      </c>
      <c r="G59">
        <v>1554360721.4428868</v>
      </c>
      <c r="H59" s="72">
        <v>-70.68937683</v>
      </c>
    </row>
    <row r="60" spans="1:8">
      <c r="A60">
        <v>1554796032.0641279</v>
      </c>
      <c r="B60" s="72">
        <v>-70.149726869999995</v>
      </c>
      <c r="D60">
        <v>1572436032.0641279</v>
      </c>
      <c r="E60" s="72">
        <v>-70.172927860000001</v>
      </c>
      <c r="G60">
        <v>1554400801.6032076</v>
      </c>
      <c r="H60" s="72">
        <v>-70.547721859999996</v>
      </c>
    </row>
    <row r="61" spans="1:8">
      <c r="A61">
        <v>1554797635.2705407</v>
      </c>
      <c r="B61" s="72">
        <v>-70.392776490000003</v>
      </c>
      <c r="D61">
        <v>1572437635.2705407</v>
      </c>
      <c r="E61" s="72">
        <v>-70.256240840000004</v>
      </c>
      <c r="G61">
        <v>1554440881.7635283</v>
      </c>
      <c r="H61" s="72">
        <v>-70.714439389999995</v>
      </c>
    </row>
    <row r="62" spans="1:8">
      <c r="A62">
        <v>1554799238.4769535</v>
      </c>
      <c r="B62" s="72">
        <v>-70.208786009999997</v>
      </c>
      <c r="D62">
        <v>1572439238.4769535</v>
      </c>
      <c r="E62" s="72">
        <v>-70.156349180000007</v>
      </c>
      <c r="G62">
        <v>1554480961.9238491</v>
      </c>
      <c r="H62" s="72">
        <v>-70.578727720000003</v>
      </c>
    </row>
    <row r="63" spans="1:8">
      <c r="A63">
        <v>1554800841.6833663</v>
      </c>
      <c r="B63" s="72">
        <v>-70.227760309999994</v>
      </c>
      <c r="D63">
        <v>1572440841.6833663</v>
      </c>
      <c r="E63" s="72">
        <v>-70.482070919999998</v>
      </c>
      <c r="G63">
        <v>1554521042.0841699</v>
      </c>
      <c r="H63" s="72">
        <v>-70.690048219999994</v>
      </c>
    </row>
    <row r="64" spans="1:8">
      <c r="A64">
        <v>1554802444.8897791</v>
      </c>
      <c r="B64" s="72">
        <v>-70.212783810000005</v>
      </c>
      <c r="D64">
        <v>1572442444.8897791</v>
      </c>
      <c r="E64" s="72">
        <v>-70.228195189999994</v>
      </c>
      <c r="G64">
        <v>1554561122.2444906</v>
      </c>
      <c r="H64" s="72">
        <v>-70.552619930000006</v>
      </c>
    </row>
    <row r="65" spans="1:8">
      <c r="A65">
        <v>1554804048.0961919</v>
      </c>
      <c r="B65" s="72">
        <v>-70.206588749999995</v>
      </c>
      <c r="D65">
        <v>1572444048.0961919</v>
      </c>
      <c r="E65" s="72">
        <v>-70.231056210000006</v>
      </c>
      <c r="G65">
        <v>1554601202.4048114</v>
      </c>
      <c r="H65" s="72">
        <v>-70.489791870000005</v>
      </c>
    </row>
    <row r="66" spans="1:8">
      <c r="A66">
        <v>1554805651.3026047</v>
      </c>
      <c r="B66" s="72">
        <v>-70.283843989999994</v>
      </c>
      <c r="D66">
        <v>1572445651.3026047</v>
      </c>
      <c r="E66" s="72">
        <v>-70.344818119999999</v>
      </c>
      <c r="G66">
        <v>1554641282.5651321</v>
      </c>
      <c r="H66" s="72">
        <v>-70.79875183</v>
      </c>
    </row>
    <row r="67" spans="1:8">
      <c r="A67">
        <v>1554807254.5090175</v>
      </c>
      <c r="B67" s="72">
        <v>-70.214126590000006</v>
      </c>
      <c r="D67">
        <v>1572447254.5090175</v>
      </c>
      <c r="E67" s="72">
        <v>-70.260482789999998</v>
      </c>
      <c r="G67">
        <v>1554681362.7254529</v>
      </c>
      <c r="H67" s="72">
        <v>-70.392326350000005</v>
      </c>
    </row>
    <row r="68" spans="1:8">
      <c r="A68">
        <v>1554808857.7154303</v>
      </c>
      <c r="B68" s="72">
        <v>-70.158256530000003</v>
      </c>
      <c r="D68">
        <v>1572448857.7154303</v>
      </c>
      <c r="E68" s="72">
        <v>-70.250106810000005</v>
      </c>
      <c r="G68">
        <v>1554721442.8857737</v>
      </c>
      <c r="H68" s="72">
        <v>-70.58280182</v>
      </c>
    </row>
    <row r="69" spans="1:8">
      <c r="A69">
        <v>1554810460.9218431</v>
      </c>
      <c r="B69" s="72">
        <v>-70.253540040000004</v>
      </c>
      <c r="D69">
        <v>1572450460.9218431</v>
      </c>
      <c r="E69" s="72">
        <v>-70.132797240000002</v>
      </c>
      <c r="G69">
        <v>1554761523.0460944</v>
      </c>
      <c r="H69" s="72">
        <v>-70.86891937</v>
      </c>
    </row>
    <row r="70" spans="1:8">
      <c r="A70">
        <v>1554812064.1282558</v>
      </c>
      <c r="B70" s="72">
        <v>-70.129806520000002</v>
      </c>
      <c r="D70">
        <v>1572452064.1282558</v>
      </c>
      <c r="E70" s="72">
        <v>-70.177948000000001</v>
      </c>
      <c r="G70">
        <v>1554801603.2064152</v>
      </c>
      <c r="H70" s="72">
        <v>-70.391502380000006</v>
      </c>
    </row>
    <row r="71" spans="1:8">
      <c r="A71">
        <v>1554813667.3346686</v>
      </c>
      <c r="B71" s="72">
        <v>-70.319778439999993</v>
      </c>
      <c r="D71">
        <v>1572453667.3346686</v>
      </c>
      <c r="E71" s="72">
        <v>-70.288757320000002</v>
      </c>
      <c r="G71">
        <v>1554841683.3667359</v>
      </c>
      <c r="H71" s="72">
        <v>-70.495063779999995</v>
      </c>
    </row>
    <row r="72" spans="1:8">
      <c r="A72">
        <v>1554815270.5410814</v>
      </c>
      <c r="B72" s="72">
        <v>-70.419105529999996</v>
      </c>
      <c r="D72">
        <v>1572455270.5410814</v>
      </c>
      <c r="E72" s="72">
        <v>-70.22795868</v>
      </c>
      <c r="G72">
        <v>1554881763.5270567</v>
      </c>
      <c r="H72" s="72">
        <v>-70.525550839999994</v>
      </c>
    </row>
    <row r="73" spans="1:8">
      <c r="A73">
        <v>1554816873.7474942</v>
      </c>
      <c r="B73" s="72">
        <v>-70.282112119999994</v>
      </c>
      <c r="D73">
        <v>1572456873.7474942</v>
      </c>
      <c r="E73" s="72">
        <v>-70.309951780000006</v>
      </c>
      <c r="G73">
        <v>1554921843.6873775</v>
      </c>
      <c r="H73" s="72">
        <v>-70.607429499999995</v>
      </c>
    </row>
    <row r="74" spans="1:8">
      <c r="A74">
        <v>1554818476.953907</v>
      </c>
      <c r="B74" s="72">
        <v>-70.257301330000004</v>
      </c>
      <c r="D74">
        <v>1572458476.953907</v>
      </c>
      <c r="E74" s="72">
        <v>-70.524826050000001</v>
      </c>
      <c r="G74">
        <v>1554961923.8476982</v>
      </c>
      <c r="H74" s="72">
        <v>-70.856285099999994</v>
      </c>
    </row>
    <row r="75" spans="1:8">
      <c r="A75">
        <v>1554820080.1603198</v>
      </c>
      <c r="B75" s="72">
        <v>-69.920455930000003</v>
      </c>
      <c r="D75">
        <v>1572460080.1603198</v>
      </c>
      <c r="E75" s="72">
        <v>-70.391090390000002</v>
      </c>
      <c r="G75">
        <v>1555002004.008019</v>
      </c>
      <c r="H75" s="72">
        <v>-70.498283389999997</v>
      </c>
    </row>
    <row r="76" spans="1:8">
      <c r="A76">
        <v>1554821683.3667326</v>
      </c>
      <c r="B76" s="72">
        <v>-69.766830440000007</v>
      </c>
      <c r="D76">
        <v>1572461683.3667326</v>
      </c>
      <c r="E76" s="72">
        <v>-70.306747439999995</v>
      </c>
      <c r="G76">
        <v>1555042084.1683397</v>
      </c>
      <c r="H76" s="72">
        <v>-70.611343379999994</v>
      </c>
    </row>
    <row r="77" spans="1:8">
      <c r="A77">
        <v>1554823286.5731454</v>
      </c>
      <c r="B77" s="72">
        <v>-70.280418400000002</v>
      </c>
      <c r="D77">
        <v>1572463286.5731454</v>
      </c>
      <c r="E77" s="72">
        <v>-70.234596249999996</v>
      </c>
      <c r="G77">
        <v>1555082164.3286605</v>
      </c>
      <c r="H77" s="72">
        <v>-70.529754639999993</v>
      </c>
    </row>
    <row r="78" spans="1:8">
      <c r="A78">
        <v>1554824889.7795582</v>
      </c>
      <c r="B78" s="72">
        <v>-70.000320430000002</v>
      </c>
      <c r="D78">
        <v>1572464889.7795582</v>
      </c>
      <c r="E78" s="72">
        <v>-70.503181459999993</v>
      </c>
      <c r="G78">
        <v>1555122244.4889812</v>
      </c>
      <c r="H78" s="72">
        <v>-70.603538510000007</v>
      </c>
    </row>
    <row r="79" spans="1:8">
      <c r="A79">
        <v>1554826492.985971</v>
      </c>
      <c r="B79" s="72">
        <v>-70.182464600000003</v>
      </c>
      <c r="D79">
        <v>1572466492.985971</v>
      </c>
      <c r="E79" s="72">
        <v>-70.254104609999999</v>
      </c>
      <c r="G79">
        <v>1555162324.649302</v>
      </c>
      <c r="H79" s="72">
        <v>-70.527221679999997</v>
      </c>
    </row>
    <row r="80" spans="1:8">
      <c r="A80">
        <v>1554828096.1923838</v>
      </c>
      <c r="B80" s="72">
        <v>-70.23075867</v>
      </c>
      <c r="D80">
        <v>1572468096.1923838</v>
      </c>
      <c r="E80" s="72">
        <v>-70.473876950000005</v>
      </c>
      <c r="G80">
        <v>1555202404.8096228</v>
      </c>
      <c r="H80" s="72">
        <v>-70.417617800000002</v>
      </c>
    </row>
    <row r="81" spans="1:8">
      <c r="A81">
        <v>1554829699.3987966</v>
      </c>
      <c r="B81" s="72">
        <v>-69.981376650000001</v>
      </c>
      <c r="D81">
        <v>1572469699.3987966</v>
      </c>
      <c r="E81" s="72">
        <v>-70.435974119999997</v>
      </c>
      <c r="G81">
        <v>1555242484.9699435</v>
      </c>
      <c r="H81" s="72">
        <v>-70.607192990000001</v>
      </c>
    </row>
    <row r="82" spans="1:8">
      <c r="A82">
        <v>1554831302.6052094</v>
      </c>
      <c r="B82" s="72">
        <v>-70.128112790000003</v>
      </c>
      <c r="D82">
        <v>1572471302.6052094</v>
      </c>
      <c r="E82" s="72">
        <v>-70.205787659999999</v>
      </c>
      <c r="G82">
        <v>1555282565.1302643</v>
      </c>
      <c r="H82" s="72">
        <v>-70.940826419999993</v>
      </c>
    </row>
    <row r="83" spans="1:8">
      <c r="A83">
        <v>1554832905.8116221</v>
      </c>
      <c r="B83" s="72">
        <v>-70.041564940000001</v>
      </c>
      <c r="D83">
        <v>1572472905.8116221</v>
      </c>
      <c r="E83" s="72">
        <v>-70.260513309999993</v>
      </c>
      <c r="G83">
        <v>1555322645.290585</v>
      </c>
      <c r="H83" s="72">
        <v>-70.485679630000007</v>
      </c>
    </row>
    <row r="84" spans="1:8">
      <c r="A84">
        <v>1554834509.0180349</v>
      </c>
      <c r="B84" s="72">
        <v>-70.28877258</v>
      </c>
      <c r="D84">
        <v>1572474509.0180349</v>
      </c>
      <c r="E84" s="72">
        <v>-70.312950130000004</v>
      </c>
      <c r="G84">
        <v>1555362725.4509058</v>
      </c>
      <c r="H84" s="72">
        <v>-70.556495670000004</v>
      </c>
    </row>
    <row r="85" spans="1:8">
      <c r="A85">
        <v>1554836112.2244477</v>
      </c>
      <c r="B85" s="72">
        <v>-70.370796200000001</v>
      </c>
      <c r="D85">
        <v>1572476112.2244477</v>
      </c>
      <c r="E85" s="72">
        <v>-70.521194460000004</v>
      </c>
      <c r="G85">
        <v>1555402805.6112266</v>
      </c>
      <c r="H85" s="72">
        <v>-70.773925779999999</v>
      </c>
    </row>
    <row r="86" spans="1:8">
      <c r="A86">
        <v>1554837715.4308605</v>
      </c>
      <c r="B86" s="72">
        <v>-70.017890929999993</v>
      </c>
      <c r="D86">
        <v>1572477715.4308605</v>
      </c>
      <c r="E86" s="72">
        <v>-70.331581119999996</v>
      </c>
      <c r="G86">
        <v>1555442885.7715473</v>
      </c>
      <c r="H86" s="72">
        <v>-70.316589359999995</v>
      </c>
    </row>
    <row r="87" spans="1:8">
      <c r="A87">
        <v>1554839318.6372733</v>
      </c>
      <c r="B87" s="72">
        <v>-70.137802120000003</v>
      </c>
      <c r="D87">
        <v>1572479318.6372733</v>
      </c>
      <c r="E87" s="72">
        <v>-70.268714900000006</v>
      </c>
      <c r="G87">
        <v>1555482965.9318681</v>
      </c>
      <c r="H87" s="72">
        <v>-70.580665589999995</v>
      </c>
    </row>
    <row r="88" spans="1:8">
      <c r="A88">
        <v>1554840921.8436861</v>
      </c>
      <c r="B88" s="72">
        <v>-70.190078740000004</v>
      </c>
      <c r="D88">
        <v>1572480921.8436861</v>
      </c>
      <c r="E88" s="72">
        <v>-70.313339229999997</v>
      </c>
      <c r="G88">
        <v>1555523046.0921888</v>
      </c>
      <c r="H88" s="72">
        <v>-70.551361080000007</v>
      </c>
    </row>
    <row r="89" spans="1:8">
      <c r="A89">
        <v>1554842525.0500989</v>
      </c>
      <c r="B89" s="72">
        <v>-70.021102909999996</v>
      </c>
      <c r="D89">
        <v>1572482525.0500989</v>
      </c>
      <c r="E89" s="72">
        <v>-70.298263550000001</v>
      </c>
      <c r="G89">
        <v>1555563126.2525096</v>
      </c>
      <c r="H89" s="72">
        <v>-70.52951813</v>
      </c>
    </row>
    <row r="90" spans="1:8">
      <c r="A90">
        <v>1554844128.2565117</v>
      </c>
      <c r="B90" s="72">
        <v>-70.277229309999996</v>
      </c>
      <c r="D90">
        <v>1572484128.2565117</v>
      </c>
      <c r="E90" s="72">
        <v>-70.208625789999999</v>
      </c>
      <c r="G90">
        <v>1555603206.4128304</v>
      </c>
      <c r="H90" s="72">
        <v>-70.529739379999995</v>
      </c>
    </row>
    <row r="91" spans="1:8">
      <c r="A91">
        <v>1554845731.4629245</v>
      </c>
      <c r="B91" s="72">
        <v>-70.111030580000005</v>
      </c>
      <c r="D91">
        <v>1572485731.4629245</v>
      </c>
      <c r="E91" s="72">
        <v>-70.301055910000002</v>
      </c>
      <c r="G91">
        <v>1555643286.5731511</v>
      </c>
      <c r="H91" s="72">
        <v>-70.723411560000002</v>
      </c>
    </row>
    <row r="92" spans="1:8">
      <c r="A92">
        <v>1554847334.6693373</v>
      </c>
      <c r="B92" s="72">
        <v>-70.209190370000002</v>
      </c>
      <c r="D92">
        <v>1572487334.6693373</v>
      </c>
      <c r="E92" s="72">
        <v>-70.364303590000006</v>
      </c>
      <c r="G92">
        <v>1555683366.7334719</v>
      </c>
      <c r="H92" s="72">
        <v>-70.575515749999994</v>
      </c>
    </row>
    <row r="93" spans="1:8">
      <c r="A93">
        <v>1554848937.8757501</v>
      </c>
      <c r="B93" s="72">
        <v>-70.283859250000006</v>
      </c>
      <c r="D93">
        <v>1572488937.8757501</v>
      </c>
      <c r="E93" s="72">
        <v>-70.238510129999995</v>
      </c>
      <c r="G93">
        <v>1555723446.8937926</v>
      </c>
      <c r="H93" s="72">
        <v>-70.809951780000006</v>
      </c>
    </row>
    <row r="94" spans="1:8">
      <c r="A94">
        <v>1554850541.0821629</v>
      </c>
      <c r="B94" s="72">
        <v>-70.246536250000005</v>
      </c>
      <c r="D94">
        <v>1572490541.0821629</v>
      </c>
      <c r="E94" s="72">
        <v>-70.286270139999999</v>
      </c>
      <c r="G94">
        <v>1555763527.0541134</v>
      </c>
      <c r="H94" s="72">
        <v>-70.579391479999998</v>
      </c>
    </row>
    <row r="95" spans="1:8">
      <c r="A95">
        <v>1554852144.2885756</v>
      </c>
      <c r="B95" s="72">
        <v>-70.209793090000005</v>
      </c>
      <c r="D95">
        <v>1572492144.2885756</v>
      </c>
      <c r="E95" s="72">
        <v>-70.285339359999995</v>
      </c>
      <c r="G95">
        <v>1555803607.2144341</v>
      </c>
      <c r="H95" s="72">
        <v>-70.635238650000005</v>
      </c>
    </row>
    <row r="96" spans="1:8">
      <c r="A96">
        <v>1554853747.4949884</v>
      </c>
      <c r="B96" s="72">
        <v>-70.38956451</v>
      </c>
      <c r="D96">
        <v>1572493747.4949884</v>
      </c>
      <c r="E96" s="72">
        <v>-70.253890990000002</v>
      </c>
      <c r="G96">
        <v>1555843687.3747549</v>
      </c>
      <c r="H96" s="72">
        <v>-70.635696409999994</v>
      </c>
    </row>
    <row r="97" spans="1:8">
      <c r="A97">
        <v>1554855350.7014012</v>
      </c>
      <c r="B97" s="72">
        <v>-70.366004939999996</v>
      </c>
      <c r="D97">
        <v>1572495350.7014012</v>
      </c>
      <c r="E97" s="72">
        <v>-70.272117609999995</v>
      </c>
      <c r="G97">
        <v>1555883767.5350757</v>
      </c>
      <c r="H97" s="72">
        <v>-70.502395629999995</v>
      </c>
    </row>
    <row r="98" spans="1:8">
      <c r="A98">
        <v>1554856953.907814</v>
      </c>
      <c r="B98" s="72">
        <v>-70.097061159999996</v>
      </c>
      <c r="D98">
        <v>1572496953.907814</v>
      </c>
      <c r="E98" s="72">
        <v>-70.135559079999993</v>
      </c>
      <c r="G98">
        <v>1555923847.6953964</v>
      </c>
      <c r="H98" s="72">
        <v>-70.426856990000005</v>
      </c>
    </row>
    <row r="99" spans="1:8">
      <c r="A99">
        <v>1554858557.1142268</v>
      </c>
      <c r="B99" s="72">
        <v>-69.948165889999999</v>
      </c>
      <c r="D99">
        <v>1572498557.1142268</v>
      </c>
      <c r="E99" s="72">
        <v>-70.148590089999999</v>
      </c>
      <c r="G99">
        <v>1555963927.8557172</v>
      </c>
      <c r="H99" s="72">
        <v>-70.443473819999994</v>
      </c>
    </row>
    <row r="100" spans="1:8">
      <c r="A100">
        <v>1554860160.3206396</v>
      </c>
      <c r="B100" s="72">
        <v>-70.126602169999998</v>
      </c>
      <c r="D100">
        <v>1572500160.3206396</v>
      </c>
      <c r="E100" s="72">
        <v>-70.159179690000002</v>
      </c>
      <c r="G100">
        <v>1556004008.0160379</v>
      </c>
      <c r="H100" s="72">
        <v>-70.603797909999997</v>
      </c>
    </row>
    <row r="101" spans="1:8">
      <c r="A101">
        <v>1554861763.5270524</v>
      </c>
      <c r="B101" s="72">
        <v>-70.072250370000006</v>
      </c>
      <c r="D101">
        <v>1572501763.5270524</v>
      </c>
      <c r="E101" s="72">
        <v>-70.41545868</v>
      </c>
      <c r="G101">
        <v>1556044088.1763587</v>
      </c>
      <c r="H101" s="72">
        <v>-70.549423219999994</v>
      </c>
    </row>
    <row r="102" spans="1:8">
      <c r="A102">
        <v>1554863366.7334652</v>
      </c>
      <c r="B102" s="72">
        <v>-70.154632570000004</v>
      </c>
      <c r="D102">
        <v>1572503366.7334652</v>
      </c>
      <c r="E102" s="72">
        <v>-70.277542109999999</v>
      </c>
      <c r="G102">
        <v>1556084168.3366795</v>
      </c>
      <c r="H102" s="72">
        <v>-70.668609619999998</v>
      </c>
    </row>
    <row r="103" spans="1:8">
      <c r="A103">
        <v>1554864969.939878</v>
      </c>
      <c r="B103" s="72">
        <v>-69.946624760000006</v>
      </c>
      <c r="D103">
        <v>1572504969.939878</v>
      </c>
      <c r="E103" s="72">
        <v>-70.17640686</v>
      </c>
      <c r="G103">
        <v>1556124248.4970002</v>
      </c>
      <c r="H103" s="72">
        <v>-70.531448359999999</v>
      </c>
    </row>
    <row r="104" spans="1:8">
      <c r="A104">
        <v>1554866573.1462908</v>
      </c>
      <c r="B104" s="72">
        <v>-70.058029169999998</v>
      </c>
      <c r="D104">
        <v>1572506573.1462908</v>
      </c>
      <c r="E104" s="72">
        <v>-70.16111755</v>
      </c>
      <c r="G104">
        <v>1556164328.657321</v>
      </c>
      <c r="H104" s="72">
        <v>-70.701797490000004</v>
      </c>
    </row>
    <row r="105" spans="1:8">
      <c r="A105">
        <v>1554868176.3527036</v>
      </c>
      <c r="B105" s="72">
        <v>-69.898666379999995</v>
      </c>
      <c r="D105">
        <v>1572508176.3527036</v>
      </c>
      <c r="E105" s="72">
        <v>-70.313148499999997</v>
      </c>
      <c r="G105">
        <v>1556204408.8176417</v>
      </c>
      <c r="H105" s="72">
        <v>-70.521400450000002</v>
      </c>
    </row>
    <row r="106" spans="1:8">
      <c r="A106">
        <v>1554869779.5591164</v>
      </c>
      <c r="B106" s="72">
        <v>-69.791297909999997</v>
      </c>
      <c r="D106">
        <v>1572509779.5591164</v>
      </c>
      <c r="E106" s="72">
        <v>-70.131515500000006</v>
      </c>
      <c r="G106">
        <v>1556244488.9779625</v>
      </c>
      <c r="H106" s="72">
        <v>-70.640785219999998</v>
      </c>
    </row>
    <row r="107" spans="1:8">
      <c r="A107">
        <v>1554871382.7655292</v>
      </c>
      <c r="B107" s="72">
        <v>-69.748237610000004</v>
      </c>
      <c r="D107">
        <v>1572511382.7655292</v>
      </c>
      <c r="E107" s="72">
        <v>-70.334777829999993</v>
      </c>
      <c r="G107">
        <v>1556284569.1382833</v>
      </c>
      <c r="H107" s="72">
        <v>-70.333076480000003</v>
      </c>
    </row>
    <row r="108" spans="1:8">
      <c r="A108">
        <v>1554872985.9719419</v>
      </c>
      <c r="B108" s="72">
        <v>-69.940567020000003</v>
      </c>
      <c r="D108">
        <v>1572512985.9719419</v>
      </c>
      <c r="E108" s="72">
        <v>-70.448623659999996</v>
      </c>
      <c r="G108">
        <v>1556324649.298604</v>
      </c>
      <c r="H108" s="72">
        <v>-70.47733307</v>
      </c>
    </row>
    <row r="109" spans="1:8">
      <c r="A109">
        <v>1554874589.1783547</v>
      </c>
      <c r="B109" s="72">
        <v>-70.25559998</v>
      </c>
      <c r="D109">
        <v>1572514589.1783547</v>
      </c>
      <c r="E109" s="72">
        <v>-70.290451050000001</v>
      </c>
      <c r="G109">
        <v>1556364729.4589248</v>
      </c>
      <c r="H109" s="72">
        <v>-70.363243100000005</v>
      </c>
    </row>
    <row r="110" spans="1:8">
      <c r="A110">
        <v>1554876192.3847675</v>
      </c>
      <c r="B110" s="72">
        <v>-70.292221069999997</v>
      </c>
      <c r="D110">
        <v>1572516192.3847675</v>
      </c>
      <c r="E110" s="72">
        <v>-70.233627319999997</v>
      </c>
      <c r="G110">
        <v>1556404809.6192455</v>
      </c>
      <c r="H110" s="72">
        <v>-70.496154790000006</v>
      </c>
    </row>
    <row r="111" spans="1:8">
      <c r="A111">
        <v>1554877795.5911803</v>
      </c>
      <c r="B111" s="72">
        <v>-69.973991389999995</v>
      </c>
      <c r="D111">
        <v>1572517795.5911803</v>
      </c>
      <c r="E111" s="72">
        <v>-70.549423219999994</v>
      </c>
      <c r="G111">
        <v>1556444889.7795663</v>
      </c>
      <c r="H111" s="72">
        <v>-70.384231569999997</v>
      </c>
    </row>
    <row r="112" spans="1:8">
      <c r="A112">
        <v>1554879398.7975931</v>
      </c>
      <c r="B112" s="72">
        <v>-70.018241880000005</v>
      </c>
      <c r="D112">
        <v>1572519398.7975931</v>
      </c>
      <c r="E112" s="72">
        <v>-70.163024899999996</v>
      </c>
      <c r="G112">
        <v>1556484969.939887</v>
      </c>
      <c r="H112" s="72">
        <v>-70.584526060000002</v>
      </c>
    </row>
    <row r="113" spans="1:8">
      <c r="A113">
        <v>1554881002.0040059</v>
      </c>
      <c r="B113" s="72">
        <v>-70.044776920000004</v>
      </c>
      <c r="D113">
        <v>1572521002.0040059</v>
      </c>
      <c r="E113" s="72">
        <v>-70.445175169999999</v>
      </c>
      <c r="G113">
        <v>1556525050.1002078</v>
      </c>
      <c r="H113" s="72">
        <v>-70.606994630000003</v>
      </c>
    </row>
    <row r="114" spans="1:8">
      <c r="A114">
        <v>1554882605.2104187</v>
      </c>
      <c r="B114" s="72">
        <v>-70.207290650000004</v>
      </c>
      <c r="D114">
        <v>1572522605.2104187</v>
      </c>
      <c r="E114" s="72">
        <v>-70.148231510000002</v>
      </c>
      <c r="G114">
        <v>1556565130.2605286</v>
      </c>
      <c r="H114" s="72">
        <v>-70.547172549999999</v>
      </c>
    </row>
    <row r="115" spans="1:8">
      <c r="A115">
        <v>1554884208.4168315</v>
      </c>
      <c r="B115" s="72">
        <v>-70.256729129999997</v>
      </c>
      <c r="D115">
        <v>1572524208.4168315</v>
      </c>
      <c r="E115" s="72">
        <v>-70.018051150000005</v>
      </c>
      <c r="G115">
        <v>1556605210.4208493</v>
      </c>
      <c r="H115" s="72">
        <v>-70.668617249999997</v>
      </c>
    </row>
    <row r="116" spans="1:8">
      <c r="A116">
        <v>1554885811.6232443</v>
      </c>
      <c r="B116" s="72">
        <v>-70.078842159999994</v>
      </c>
      <c r="D116">
        <v>1572525811.6232443</v>
      </c>
      <c r="E116" s="72">
        <v>-70.224563599999996</v>
      </c>
      <c r="G116">
        <v>1556645290.5811701</v>
      </c>
      <c r="H116" s="72">
        <v>-70.600143430000003</v>
      </c>
    </row>
    <row r="117" spans="1:8">
      <c r="A117">
        <v>1554887414.8296571</v>
      </c>
      <c r="B117" s="72">
        <v>-70.153488159999995</v>
      </c>
      <c r="D117">
        <v>1572527414.8296571</v>
      </c>
      <c r="E117" s="72">
        <v>-70.362243649999996</v>
      </c>
      <c r="G117">
        <v>1556685370.7414908</v>
      </c>
      <c r="H117" s="72">
        <v>-70.696884159999996</v>
      </c>
    </row>
    <row r="118" spans="1:8">
      <c r="A118">
        <v>1554889018.0360699</v>
      </c>
      <c r="B118" s="72">
        <v>-69.998321529999998</v>
      </c>
      <c r="D118">
        <v>1572529018.0360699</v>
      </c>
      <c r="E118" s="72">
        <v>-70.072418209999995</v>
      </c>
      <c r="G118">
        <v>1556725450.9018116</v>
      </c>
      <c r="H118" s="72">
        <v>-70.470016479999998</v>
      </c>
    </row>
    <row r="119" spans="1:8">
      <c r="A119">
        <v>1554890621.2424827</v>
      </c>
      <c r="B119" s="72">
        <v>-70.25752258</v>
      </c>
      <c r="D119">
        <v>1572530621.2424827</v>
      </c>
      <c r="E119" s="72">
        <v>-70.584068299999998</v>
      </c>
      <c r="G119">
        <v>1556765531.0621324</v>
      </c>
      <c r="H119" s="72">
        <v>-70.674713130000001</v>
      </c>
    </row>
    <row r="120" spans="1:8">
      <c r="A120">
        <v>1554892224.4488955</v>
      </c>
      <c r="B120" s="72">
        <v>-70.19767761</v>
      </c>
      <c r="D120">
        <v>1572532224.4488955</v>
      </c>
      <c r="E120" s="72">
        <v>-70.349609369999996</v>
      </c>
      <c r="G120">
        <v>1556805611.2224531</v>
      </c>
      <c r="H120" s="72">
        <v>-70.583869930000006</v>
      </c>
    </row>
    <row r="121" spans="1:8">
      <c r="A121">
        <v>1554893827.6553082</v>
      </c>
      <c r="B121" s="72">
        <v>-69.873321529999998</v>
      </c>
      <c r="D121">
        <v>1572533827.6553082</v>
      </c>
      <c r="E121" s="72">
        <v>-70.389328000000006</v>
      </c>
      <c r="G121">
        <v>1556845691.3827739</v>
      </c>
      <c r="H121" s="72">
        <v>-70.898422240000002</v>
      </c>
    </row>
    <row r="122" spans="1:8">
      <c r="A122">
        <v>1554895430.861721</v>
      </c>
      <c r="B122" s="72">
        <v>-70.001174930000005</v>
      </c>
      <c r="D122">
        <v>1572535430.861721</v>
      </c>
      <c r="E122" s="72">
        <v>-70.179840089999999</v>
      </c>
      <c r="G122">
        <v>1556885771.5430946</v>
      </c>
      <c r="H122" s="72">
        <v>-70.682518009999995</v>
      </c>
    </row>
    <row r="123" spans="1:8">
      <c r="A123">
        <v>1554897034.0681338</v>
      </c>
      <c r="B123" s="72">
        <v>-70.332870479999997</v>
      </c>
      <c r="D123">
        <v>1572537034.0681338</v>
      </c>
      <c r="E123" s="72">
        <v>-70.125106810000005</v>
      </c>
      <c r="G123">
        <v>1556925851.7034154</v>
      </c>
      <c r="H123" s="72">
        <v>-70.659828189999999</v>
      </c>
    </row>
    <row r="124" spans="1:8">
      <c r="A124">
        <v>1554898637.2745466</v>
      </c>
      <c r="B124" s="72">
        <v>-70.235504149999997</v>
      </c>
      <c r="D124">
        <v>1572538637.2745466</v>
      </c>
      <c r="E124" s="72">
        <v>-70.201240540000001</v>
      </c>
      <c r="G124">
        <v>1556965931.8637362</v>
      </c>
      <c r="H124" s="72">
        <v>-70.659416199999995</v>
      </c>
    </row>
    <row r="125" spans="1:8">
      <c r="A125">
        <v>1554900240.4809594</v>
      </c>
      <c r="B125" s="72">
        <v>-69.825332639999999</v>
      </c>
      <c r="D125">
        <v>1572540240.4809594</v>
      </c>
      <c r="E125" s="72">
        <v>-70.526321409999994</v>
      </c>
      <c r="G125">
        <v>1557006012.0240569</v>
      </c>
      <c r="H125" s="72">
        <v>-70.645378109999996</v>
      </c>
    </row>
    <row r="126" spans="1:8">
      <c r="A126">
        <v>1554901843.6873722</v>
      </c>
      <c r="B126" s="72">
        <v>-70.287971499999998</v>
      </c>
      <c r="D126">
        <v>1572541843.6873722</v>
      </c>
      <c r="E126" s="72">
        <v>-70.278724670000003</v>
      </c>
      <c r="G126">
        <v>1557046092.1843777</v>
      </c>
      <c r="H126" s="72">
        <v>-70.366874690000003</v>
      </c>
    </row>
    <row r="127" spans="1:8">
      <c r="A127">
        <v>1554903446.893785</v>
      </c>
      <c r="B127" s="72">
        <v>-70.109962460000006</v>
      </c>
      <c r="D127">
        <v>1572543446.893785</v>
      </c>
      <c r="E127" s="72">
        <v>-70.389122009999994</v>
      </c>
      <c r="G127">
        <v>1557086172.3446984</v>
      </c>
      <c r="H127" s="72">
        <v>-70.333076480000003</v>
      </c>
    </row>
    <row r="128" spans="1:8">
      <c r="A128">
        <v>1554905050.1001978</v>
      </c>
      <c r="B128" s="72">
        <v>-70.254104609999999</v>
      </c>
      <c r="D128">
        <v>1572545050.1001978</v>
      </c>
      <c r="E128" s="72">
        <v>-70.29919434</v>
      </c>
      <c r="G128">
        <v>1557126252.5050192</v>
      </c>
      <c r="H128" s="72">
        <v>-70.699539180000002</v>
      </c>
    </row>
    <row r="129" spans="1:8">
      <c r="A129">
        <v>1554906653.3066106</v>
      </c>
      <c r="B129" s="72">
        <v>-70.055526729999997</v>
      </c>
      <c r="D129">
        <v>1572546653.3066106</v>
      </c>
      <c r="E129" s="72">
        <v>-70.473449709999997</v>
      </c>
      <c r="G129">
        <v>1557166332.6653399</v>
      </c>
      <c r="H129" s="72">
        <v>-70.613830570000005</v>
      </c>
    </row>
    <row r="130" spans="1:8">
      <c r="A130">
        <v>1554908256.5130234</v>
      </c>
      <c r="B130" s="72">
        <v>-70.060562129999994</v>
      </c>
      <c r="D130">
        <v>1572548256.5130234</v>
      </c>
      <c r="E130" s="72">
        <v>-70.104278559999997</v>
      </c>
      <c r="G130">
        <v>1557206412.8256607</v>
      </c>
      <c r="H130" s="72">
        <v>-70.635238650000005</v>
      </c>
    </row>
    <row r="131" spans="1:8">
      <c r="A131">
        <v>1554909859.7194362</v>
      </c>
      <c r="B131" s="72">
        <v>-69.953727720000003</v>
      </c>
      <c r="D131">
        <v>1572549859.7194362</v>
      </c>
      <c r="E131" s="72">
        <v>-70.229263309999993</v>
      </c>
      <c r="G131">
        <v>1557246492.9859815</v>
      </c>
      <c r="H131" s="72">
        <v>-70.607421869999996</v>
      </c>
    </row>
    <row r="132" spans="1:8">
      <c r="A132">
        <v>1554911462.925849</v>
      </c>
      <c r="B132" s="72">
        <v>-69.930252080000002</v>
      </c>
      <c r="D132">
        <v>1572551462.925849</v>
      </c>
      <c r="E132" s="72">
        <v>-70.281929020000007</v>
      </c>
      <c r="G132">
        <v>1557286573.1463022</v>
      </c>
      <c r="H132" s="72">
        <v>-70.774124150000006</v>
      </c>
    </row>
    <row r="133" spans="1:8">
      <c r="A133">
        <v>1554913066.1322618</v>
      </c>
      <c r="B133" s="72">
        <v>-70.204444890000005</v>
      </c>
      <c r="D133">
        <v>1572553066.1322618</v>
      </c>
      <c r="E133" s="72">
        <v>-70.057876590000006</v>
      </c>
      <c r="G133">
        <v>1557326653.306623</v>
      </c>
      <c r="H133" s="72">
        <v>-70.742469790000001</v>
      </c>
    </row>
    <row r="134" spans="1:8">
      <c r="A134">
        <v>1554914669.3386745</v>
      </c>
      <c r="B134" s="72">
        <v>-70.030136110000001</v>
      </c>
      <c r="D134">
        <v>1572554669.3386745</v>
      </c>
      <c r="E134" s="72">
        <v>-70.286659240000006</v>
      </c>
      <c r="G134">
        <v>1557366733.4669437</v>
      </c>
      <c r="H134" s="72">
        <v>-70.724922179999993</v>
      </c>
    </row>
    <row r="135" spans="1:8">
      <c r="A135">
        <v>1554916272.5450873</v>
      </c>
      <c r="B135" s="72">
        <v>-70.081497189999993</v>
      </c>
      <c r="D135">
        <v>1572556272.5450873</v>
      </c>
      <c r="E135" s="72">
        <v>-70.35175323</v>
      </c>
      <c r="G135">
        <v>1557406813.6272645</v>
      </c>
      <c r="H135" s="72">
        <v>-70.665428160000005</v>
      </c>
    </row>
    <row r="136" spans="1:8">
      <c r="A136">
        <v>1554917875.7515001</v>
      </c>
      <c r="B136" s="72">
        <v>-70.185943600000002</v>
      </c>
      <c r="D136">
        <v>1572557875.7515001</v>
      </c>
      <c r="E136" s="72">
        <v>-70.080360409999997</v>
      </c>
      <c r="G136">
        <v>1557446893.7875853</v>
      </c>
      <c r="H136" s="72">
        <v>-70.636962890000007</v>
      </c>
    </row>
    <row r="137" spans="1:8">
      <c r="A137">
        <v>1554919478.9579129</v>
      </c>
      <c r="B137" s="72">
        <v>-70.125099180000007</v>
      </c>
      <c r="D137">
        <v>1572559478.9579129</v>
      </c>
      <c r="E137" s="72">
        <v>-70.156578060000001</v>
      </c>
      <c r="G137">
        <v>1557486973.947906</v>
      </c>
      <c r="H137" s="72">
        <v>-70.473442079999998</v>
      </c>
    </row>
    <row r="138" spans="1:8">
      <c r="A138">
        <v>1554921082.1643257</v>
      </c>
      <c r="B138" s="72">
        <v>-70.15919495</v>
      </c>
      <c r="D138">
        <v>1572561082.1643257</v>
      </c>
      <c r="E138" s="72">
        <v>-70.175544740000007</v>
      </c>
      <c r="G138">
        <v>1557527054.1082268</v>
      </c>
      <c r="H138" s="72">
        <v>-70.453964229999997</v>
      </c>
    </row>
    <row r="139" spans="1:8">
      <c r="A139">
        <v>1554922685.3707385</v>
      </c>
      <c r="B139" s="72">
        <v>-70.006095889999997</v>
      </c>
      <c r="D139">
        <v>1572562685.3707385</v>
      </c>
      <c r="E139" s="72">
        <v>-70.201843260000004</v>
      </c>
      <c r="G139">
        <v>1557567134.2685475</v>
      </c>
      <c r="H139" s="72">
        <v>-70.618415830000004</v>
      </c>
    </row>
    <row r="140" spans="1:8">
      <c r="A140">
        <v>1554924288.5771513</v>
      </c>
      <c r="B140" s="72">
        <v>-70.189308170000004</v>
      </c>
      <c r="D140">
        <v>1572564288.5771513</v>
      </c>
      <c r="E140" s="72">
        <v>-70.302932740000003</v>
      </c>
      <c r="G140">
        <v>1557607214.4288683</v>
      </c>
      <c r="H140" s="72">
        <v>-70.608932499999995</v>
      </c>
    </row>
    <row r="141" spans="1:8">
      <c r="A141">
        <v>1554925891.7835641</v>
      </c>
      <c r="B141" s="72">
        <v>-70.155227659999994</v>
      </c>
      <c r="D141">
        <v>1572565891.7835641</v>
      </c>
      <c r="E141" s="72">
        <v>-70.021301269999995</v>
      </c>
      <c r="G141">
        <v>1557647294.5891891</v>
      </c>
      <c r="H141" s="72">
        <v>-70.606246949999999</v>
      </c>
    </row>
    <row r="142" spans="1:8">
      <c r="A142">
        <v>1554927494.9899769</v>
      </c>
      <c r="B142" s="72">
        <v>-70.189498900000004</v>
      </c>
      <c r="D142">
        <v>1572567494.9899769</v>
      </c>
      <c r="E142" s="72">
        <v>-70.074531559999997</v>
      </c>
      <c r="G142">
        <v>1557687374.7495098</v>
      </c>
      <c r="H142" s="72">
        <v>-70.341171259999996</v>
      </c>
    </row>
    <row r="143" spans="1:8">
      <c r="A143">
        <v>1554929098.1963897</v>
      </c>
      <c r="B143" s="72">
        <v>-70.095573430000002</v>
      </c>
      <c r="D143">
        <v>1572569098.1963897</v>
      </c>
      <c r="E143" s="72">
        <v>-70.364738459999998</v>
      </c>
      <c r="G143">
        <v>1557727454.9098306</v>
      </c>
      <c r="H143" s="72">
        <v>-70.638656620000006</v>
      </c>
    </row>
    <row r="144" spans="1:8">
      <c r="A144">
        <v>1554930701.4028025</v>
      </c>
      <c r="B144" s="72">
        <v>-70.048988339999994</v>
      </c>
      <c r="D144">
        <v>1572570701.4028025</v>
      </c>
      <c r="E144" s="72">
        <v>-70.199729919999996</v>
      </c>
      <c r="G144">
        <v>1557767535.0701513</v>
      </c>
      <c r="H144" s="72">
        <v>-70.367362979999996</v>
      </c>
    </row>
    <row r="145" spans="1:8">
      <c r="A145">
        <v>1554932304.6092153</v>
      </c>
      <c r="B145" s="72">
        <v>-69.968429569999998</v>
      </c>
      <c r="D145">
        <v>1572572304.6092153</v>
      </c>
      <c r="E145" s="72">
        <v>-70.266777039999994</v>
      </c>
      <c r="G145">
        <v>1557807615.2304721</v>
      </c>
      <c r="H145" s="72">
        <v>-70.389122009999994</v>
      </c>
    </row>
    <row r="146" spans="1:8">
      <c r="A146">
        <v>1554933907.8156281</v>
      </c>
      <c r="B146" s="72">
        <v>-70.199539180000002</v>
      </c>
      <c r="D146">
        <v>1572573907.8156281</v>
      </c>
      <c r="E146" s="72">
        <v>-70.283485409999997</v>
      </c>
      <c r="G146">
        <v>1557847695.3907928</v>
      </c>
      <c r="H146" s="72">
        <v>-70.55377197</v>
      </c>
    </row>
    <row r="147" spans="1:8">
      <c r="A147">
        <v>1554935511.0220408</v>
      </c>
      <c r="B147" s="72">
        <v>-70.101776119999997</v>
      </c>
      <c r="D147">
        <v>1572575511.0220408</v>
      </c>
      <c r="E147" s="72">
        <v>-70.052330019999999</v>
      </c>
      <c r="G147">
        <v>1557887775.5511136</v>
      </c>
      <c r="H147" s="72">
        <v>-70.535278320000003</v>
      </c>
    </row>
    <row r="148" spans="1:8">
      <c r="A148">
        <v>1554937114.2284536</v>
      </c>
      <c r="B148" s="72">
        <v>-70.162323000000001</v>
      </c>
      <c r="D148">
        <v>1572577114.2284536</v>
      </c>
      <c r="E148" s="72">
        <v>-70.049324040000002</v>
      </c>
      <c r="G148">
        <v>1557927855.7114344</v>
      </c>
      <c r="H148" s="72">
        <v>-70.527801510000003</v>
      </c>
    </row>
    <row r="149" spans="1:8">
      <c r="A149">
        <v>1554938717.4348664</v>
      </c>
      <c r="B149" s="72">
        <v>-70.032058719999995</v>
      </c>
      <c r="D149">
        <v>1572578717.4348664</v>
      </c>
      <c r="E149" s="72">
        <v>-70.133453369999998</v>
      </c>
      <c r="G149">
        <v>1557967935.8717551</v>
      </c>
      <c r="H149" s="72">
        <v>-70.447563169999995</v>
      </c>
    </row>
    <row r="150" spans="1:8">
      <c r="A150">
        <v>1554940320.6412792</v>
      </c>
      <c r="B150" s="72">
        <v>-70.185531620000006</v>
      </c>
      <c r="D150">
        <v>1572580320.6412792</v>
      </c>
      <c r="E150" s="72">
        <v>-70.14858246</v>
      </c>
      <c r="G150">
        <v>1558008016.0320759</v>
      </c>
      <c r="H150" s="72">
        <v>-70.76200867</v>
      </c>
    </row>
    <row r="151" spans="1:8">
      <c r="A151">
        <v>1554941923.847692</v>
      </c>
      <c r="B151" s="72">
        <v>-70.018249510000004</v>
      </c>
      <c r="D151">
        <v>1572581923.847692</v>
      </c>
      <c r="E151" s="72">
        <v>-70.104820250000003</v>
      </c>
      <c r="G151">
        <v>1558048096.1923966</v>
      </c>
      <c r="H151" s="72">
        <v>-70.73688507</v>
      </c>
    </row>
    <row r="152" spans="1:8">
      <c r="A152">
        <v>1554943527.0541048</v>
      </c>
      <c r="B152" s="72">
        <v>-70.046257019999999</v>
      </c>
      <c r="D152">
        <v>1572583527.0541048</v>
      </c>
      <c r="E152" s="72">
        <v>-70.154624940000005</v>
      </c>
      <c r="G152">
        <v>1558088176.3527174</v>
      </c>
      <c r="H152" s="72">
        <v>-70.633522029999995</v>
      </c>
    </row>
    <row r="153" spans="1:8">
      <c r="A153">
        <v>1554945130.2605176</v>
      </c>
      <c r="B153" s="72">
        <v>-69.971801760000005</v>
      </c>
      <c r="D153">
        <v>1572585130.2605176</v>
      </c>
      <c r="E153" s="72">
        <v>-70.072402949999997</v>
      </c>
      <c r="G153">
        <v>1558128256.5130382</v>
      </c>
      <c r="H153" s="72">
        <v>-70.750999449999995</v>
      </c>
    </row>
    <row r="154" spans="1:8">
      <c r="A154">
        <v>1554946733.4669304</v>
      </c>
      <c r="B154" s="72">
        <v>-70.0771637</v>
      </c>
      <c r="D154">
        <v>1572586733.4669304</v>
      </c>
      <c r="E154" s="72">
        <v>-70.125106810000005</v>
      </c>
      <c r="G154">
        <v>1558168336.6733589</v>
      </c>
      <c r="H154" s="72">
        <v>-70.420791629999997</v>
      </c>
    </row>
    <row r="155" spans="1:8">
      <c r="A155">
        <v>1554948336.6733432</v>
      </c>
      <c r="B155" s="72">
        <v>-70.022430420000006</v>
      </c>
      <c r="D155">
        <v>1572588336.6733432</v>
      </c>
      <c r="E155" s="72">
        <v>-70.290908810000005</v>
      </c>
      <c r="G155">
        <v>1558208416.8336797</v>
      </c>
      <c r="H155" s="72">
        <v>-70.452468870000004</v>
      </c>
    </row>
    <row r="156" spans="1:8">
      <c r="A156">
        <v>1554949939.879756</v>
      </c>
      <c r="B156" s="72">
        <v>-70.160842900000006</v>
      </c>
      <c r="D156">
        <v>1572589939.879756</v>
      </c>
      <c r="E156" s="72">
        <v>-70.369628910000003</v>
      </c>
      <c r="G156">
        <v>1558248496.9940004</v>
      </c>
      <c r="H156" s="72">
        <v>-70.806312559999995</v>
      </c>
    </row>
    <row r="157" spans="1:8">
      <c r="A157">
        <v>1554951543.0861688</v>
      </c>
      <c r="B157" s="72">
        <v>-69.875617980000001</v>
      </c>
      <c r="D157">
        <v>1572591543.0861688</v>
      </c>
      <c r="E157" s="72">
        <v>-70.426856990000005</v>
      </c>
      <c r="G157">
        <v>1558288577.1543212</v>
      </c>
      <c r="H157" s="72">
        <v>-70.475578310000003</v>
      </c>
    </row>
    <row r="158" spans="1:8">
      <c r="A158">
        <v>1554953146.2925816</v>
      </c>
      <c r="B158" s="72">
        <v>-70.101982120000002</v>
      </c>
      <c r="D158">
        <v>1572593146.2925816</v>
      </c>
      <c r="E158" s="72">
        <v>-69.998962399999996</v>
      </c>
      <c r="G158">
        <v>1558328657.314642</v>
      </c>
      <c r="H158" s="72">
        <v>-70.562080379999998</v>
      </c>
    </row>
    <row r="159" spans="1:8">
      <c r="A159">
        <v>1554954749.4989944</v>
      </c>
      <c r="B159" s="72">
        <v>-69.995620729999999</v>
      </c>
      <c r="D159">
        <v>1572594749.4989944</v>
      </c>
      <c r="E159" s="72">
        <v>-70.312438959999994</v>
      </c>
      <c r="G159">
        <v>1558368737.4749627</v>
      </c>
      <c r="H159" s="72">
        <v>-70.589958190000004</v>
      </c>
    </row>
    <row r="160" spans="1:8">
      <c r="A160">
        <v>1554956352.7054071</v>
      </c>
      <c r="B160" s="72">
        <v>-70.069412229999998</v>
      </c>
      <c r="D160">
        <v>1572596352.7054071</v>
      </c>
      <c r="E160" s="72">
        <v>-70.180053709999996</v>
      </c>
      <c r="G160">
        <v>1558408817.6352835</v>
      </c>
      <c r="H160" s="72">
        <v>-70.631607059999993</v>
      </c>
    </row>
    <row r="161" spans="1:8">
      <c r="A161">
        <v>1554957955.9118199</v>
      </c>
      <c r="B161" s="72">
        <v>-70.100448610000001</v>
      </c>
      <c r="D161">
        <v>1572597955.9118199</v>
      </c>
      <c r="E161" s="72">
        <v>-70.417396550000007</v>
      </c>
      <c r="G161">
        <v>1558448897.7956042</v>
      </c>
      <c r="H161" s="72">
        <v>-70.698165889999999</v>
      </c>
    </row>
    <row r="162" spans="1:8">
      <c r="A162">
        <v>1554959559.1182327</v>
      </c>
      <c r="B162" s="72">
        <v>-70.266967769999994</v>
      </c>
      <c r="D162">
        <v>1572599559.1182327</v>
      </c>
      <c r="E162" s="72">
        <v>-70.129653930000003</v>
      </c>
      <c r="G162">
        <v>1558488977.955925</v>
      </c>
      <c r="H162" s="72">
        <v>-70.524612430000005</v>
      </c>
    </row>
    <row r="163" spans="1:8">
      <c r="A163">
        <v>1554961162.3246455</v>
      </c>
      <c r="B163" s="72">
        <v>-70.077316280000005</v>
      </c>
      <c r="D163">
        <v>1572601162.3246455</v>
      </c>
      <c r="E163" s="72">
        <v>-70.003112790000003</v>
      </c>
      <c r="G163">
        <v>1558529058.1162457</v>
      </c>
      <c r="H163" s="72">
        <v>-70.676651000000007</v>
      </c>
    </row>
    <row r="164" spans="1:8">
      <c r="A164">
        <v>1554962765.5310583</v>
      </c>
      <c r="B164" s="72">
        <v>-69.822174070000003</v>
      </c>
      <c r="D164">
        <v>1572602765.5310583</v>
      </c>
      <c r="E164" s="72">
        <v>-70.177551269999995</v>
      </c>
      <c r="G164">
        <v>1558569138.2765665</v>
      </c>
      <c r="H164" s="72">
        <v>-70.481628420000007</v>
      </c>
    </row>
    <row r="165" spans="1:8">
      <c r="A165">
        <v>1554964368.7374711</v>
      </c>
      <c r="B165" s="72">
        <v>-70.187599180000007</v>
      </c>
      <c r="D165">
        <v>1572604368.7374711</v>
      </c>
      <c r="E165" s="72">
        <v>-70.323776249999995</v>
      </c>
      <c r="G165">
        <v>1558609218.4368873</v>
      </c>
      <c r="H165" s="72">
        <v>-70.693237300000007</v>
      </c>
    </row>
    <row r="166" spans="1:8">
      <c r="A166">
        <v>1554965971.9438839</v>
      </c>
      <c r="B166" s="72">
        <v>-70.097228999999999</v>
      </c>
      <c r="D166">
        <v>1572605971.9438839</v>
      </c>
      <c r="E166" s="72">
        <v>-70.150093080000005</v>
      </c>
      <c r="G166">
        <v>1558649298.597208</v>
      </c>
      <c r="H166" s="72">
        <v>-70.420799259999995</v>
      </c>
    </row>
    <row r="167" spans="1:8">
      <c r="A167">
        <v>1554967575.1502967</v>
      </c>
      <c r="B167" s="72">
        <v>-69.952148440000002</v>
      </c>
      <c r="D167">
        <v>1572607575.1502967</v>
      </c>
      <c r="E167" s="72">
        <v>-70.475593570000001</v>
      </c>
      <c r="G167">
        <v>1558689378.7575288</v>
      </c>
      <c r="H167" s="72">
        <v>-70.616714479999999</v>
      </c>
    </row>
    <row r="168" spans="1:8">
      <c r="A168">
        <v>1554969178.3567095</v>
      </c>
      <c r="B168" s="72">
        <v>-69.843505859999993</v>
      </c>
      <c r="D168">
        <v>1572609178.3567095</v>
      </c>
      <c r="E168" s="72">
        <v>-69.942276000000007</v>
      </c>
      <c r="G168">
        <v>1558729458.9178495</v>
      </c>
      <c r="H168" s="72">
        <v>-70.687850949999998</v>
      </c>
    </row>
    <row r="169" spans="1:8">
      <c r="A169">
        <v>1554970781.5631223</v>
      </c>
      <c r="B169" s="72">
        <v>-69.920433040000006</v>
      </c>
      <c r="D169">
        <v>1572610781.5631223</v>
      </c>
      <c r="E169" s="72">
        <v>-70.289192200000002</v>
      </c>
      <c r="G169">
        <v>1558769539.0781703</v>
      </c>
      <c r="H169" s="72">
        <v>-70.684471130000006</v>
      </c>
    </row>
    <row r="170" spans="1:8">
      <c r="A170">
        <v>1554972384.7695351</v>
      </c>
      <c r="B170" s="72">
        <v>-70.079254149999997</v>
      </c>
      <c r="D170">
        <v>1572612384.7695351</v>
      </c>
      <c r="E170" s="72">
        <v>-70.201217650000004</v>
      </c>
      <c r="G170">
        <v>1558809619.2384911</v>
      </c>
      <c r="H170" s="72">
        <v>-70.558914180000002</v>
      </c>
    </row>
    <row r="171" spans="1:8">
      <c r="A171">
        <v>1554973987.9759479</v>
      </c>
      <c r="B171" s="72">
        <v>-70.082893369999994</v>
      </c>
      <c r="D171">
        <v>1572613987.9759479</v>
      </c>
      <c r="E171" s="72">
        <v>-70.366439819999997</v>
      </c>
      <c r="G171">
        <v>1558849699.3988118</v>
      </c>
      <c r="H171" s="72">
        <v>-70.716133119999995</v>
      </c>
    </row>
    <row r="172" spans="1:8">
      <c r="A172">
        <v>1554975591.1823606</v>
      </c>
      <c r="B172" s="72">
        <v>-70.129104609999999</v>
      </c>
      <c r="D172">
        <v>1572615591.1823606</v>
      </c>
      <c r="E172" s="72">
        <v>-70.262069699999998</v>
      </c>
      <c r="G172">
        <v>1558889779.5591326</v>
      </c>
      <c r="H172" s="72">
        <v>-70.472167970000001</v>
      </c>
    </row>
    <row r="173" spans="1:8">
      <c r="A173">
        <v>1554977194.3887734</v>
      </c>
      <c r="B173" s="72">
        <v>-69.949668880000004</v>
      </c>
      <c r="D173">
        <v>1572617194.3887734</v>
      </c>
      <c r="E173" s="72">
        <v>-70.184204100000002</v>
      </c>
      <c r="G173">
        <v>1558929859.7194533</v>
      </c>
      <c r="H173" s="72">
        <v>-70.633560180000003</v>
      </c>
    </row>
    <row r="174" spans="1:8">
      <c r="A174">
        <v>1554978797.5951862</v>
      </c>
      <c r="B174" s="72">
        <v>-70.146881100000002</v>
      </c>
      <c r="D174">
        <v>1572618797.5951862</v>
      </c>
      <c r="E174" s="72">
        <v>-70.148590089999999</v>
      </c>
      <c r="G174">
        <v>1558969939.8797741</v>
      </c>
      <c r="H174" s="72">
        <v>-70.751953119999996</v>
      </c>
    </row>
    <row r="175" spans="1:8">
      <c r="A175">
        <v>1554980400.801599</v>
      </c>
      <c r="B175" s="72">
        <v>-69.873527530000004</v>
      </c>
      <c r="D175">
        <v>1572620400.801599</v>
      </c>
      <c r="E175" s="72">
        <v>-70.308761599999997</v>
      </c>
      <c r="G175">
        <v>1559010020.0400949</v>
      </c>
      <c r="H175" s="72">
        <v>-70.580665589999995</v>
      </c>
    </row>
    <row r="176" spans="1:8">
      <c r="A176">
        <v>1554982004.0080118</v>
      </c>
      <c r="B176" s="72">
        <v>-70.235763550000001</v>
      </c>
      <c r="D176">
        <v>1572622004.0080118</v>
      </c>
      <c r="E176" s="72">
        <v>-70.110130310000002</v>
      </c>
      <c r="G176">
        <v>1559050100.2004156</v>
      </c>
      <c r="H176" s="72">
        <v>-70.779541019999996</v>
      </c>
    </row>
    <row r="177" spans="1:8">
      <c r="A177">
        <v>1554983607.2144246</v>
      </c>
      <c r="B177" s="72">
        <v>-69.848213200000004</v>
      </c>
      <c r="D177">
        <v>1572623607.2144246</v>
      </c>
      <c r="E177" s="72">
        <v>-70.206222530000005</v>
      </c>
      <c r="G177">
        <v>1559090180.3607364</v>
      </c>
      <c r="H177" s="72">
        <v>-70.691528320000003</v>
      </c>
    </row>
    <row r="178" spans="1:8">
      <c r="A178">
        <v>1554985210.4208374</v>
      </c>
      <c r="B178" s="72">
        <v>-70.137496949999999</v>
      </c>
      <c r="D178">
        <v>1572625210.4208374</v>
      </c>
      <c r="E178" s="72">
        <v>-70.17640686</v>
      </c>
      <c r="G178">
        <v>1559130260.5210571</v>
      </c>
      <c r="H178" s="72">
        <v>-70.473251340000004</v>
      </c>
    </row>
    <row r="179" spans="1:8">
      <c r="A179">
        <v>1554986813.6272502</v>
      </c>
      <c r="B179" s="72">
        <v>-70.234054569999998</v>
      </c>
      <c r="D179">
        <v>1572626813.6272502</v>
      </c>
      <c r="E179" s="72">
        <v>-70.336479190000006</v>
      </c>
      <c r="G179">
        <v>1559170340.6813779</v>
      </c>
      <c r="H179" s="72">
        <v>-70.440292360000001</v>
      </c>
    </row>
    <row r="180" spans="1:8">
      <c r="A180">
        <v>1554988416.833663</v>
      </c>
      <c r="B180" s="72">
        <v>-70.205795289999998</v>
      </c>
      <c r="D180">
        <v>1572628416.833663</v>
      </c>
      <c r="E180" s="72">
        <v>-70.292655940000003</v>
      </c>
      <c r="G180">
        <v>1559210420.8416986</v>
      </c>
      <c r="H180" s="72">
        <v>-70.640800479999996</v>
      </c>
    </row>
    <row r="181" spans="1:8">
      <c r="A181">
        <v>1554990020.0400758</v>
      </c>
      <c r="B181" s="72">
        <v>-69.946670530000006</v>
      </c>
      <c r="D181">
        <v>1572630020.0400758</v>
      </c>
      <c r="E181" s="72">
        <v>-70.022750849999994</v>
      </c>
      <c r="G181">
        <v>1559250501.0020194</v>
      </c>
      <c r="H181" s="72">
        <v>-70.610191349999994</v>
      </c>
    </row>
    <row r="182" spans="1:8">
      <c r="A182">
        <v>1554991623.2464886</v>
      </c>
      <c r="B182" s="72">
        <v>-69.981330869999994</v>
      </c>
      <c r="D182">
        <v>1572631623.2464886</v>
      </c>
      <c r="E182" s="72">
        <v>-70.290260309999994</v>
      </c>
      <c r="G182">
        <v>1559290581.1623402</v>
      </c>
      <c r="H182" s="72">
        <v>-70.721473689999996</v>
      </c>
    </row>
    <row r="183" spans="1:8">
      <c r="A183">
        <v>1554993226.4529014</v>
      </c>
      <c r="B183" s="72">
        <v>-69.737297060000003</v>
      </c>
      <c r="D183">
        <v>1572633226.4529014</v>
      </c>
      <c r="E183" s="72">
        <v>-70.372497559999999</v>
      </c>
      <c r="G183">
        <v>1559330661.3226609</v>
      </c>
      <c r="H183" s="72">
        <v>-70.55965424</v>
      </c>
    </row>
    <row r="184" spans="1:8">
      <c r="A184">
        <v>1554994829.6593142</v>
      </c>
      <c r="B184" s="72">
        <v>-70.155982969999997</v>
      </c>
      <c r="D184">
        <v>1572634829.6593142</v>
      </c>
      <c r="E184" s="72">
        <v>-70.462745670000004</v>
      </c>
      <c r="G184">
        <v>1559370741.4829817</v>
      </c>
      <c r="H184" s="72">
        <v>-70.718063349999994</v>
      </c>
    </row>
    <row r="185" spans="1:8">
      <c r="A185">
        <v>1554996432.8657269</v>
      </c>
      <c r="B185" s="72">
        <v>-69.947959900000001</v>
      </c>
      <c r="D185">
        <v>1572636432.8657269</v>
      </c>
      <c r="E185" s="72">
        <v>-70.284774780000006</v>
      </c>
      <c r="G185">
        <v>1559410821.6433024</v>
      </c>
      <c r="H185" s="72">
        <v>-70.557960510000001</v>
      </c>
    </row>
    <row r="186" spans="1:8">
      <c r="A186">
        <v>1554998036.0721397</v>
      </c>
      <c r="B186" s="72">
        <v>-70.0771637</v>
      </c>
      <c r="D186">
        <v>1572638036.0721397</v>
      </c>
      <c r="E186" s="72">
        <v>-70.473220830000002</v>
      </c>
      <c r="G186">
        <v>1559450901.8036232</v>
      </c>
      <c r="H186" s="72">
        <v>-70.673171999999994</v>
      </c>
    </row>
    <row r="187" spans="1:8">
      <c r="A187">
        <v>1554999639.2785525</v>
      </c>
      <c r="B187" s="72">
        <v>-70.006568909999999</v>
      </c>
      <c r="D187">
        <v>1572639639.2785525</v>
      </c>
      <c r="E187" s="72">
        <v>-70.230964659999998</v>
      </c>
      <c r="G187">
        <v>1559490981.963944</v>
      </c>
      <c r="H187" s="72">
        <v>-70.582794190000001</v>
      </c>
    </row>
    <row r="188" spans="1:8">
      <c r="A188">
        <v>1555001242.4849653</v>
      </c>
      <c r="B188" s="72">
        <v>-70.173400880000003</v>
      </c>
      <c r="D188">
        <v>1572641242.4849653</v>
      </c>
      <c r="E188" s="72">
        <v>-70.152931210000006</v>
      </c>
      <c r="G188">
        <v>1559531062.1242647</v>
      </c>
      <c r="H188" s="72">
        <v>-70.663490300000007</v>
      </c>
    </row>
    <row r="189" spans="1:8">
      <c r="A189">
        <v>1555002845.6913781</v>
      </c>
      <c r="B189" s="72">
        <v>-69.89076996</v>
      </c>
      <c r="D189">
        <v>1572642845.6913781</v>
      </c>
      <c r="E189" s="72">
        <v>-70.162773130000005</v>
      </c>
      <c r="G189">
        <v>1559571142.2845855</v>
      </c>
      <c r="H189" s="72">
        <v>-70.504135129999995</v>
      </c>
    </row>
    <row r="190" spans="1:8">
      <c r="A190">
        <v>1555004448.8977909</v>
      </c>
      <c r="B190" s="72">
        <v>-70.028991700000006</v>
      </c>
      <c r="D190">
        <v>1572644448.8977909</v>
      </c>
      <c r="E190" s="72">
        <v>-70.218185419999998</v>
      </c>
      <c r="G190">
        <v>1559611222.4449062</v>
      </c>
      <c r="H190" s="72">
        <v>-70.608924869999996</v>
      </c>
    </row>
    <row r="191" spans="1:8">
      <c r="A191">
        <v>1555006052.1042037</v>
      </c>
      <c r="B191" s="72">
        <v>-69.872863769999995</v>
      </c>
      <c r="D191">
        <v>1572646052.1042037</v>
      </c>
      <c r="E191" s="72">
        <v>-70.046287539999994</v>
      </c>
      <c r="G191">
        <v>1559651302.605227</v>
      </c>
      <c r="H191" s="72">
        <v>-70.658134459999999</v>
      </c>
    </row>
    <row r="192" spans="1:8">
      <c r="A192">
        <v>1555007655.3106165</v>
      </c>
      <c r="B192" s="72">
        <v>-70.100631710000002</v>
      </c>
      <c r="D192">
        <v>1572647655.3106165</v>
      </c>
      <c r="E192" s="72">
        <v>-70.344383239999999</v>
      </c>
      <c r="G192">
        <v>1559691382.7655478</v>
      </c>
      <c r="H192" s="72">
        <v>-70.532600400000007</v>
      </c>
    </row>
    <row r="193" spans="1:8">
      <c r="A193">
        <v>1555009258.5170293</v>
      </c>
      <c r="B193" s="72">
        <v>-70.022598270000003</v>
      </c>
      <c r="D193">
        <v>1572649258.5170293</v>
      </c>
      <c r="E193" s="72">
        <v>-70.21643066</v>
      </c>
      <c r="G193">
        <v>1559731462.9258685</v>
      </c>
      <c r="H193" s="72">
        <v>-70.537490840000004</v>
      </c>
    </row>
    <row r="194" spans="1:8">
      <c r="A194">
        <v>1555010861.7234421</v>
      </c>
      <c r="B194" s="72">
        <v>-70.052490230000004</v>
      </c>
      <c r="D194">
        <v>1572650861.7234421</v>
      </c>
      <c r="E194" s="72">
        <v>-70.133850100000004</v>
      </c>
      <c r="G194">
        <v>1559771543.0861893</v>
      </c>
      <c r="H194" s="72">
        <v>-70.305679319999996</v>
      </c>
    </row>
    <row r="195" spans="1:8">
      <c r="A195">
        <v>1555012464.9298549</v>
      </c>
      <c r="B195" s="72">
        <v>-70.002166750000001</v>
      </c>
      <c r="D195">
        <v>1572652464.9298549</v>
      </c>
      <c r="E195" s="72">
        <v>-70.103492739999993</v>
      </c>
      <c r="G195">
        <v>1559811623.24651</v>
      </c>
      <c r="H195" s="72">
        <v>-70.441780089999995</v>
      </c>
    </row>
    <row r="196" spans="1:8">
      <c r="A196">
        <v>1555014068.1362677</v>
      </c>
      <c r="B196" s="72">
        <v>-69.99343872</v>
      </c>
      <c r="D196">
        <v>1572654068.1362677</v>
      </c>
      <c r="E196" s="72">
        <v>-70.31813812</v>
      </c>
      <c r="G196">
        <v>1559851703.4068308</v>
      </c>
      <c r="H196" s="72">
        <v>-70.754638670000006</v>
      </c>
    </row>
    <row r="197" spans="1:8">
      <c r="A197">
        <v>1555015671.3426805</v>
      </c>
      <c r="B197" s="72">
        <v>-69.919929499999995</v>
      </c>
      <c r="D197">
        <v>1572655671.3426805</v>
      </c>
      <c r="E197" s="72">
        <v>-70.47000122</v>
      </c>
      <c r="G197">
        <v>1559891783.5671515</v>
      </c>
      <c r="H197" s="72">
        <v>-70.505348209999994</v>
      </c>
    </row>
    <row r="198" spans="1:8">
      <c r="A198">
        <v>1555017274.5490932</v>
      </c>
      <c r="B198" s="72">
        <v>-70.074592589999995</v>
      </c>
      <c r="D198">
        <v>1572657274.5490932</v>
      </c>
      <c r="E198" s="72">
        <v>-70.448471069999997</v>
      </c>
      <c r="G198">
        <v>1559931863.7274723</v>
      </c>
      <c r="H198" s="72">
        <v>-70.57575989</v>
      </c>
    </row>
    <row r="199" spans="1:8">
      <c r="A199">
        <v>1555018877.755506</v>
      </c>
      <c r="B199" s="72">
        <v>-70.073905940000003</v>
      </c>
      <c r="D199">
        <v>1572658877.755506</v>
      </c>
      <c r="E199" s="72">
        <v>-70.127395629999995</v>
      </c>
      <c r="G199">
        <v>1559971943.8877931</v>
      </c>
      <c r="H199" s="72">
        <v>-70.691757199999998</v>
      </c>
    </row>
    <row r="200" spans="1:8">
      <c r="A200">
        <v>1555020480.9619188</v>
      </c>
      <c r="B200" s="72">
        <v>-70.131515500000006</v>
      </c>
      <c r="D200">
        <v>1572660480.9619188</v>
      </c>
      <c r="E200" s="72">
        <v>-70.269111629999998</v>
      </c>
      <c r="G200">
        <v>1560012024.0481138</v>
      </c>
      <c r="H200" s="72">
        <v>-70.691307069999993</v>
      </c>
    </row>
    <row r="201" spans="1:8">
      <c r="A201">
        <v>1555022084.1683316</v>
      </c>
      <c r="B201" s="72">
        <v>-70.160568240000003</v>
      </c>
      <c r="D201">
        <v>1572662084.1683316</v>
      </c>
      <c r="E201" s="72">
        <v>-70.426856990000005</v>
      </c>
      <c r="G201">
        <v>1560052104.2084346</v>
      </c>
      <c r="H201" s="72">
        <v>-70.637374879999996</v>
      </c>
    </row>
    <row r="202" spans="1:8">
      <c r="A202">
        <v>1555023687.3747444</v>
      </c>
      <c r="B202" s="72">
        <v>-70.179115300000007</v>
      </c>
      <c r="D202">
        <v>1572663687.3747444</v>
      </c>
      <c r="E202" s="72">
        <v>-70.137557979999997</v>
      </c>
      <c r="G202">
        <v>1560092184.3687553</v>
      </c>
      <c r="H202" s="72">
        <v>-70.694961550000002</v>
      </c>
    </row>
    <row r="203" spans="1:8">
      <c r="A203">
        <v>1555025290.5811572</v>
      </c>
      <c r="B203" s="72">
        <v>-70.019363400000003</v>
      </c>
      <c r="D203">
        <v>1572665290.5811572</v>
      </c>
      <c r="E203" s="72">
        <v>-70.169448849999995</v>
      </c>
      <c r="G203">
        <v>1560132264.5290761</v>
      </c>
      <c r="H203" s="72">
        <v>-70.644660950000002</v>
      </c>
    </row>
    <row r="204" spans="1:8">
      <c r="A204">
        <v>1555026893.78757</v>
      </c>
      <c r="B204" s="72">
        <v>-70.049491880000005</v>
      </c>
      <c r="D204">
        <v>1572666893.78757</v>
      </c>
      <c r="E204" s="72">
        <v>-70.00294495</v>
      </c>
      <c r="G204">
        <v>1560172344.6893969</v>
      </c>
      <c r="H204" s="72">
        <v>-70.552642820000003</v>
      </c>
    </row>
    <row r="205" spans="1:8">
      <c r="A205">
        <v>1555028496.9939828</v>
      </c>
      <c r="B205" s="72">
        <v>-70.024307250000007</v>
      </c>
      <c r="D205">
        <v>1572668496.9939828</v>
      </c>
      <c r="E205" s="72">
        <v>-70.306747439999995</v>
      </c>
      <c r="G205">
        <v>1560212424.8497176</v>
      </c>
      <c r="H205" s="72">
        <v>-70.689613339999994</v>
      </c>
    </row>
    <row r="206" spans="1:8">
      <c r="A206">
        <v>1555030100.2003956</v>
      </c>
      <c r="B206" s="72">
        <v>-69.903648380000007</v>
      </c>
      <c r="D206">
        <v>1572670100.2003956</v>
      </c>
      <c r="E206" s="72">
        <v>-70.263778689999995</v>
      </c>
      <c r="G206">
        <v>1560252505.0100384</v>
      </c>
      <c r="H206" s="72">
        <v>-70.30844879</v>
      </c>
    </row>
    <row r="207" spans="1:8">
      <c r="A207">
        <v>1555031703.4068084</v>
      </c>
      <c r="B207" s="72">
        <v>-70.050277710000003</v>
      </c>
      <c r="D207">
        <v>1572671703.4068084</v>
      </c>
      <c r="E207" s="72">
        <v>-70.223587039999998</v>
      </c>
      <c r="G207">
        <v>1560292585.1703591</v>
      </c>
      <c r="H207" s="72">
        <v>-70.667358399999998</v>
      </c>
    </row>
    <row r="208" spans="1:8">
      <c r="A208">
        <v>1555033306.6132212</v>
      </c>
      <c r="B208" s="72">
        <v>-69.999313349999994</v>
      </c>
      <c r="D208">
        <v>1572673306.6132212</v>
      </c>
      <c r="E208" s="72">
        <v>-70.232902530000004</v>
      </c>
      <c r="G208">
        <v>1560332665.3306799</v>
      </c>
      <c r="H208" s="72">
        <v>-70.473678590000006</v>
      </c>
    </row>
    <row r="209" spans="1:8">
      <c r="A209">
        <v>1555034909.819634</v>
      </c>
      <c r="B209" s="72">
        <v>-70.123764039999998</v>
      </c>
      <c r="D209">
        <v>1572674909.819634</v>
      </c>
      <c r="E209" s="72">
        <v>-70.240661619999997</v>
      </c>
      <c r="G209">
        <v>1560372745.4910007</v>
      </c>
      <c r="H209" s="72">
        <v>-70.565528869999994</v>
      </c>
    </row>
    <row r="210" spans="1:8">
      <c r="A210">
        <v>1555036513.0260468</v>
      </c>
      <c r="B210" s="72">
        <v>-70.33763123</v>
      </c>
      <c r="D210">
        <v>1572676513.0260468</v>
      </c>
      <c r="E210" s="72">
        <v>-70.232894900000005</v>
      </c>
      <c r="G210">
        <v>1560412825.6513214</v>
      </c>
      <c r="H210" s="72">
        <v>-70.466613769999995</v>
      </c>
    </row>
    <row r="211" spans="1:8">
      <c r="A211">
        <v>1555038116.2324595</v>
      </c>
      <c r="B211" s="72">
        <v>-70.077636720000001</v>
      </c>
      <c r="D211">
        <v>1572678116.2324595</v>
      </c>
      <c r="E211" s="72">
        <v>-70.154624940000005</v>
      </c>
      <c r="G211">
        <v>1560452905.8116422</v>
      </c>
      <c r="H211" s="72">
        <v>-70.744178770000005</v>
      </c>
    </row>
    <row r="212" spans="1:8">
      <c r="A212">
        <v>1555039719.4388723</v>
      </c>
      <c r="B212" s="72">
        <v>-70.049125669999995</v>
      </c>
      <c r="D212">
        <v>1572679719.4388723</v>
      </c>
      <c r="E212" s="72">
        <v>-70.47781372</v>
      </c>
      <c r="G212">
        <v>1560492985.9719629</v>
      </c>
      <c r="H212" s="72">
        <v>-70.779792790000002</v>
      </c>
    </row>
    <row r="213" spans="1:8">
      <c r="A213">
        <v>1555041322.6452851</v>
      </c>
      <c r="B213" s="72">
        <v>-69.925827029999994</v>
      </c>
      <c r="D213">
        <v>1572681322.6452851</v>
      </c>
      <c r="E213" s="72">
        <v>-70.221763609999996</v>
      </c>
      <c r="G213">
        <v>1560533066.1322837</v>
      </c>
      <c r="H213" s="72">
        <v>-70.38893127</v>
      </c>
    </row>
    <row r="214" spans="1:8">
      <c r="A214">
        <v>1555042925.8516979</v>
      </c>
      <c r="B214" s="72">
        <v>-70.028640749999994</v>
      </c>
      <c r="D214">
        <v>1572682925.8516979</v>
      </c>
      <c r="E214" s="72">
        <v>-70.508758540000002</v>
      </c>
      <c r="G214">
        <v>1560573146.2926044</v>
      </c>
      <c r="H214" s="72">
        <v>-70.693466189999995</v>
      </c>
    </row>
    <row r="215" spans="1:8">
      <c r="A215">
        <v>1555044529.0581107</v>
      </c>
      <c r="B215" s="72">
        <v>-70.148574830000001</v>
      </c>
      <c r="D215">
        <v>1572684529.0581107</v>
      </c>
      <c r="E215" s="72">
        <v>-70.377639770000002</v>
      </c>
      <c r="G215">
        <v>1560613226.4529252</v>
      </c>
      <c r="H215" s="72">
        <v>-70.635452270000002</v>
      </c>
    </row>
    <row r="216" spans="1:8">
      <c r="A216">
        <v>1555046132.2645235</v>
      </c>
      <c r="B216" s="72">
        <v>-69.918434140000002</v>
      </c>
      <c r="D216">
        <v>1572686132.2645235</v>
      </c>
      <c r="E216" s="72">
        <v>-70.212196349999999</v>
      </c>
      <c r="G216">
        <v>1560653306.613246</v>
      </c>
      <c r="H216" s="72">
        <v>-70.697090149999994</v>
      </c>
    </row>
    <row r="217" spans="1:8">
      <c r="A217">
        <v>1555047735.4709363</v>
      </c>
      <c r="B217" s="72">
        <v>-70.073944089999998</v>
      </c>
      <c r="D217">
        <v>1572687735.4709363</v>
      </c>
      <c r="E217" s="72">
        <v>-70.145393369999994</v>
      </c>
      <c r="G217">
        <v>1560693386.7735667</v>
      </c>
      <c r="H217" s="72">
        <v>-70.772422789999993</v>
      </c>
    </row>
    <row r="218" spans="1:8">
      <c r="A218">
        <v>1555049338.6773491</v>
      </c>
      <c r="B218" s="72">
        <v>-69.893814090000006</v>
      </c>
      <c r="D218">
        <v>1572689338.6773491</v>
      </c>
      <c r="E218" s="72">
        <v>-70.339912409999997</v>
      </c>
      <c r="G218">
        <v>1560733466.9338875</v>
      </c>
      <c r="H218" s="72">
        <v>-70.562324520000004</v>
      </c>
    </row>
    <row r="219" spans="1:8">
      <c r="A219">
        <v>1555050941.8837619</v>
      </c>
      <c r="B219" s="72">
        <v>-70.067886349999995</v>
      </c>
      <c r="D219">
        <v>1572690941.8837619</v>
      </c>
      <c r="E219" s="72">
        <v>-70.280426030000001</v>
      </c>
      <c r="G219">
        <v>1560773547.0942082</v>
      </c>
      <c r="H219" s="72">
        <v>-70.475578310000003</v>
      </c>
    </row>
    <row r="220" spans="1:8">
      <c r="A220">
        <v>1555052545.0901747</v>
      </c>
      <c r="B220" s="72">
        <v>-70.28235626</v>
      </c>
      <c r="D220">
        <v>1572692545.0901747</v>
      </c>
      <c r="E220" s="72">
        <v>-70.250885010000005</v>
      </c>
      <c r="G220">
        <v>1560813627.254529</v>
      </c>
      <c r="H220" s="72">
        <v>-70.633323669999996</v>
      </c>
    </row>
    <row r="221" spans="1:8">
      <c r="A221">
        <v>1555054148.2965875</v>
      </c>
      <c r="B221" s="72">
        <v>-69.788024899999996</v>
      </c>
      <c r="D221">
        <v>1572694148.2965875</v>
      </c>
      <c r="E221" s="72">
        <v>-70.005966189999995</v>
      </c>
      <c r="G221">
        <v>1560853707.4148498</v>
      </c>
      <c r="H221" s="72">
        <v>-70.361083980000004</v>
      </c>
    </row>
    <row r="222" spans="1:8">
      <c r="A222">
        <v>1555055751.5030003</v>
      </c>
      <c r="B222" s="72">
        <v>-69.98871613</v>
      </c>
      <c r="D222">
        <v>1572695751.5030003</v>
      </c>
      <c r="E222" s="72">
        <v>-70.345314029999997</v>
      </c>
      <c r="G222">
        <v>1560893787.5751705</v>
      </c>
      <c r="H222" s="72">
        <v>-70.582359310000001</v>
      </c>
    </row>
    <row r="223" spans="1:8">
      <c r="A223">
        <v>1555057354.7094131</v>
      </c>
      <c r="B223" s="72">
        <v>-69.921340939999993</v>
      </c>
      <c r="D223">
        <v>1572697354.7094131</v>
      </c>
      <c r="E223" s="72">
        <v>-70.126403809999999</v>
      </c>
      <c r="G223">
        <v>1560933867.7354913</v>
      </c>
      <c r="H223" s="72">
        <v>-70.464904790000006</v>
      </c>
    </row>
    <row r="224" spans="1:8">
      <c r="A224">
        <v>1555058957.9158258</v>
      </c>
      <c r="B224" s="72">
        <v>-70.234603879999995</v>
      </c>
      <c r="D224">
        <v>1572698957.9158258</v>
      </c>
      <c r="E224" s="72">
        <v>-70.072456360000004</v>
      </c>
      <c r="G224">
        <v>1560973947.895812</v>
      </c>
      <c r="H224" s="72">
        <v>-70.44734192</v>
      </c>
    </row>
    <row r="225" spans="1:8">
      <c r="A225">
        <v>1555060561.1222386</v>
      </c>
      <c r="B225" s="72">
        <v>-70.028205869999994</v>
      </c>
      <c r="D225">
        <v>1572700561.1222386</v>
      </c>
      <c r="E225" s="72">
        <v>-69.932662960000002</v>
      </c>
      <c r="G225">
        <v>1561014028.0561328</v>
      </c>
      <c r="H225" s="72">
        <v>-70.779991150000001</v>
      </c>
    </row>
    <row r="226" spans="1:8">
      <c r="A226">
        <v>1555062164.3286514</v>
      </c>
      <c r="B226" s="72">
        <v>-69.768020629999995</v>
      </c>
      <c r="D226">
        <v>1572702164.3286514</v>
      </c>
      <c r="E226" s="72">
        <v>-70.207450870000002</v>
      </c>
      <c r="G226">
        <v>1561054108.2164536</v>
      </c>
      <c r="H226" s="72">
        <v>-70.678153989999998</v>
      </c>
    </row>
    <row r="227" spans="1:8">
      <c r="A227">
        <v>1555063767.5350642</v>
      </c>
      <c r="B227" s="72">
        <v>-70.018257140000003</v>
      </c>
      <c r="D227">
        <v>1572703767.5350642</v>
      </c>
      <c r="E227" s="72">
        <v>-70.271682740000003</v>
      </c>
      <c r="G227">
        <v>1561094188.3767743</v>
      </c>
      <c r="H227" s="72">
        <v>-70.526306149999996</v>
      </c>
    </row>
    <row r="228" spans="1:8">
      <c r="A228">
        <v>1555065370.741477</v>
      </c>
      <c r="B228" s="72">
        <v>-69.952011110000001</v>
      </c>
      <c r="D228">
        <v>1572705370.741477</v>
      </c>
      <c r="E228" s="72">
        <v>-70.183250430000001</v>
      </c>
      <c r="G228">
        <v>1561134268.5370951</v>
      </c>
      <c r="H228" s="72">
        <v>-70.716125489999996</v>
      </c>
    </row>
    <row r="229" spans="1:8">
      <c r="A229">
        <v>1555066973.9478898</v>
      </c>
      <c r="B229" s="72">
        <v>-69.842002870000002</v>
      </c>
      <c r="D229">
        <v>1572706973.9478898</v>
      </c>
      <c r="E229" s="72">
        <v>-69.893974299999996</v>
      </c>
      <c r="G229">
        <v>1561174348.6974158</v>
      </c>
      <c r="H229" s="72">
        <v>-70.659408569999997</v>
      </c>
    </row>
    <row r="230" spans="1:8">
      <c r="A230">
        <v>1555068577.1543026</v>
      </c>
      <c r="B230" s="72">
        <v>-69.941909789999997</v>
      </c>
      <c r="D230">
        <v>1572708577.1543026</v>
      </c>
      <c r="E230" s="72">
        <v>-70.153488159999995</v>
      </c>
      <c r="G230">
        <v>1561214428.8577366</v>
      </c>
      <c r="H230" s="72">
        <v>-70.666694640000003</v>
      </c>
    </row>
    <row r="231" spans="1:8">
      <c r="A231">
        <v>1555070180.3607154</v>
      </c>
      <c r="B231" s="72">
        <v>-69.930068969999994</v>
      </c>
      <c r="D231">
        <v>1572710180.3607154</v>
      </c>
      <c r="E231" s="72">
        <v>-70.292922970000006</v>
      </c>
      <c r="G231">
        <v>1561254509.0180573</v>
      </c>
      <c r="H231" s="72">
        <v>-70.572128300000003</v>
      </c>
    </row>
    <row r="232" spans="1:8">
      <c r="A232">
        <v>1555071783.5671282</v>
      </c>
      <c r="B232" s="72">
        <v>-69.867660520000001</v>
      </c>
      <c r="D232">
        <v>1572711783.5671282</v>
      </c>
      <c r="E232" s="72">
        <v>-70.257278439999993</v>
      </c>
      <c r="G232">
        <v>1561294589.1783781</v>
      </c>
      <c r="H232" s="72">
        <v>-70.505126950000005</v>
      </c>
    </row>
    <row r="233" spans="1:8">
      <c r="A233">
        <v>1555073386.773541</v>
      </c>
      <c r="B233" s="72">
        <v>-70.226074220000001</v>
      </c>
      <c r="D233">
        <v>1572713386.773541</v>
      </c>
      <c r="E233" s="72">
        <v>-70.417411799999996</v>
      </c>
      <c r="G233">
        <v>1561334669.3386989</v>
      </c>
      <c r="H233" s="72">
        <v>-70.456016539999993</v>
      </c>
    </row>
    <row r="234" spans="1:8">
      <c r="A234">
        <v>1555074989.9799538</v>
      </c>
      <c r="B234" s="72">
        <v>-70.136642460000004</v>
      </c>
      <c r="D234">
        <v>1572714989.9799538</v>
      </c>
      <c r="E234" s="72">
        <v>-70.217185970000003</v>
      </c>
      <c r="G234">
        <v>1561374749.4990196</v>
      </c>
      <c r="H234" s="72">
        <v>-70.60377502</v>
      </c>
    </row>
    <row r="235" spans="1:8">
      <c r="A235">
        <v>1555076593.1863666</v>
      </c>
      <c r="B235" s="72">
        <v>-70.053665159999994</v>
      </c>
      <c r="D235">
        <v>1572716593.1863666</v>
      </c>
      <c r="E235" s="72">
        <v>-70.098556520000002</v>
      </c>
      <c r="G235">
        <v>1561414829.6593404</v>
      </c>
      <c r="H235" s="72">
        <v>-70.602088929999994</v>
      </c>
    </row>
    <row r="236" spans="1:8">
      <c r="A236">
        <v>1555078196.3927794</v>
      </c>
      <c r="B236" s="72">
        <v>-70.025642399999995</v>
      </c>
      <c r="D236">
        <v>1572718196.3927794</v>
      </c>
      <c r="E236" s="72">
        <v>-70.037635800000004</v>
      </c>
      <c r="G236">
        <v>1561454909.8196611</v>
      </c>
      <c r="H236" s="72">
        <v>-70.916198730000005</v>
      </c>
    </row>
    <row r="237" spans="1:8">
      <c r="A237">
        <v>1555079799.5991921</v>
      </c>
      <c r="B237" s="72">
        <v>-70.161048890000004</v>
      </c>
      <c r="D237">
        <v>1572719799.5991921</v>
      </c>
      <c r="E237" s="72">
        <v>-70.174903869999994</v>
      </c>
      <c r="G237">
        <v>1561494989.9799819</v>
      </c>
      <c r="H237" s="72">
        <v>-70.575332639999999</v>
      </c>
    </row>
    <row r="238" spans="1:8">
      <c r="A238">
        <v>1555081402.8056049</v>
      </c>
      <c r="B238" s="72">
        <v>-70.104324340000005</v>
      </c>
      <c r="D238">
        <v>1572721402.8056049</v>
      </c>
      <c r="E238" s="72">
        <v>-70.220016479999998</v>
      </c>
      <c r="G238">
        <v>1561535070.1403027</v>
      </c>
      <c r="H238" s="72">
        <v>-70.477607730000003</v>
      </c>
    </row>
    <row r="239" spans="1:8">
      <c r="A239">
        <v>1555083006.0120177</v>
      </c>
      <c r="B239" s="72">
        <v>-70.081138609999996</v>
      </c>
      <c r="D239">
        <v>1572723006.0120177</v>
      </c>
      <c r="E239" s="72">
        <v>-70.045921329999999</v>
      </c>
      <c r="G239">
        <v>1561575150.3006234</v>
      </c>
      <c r="H239" s="72">
        <v>-70.401100159999999</v>
      </c>
    </row>
    <row r="240" spans="1:8">
      <c r="A240">
        <v>1555084609.2184305</v>
      </c>
      <c r="B240" s="72">
        <v>-69.889419559999993</v>
      </c>
      <c r="D240">
        <v>1572724609.2184305</v>
      </c>
      <c r="E240" s="72">
        <v>-70.371902469999995</v>
      </c>
      <c r="G240">
        <v>1561615230.4609442</v>
      </c>
      <c r="H240" s="72">
        <v>-70.613487239999998</v>
      </c>
    </row>
    <row r="241" spans="1:8">
      <c r="A241">
        <v>1555086212.4248433</v>
      </c>
      <c r="B241" s="72">
        <v>-69.999313349999994</v>
      </c>
      <c r="D241">
        <v>1572726212.4248433</v>
      </c>
      <c r="E241" s="72">
        <v>-70.187362669999999</v>
      </c>
      <c r="G241">
        <v>1561655310.6212649</v>
      </c>
      <c r="H241" s="72">
        <v>-70.78361511</v>
      </c>
    </row>
    <row r="242" spans="1:8">
      <c r="A242">
        <v>1555087815.6312561</v>
      </c>
      <c r="B242" s="72">
        <v>-69.971122739999998</v>
      </c>
      <c r="D242">
        <v>1572727815.6312561</v>
      </c>
      <c r="E242" s="72">
        <v>-69.999305730000003</v>
      </c>
      <c r="G242">
        <v>1561695390.7815857</v>
      </c>
      <c r="H242" s="72">
        <v>-70.750778199999999</v>
      </c>
    </row>
    <row r="243" spans="1:8">
      <c r="A243">
        <v>1555089418.8376689</v>
      </c>
      <c r="B243" s="72">
        <v>-70.104621890000004</v>
      </c>
      <c r="D243">
        <v>1572729418.8376689</v>
      </c>
      <c r="E243" s="72">
        <v>-70.370559689999993</v>
      </c>
      <c r="G243">
        <v>1561735470.9419065</v>
      </c>
      <c r="H243" s="72">
        <v>-70.592048649999995</v>
      </c>
    </row>
    <row r="244" spans="1:8">
      <c r="A244">
        <v>1555091022.0440817</v>
      </c>
      <c r="B244" s="72">
        <v>-70.157997129999998</v>
      </c>
      <c r="D244">
        <v>1572731022.0440817</v>
      </c>
      <c r="E244" s="72">
        <v>-70.128463749999995</v>
      </c>
      <c r="G244">
        <v>1561775551.1022272</v>
      </c>
      <c r="H244" s="72">
        <v>-70.389137270000006</v>
      </c>
    </row>
    <row r="245" spans="1:8">
      <c r="A245">
        <v>1555092625.2504945</v>
      </c>
      <c r="B245" s="72">
        <v>-70.046127319999997</v>
      </c>
      <c r="D245">
        <v>1572732625.2504945</v>
      </c>
      <c r="E245" s="72">
        <v>-70.234405519999996</v>
      </c>
      <c r="G245">
        <v>1561815631.262548</v>
      </c>
      <c r="H245" s="72">
        <v>-70.616287229999998</v>
      </c>
    </row>
    <row r="246" spans="1:8">
      <c r="A246">
        <v>1555094228.4569073</v>
      </c>
      <c r="B246" s="72">
        <v>-70.128311159999996</v>
      </c>
      <c r="D246">
        <v>1572734228.4569073</v>
      </c>
      <c r="E246" s="72">
        <v>-70.218475339999998</v>
      </c>
      <c r="G246">
        <v>1561855711.4228687</v>
      </c>
      <c r="H246" s="72">
        <v>-70.772193909999999</v>
      </c>
    </row>
    <row r="247" spans="1:8">
      <c r="A247">
        <v>1555095831.6633201</v>
      </c>
      <c r="B247" s="72">
        <v>-69.719512940000001</v>
      </c>
      <c r="D247">
        <v>1572735831.6633201</v>
      </c>
      <c r="E247" s="72">
        <v>-70.424964900000006</v>
      </c>
      <c r="G247">
        <v>1561895791.5831895</v>
      </c>
      <c r="H247" s="72">
        <v>-70.738586429999998</v>
      </c>
    </row>
    <row r="248" spans="1:8">
      <c r="A248">
        <v>1555097434.8697329</v>
      </c>
      <c r="B248" s="72">
        <v>-70.008277890000002</v>
      </c>
      <c r="D248">
        <v>1572737434.8697329</v>
      </c>
      <c r="E248" s="72">
        <v>-69.971298219999994</v>
      </c>
      <c r="G248">
        <v>1561935871.7435102</v>
      </c>
      <c r="H248" s="72">
        <v>-70.777786250000005</v>
      </c>
    </row>
    <row r="249" spans="1:8">
      <c r="A249">
        <v>1555099038.0761456</v>
      </c>
      <c r="B249" s="72">
        <v>-69.969741819999996</v>
      </c>
      <c r="D249">
        <v>1572739038.0761456</v>
      </c>
      <c r="E249" s="72">
        <v>-70.452262880000006</v>
      </c>
      <c r="G249">
        <v>1561975951.903831</v>
      </c>
      <c r="H249" s="72">
        <v>-70.415695189999994</v>
      </c>
    </row>
    <row r="250" spans="1:8">
      <c r="A250">
        <v>1555100641.2825584</v>
      </c>
      <c r="B250" s="72">
        <v>-69.921836850000005</v>
      </c>
      <c r="D250">
        <v>1572740641.2825584</v>
      </c>
      <c r="E250" s="72">
        <v>-70.314704899999995</v>
      </c>
      <c r="G250">
        <v>1562016032.0641518</v>
      </c>
      <c r="H250" s="72">
        <v>-70.828491209999996</v>
      </c>
    </row>
    <row r="251" spans="1:8">
      <c r="A251">
        <v>1555102244.4889712</v>
      </c>
      <c r="B251" s="72">
        <v>-69.911331180000005</v>
      </c>
      <c r="D251">
        <v>1572742244.4889712</v>
      </c>
      <c r="E251" s="72">
        <v>-70.320236210000004</v>
      </c>
      <c r="G251">
        <v>1562056112.2244725</v>
      </c>
      <c r="H251" s="72">
        <v>-70.698875430000001</v>
      </c>
    </row>
    <row r="252" spans="1:8">
      <c r="A252">
        <v>1555103847.695384</v>
      </c>
      <c r="B252" s="72">
        <v>-70.259033200000005</v>
      </c>
      <c r="D252">
        <v>1572743847.695384</v>
      </c>
      <c r="E252" s="72">
        <v>-70.161125179999999</v>
      </c>
      <c r="G252">
        <v>1562096192.3847933</v>
      </c>
      <c r="H252" s="72">
        <v>-70.473434449999999</v>
      </c>
    </row>
    <row r="253" spans="1:8">
      <c r="A253">
        <v>1555105450.9017968</v>
      </c>
      <c r="B253" s="72">
        <v>-70.104423519999997</v>
      </c>
      <c r="D253">
        <v>1572745450.9017968</v>
      </c>
      <c r="E253" s="72">
        <v>-70.131156919999995</v>
      </c>
      <c r="G253">
        <v>1562136272.545114</v>
      </c>
      <c r="H253" s="72">
        <v>-70.618423460000002</v>
      </c>
    </row>
    <row r="254" spans="1:8">
      <c r="A254">
        <v>1555107054.1082096</v>
      </c>
      <c r="B254" s="72">
        <v>-69.844009400000004</v>
      </c>
      <c r="D254">
        <v>1572747054.1082096</v>
      </c>
      <c r="E254" s="72">
        <v>-69.993911740000001</v>
      </c>
      <c r="G254">
        <v>1562176352.7054348</v>
      </c>
      <c r="H254" s="72">
        <v>-70.754623409999994</v>
      </c>
    </row>
    <row r="255" spans="1:8">
      <c r="A255">
        <v>1555108657.3146224</v>
      </c>
      <c r="B255" s="72">
        <v>-70.011367800000002</v>
      </c>
      <c r="D255">
        <v>1572748657.3146224</v>
      </c>
      <c r="E255" s="72">
        <v>-70.206153869999994</v>
      </c>
      <c r="G255">
        <v>1562216432.8657556</v>
      </c>
      <c r="H255" s="72">
        <v>-70.806030269999994</v>
      </c>
    </row>
    <row r="256" spans="1:8">
      <c r="A256">
        <v>1555110260.5210352</v>
      </c>
      <c r="B256" s="72">
        <v>-69.935119630000003</v>
      </c>
      <c r="D256">
        <v>1572750260.5210352</v>
      </c>
      <c r="E256" s="72">
        <v>-70.031196589999993</v>
      </c>
      <c r="G256">
        <v>1562256513.0260763</v>
      </c>
      <c r="H256" s="72">
        <v>-70.504920960000007</v>
      </c>
    </row>
    <row r="257" spans="1:8">
      <c r="A257">
        <v>1555111863.727448</v>
      </c>
      <c r="B257" s="72">
        <v>-70.032279970000005</v>
      </c>
      <c r="D257">
        <v>1572751863.727448</v>
      </c>
      <c r="E257" s="72">
        <v>-70.162406919999995</v>
      </c>
      <c r="G257">
        <v>1562296593.1863971</v>
      </c>
      <c r="H257" s="72">
        <v>-70.527793880000004</v>
      </c>
    </row>
    <row r="258" spans="1:8">
      <c r="A258">
        <v>1555113466.9338608</v>
      </c>
      <c r="B258" s="72">
        <v>-70.140830989999998</v>
      </c>
      <c r="D258">
        <v>1572753466.9338608</v>
      </c>
      <c r="E258" s="72">
        <v>-70.058311459999999</v>
      </c>
      <c r="G258">
        <v>1562336673.3467178</v>
      </c>
      <c r="H258" s="72">
        <v>-70.842369079999997</v>
      </c>
    </row>
    <row r="259" spans="1:8">
      <c r="A259">
        <v>1555115070.1402736</v>
      </c>
      <c r="B259" s="72">
        <v>-70.058074950000005</v>
      </c>
      <c r="D259">
        <v>1572755070.1402736</v>
      </c>
      <c r="E259" s="72">
        <v>-70.224967960000001</v>
      </c>
      <c r="G259">
        <v>1562376753.5070386</v>
      </c>
      <c r="H259" s="72">
        <v>-70.532348630000001</v>
      </c>
    </row>
    <row r="260" spans="1:8">
      <c r="A260">
        <v>1555116673.3466864</v>
      </c>
      <c r="B260" s="72">
        <v>-69.794204710000002</v>
      </c>
      <c r="D260">
        <v>1572756673.3466864</v>
      </c>
      <c r="E260" s="72">
        <v>-70.03669739</v>
      </c>
      <c r="G260">
        <v>1562416833.6673594</v>
      </c>
      <c r="H260" s="72">
        <v>-70.671035770000003</v>
      </c>
    </row>
    <row r="261" spans="1:8">
      <c r="A261">
        <v>1555118276.5530992</v>
      </c>
      <c r="B261" s="72">
        <v>-70.072593690000005</v>
      </c>
      <c r="D261">
        <v>1572758276.5530992</v>
      </c>
      <c r="E261" s="72">
        <v>-70.321777339999997</v>
      </c>
      <c r="G261">
        <v>1562456913.8276801</v>
      </c>
      <c r="H261" s="72">
        <v>-70.691520690000004</v>
      </c>
    </row>
    <row r="262" spans="1:8">
      <c r="A262">
        <v>1555119879.7595119</v>
      </c>
      <c r="B262" s="72">
        <v>-69.79450989</v>
      </c>
      <c r="D262">
        <v>1572759879.7595119</v>
      </c>
      <c r="E262" s="72">
        <v>-70.191062930000001</v>
      </c>
      <c r="G262">
        <v>1562496993.9880009</v>
      </c>
      <c r="H262" s="72">
        <v>-70.77435303</v>
      </c>
    </row>
    <row r="263" spans="1:8">
      <c r="A263">
        <v>1555121482.9659247</v>
      </c>
      <c r="B263" s="72">
        <v>-70.086631769999997</v>
      </c>
      <c r="D263">
        <v>1572761482.9659247</v>
      </c>
      <c r="E263" s="72">
        <v>-70.131156919999995</v>
      </c>
      <c r="G263">
        <v>1562537074.1483216</v>
      </c>
      <c r="H263" s="72">
        <v>-70.496559140000002</v>
      </c>
    </row>
    <row r="264" spans="1:8">
      <c r="A264">
        <v>1555123086.1723375</v>
      </c>
      <c r="B264" s="72">
        <v>-70.185226439999994</v>
      </c>
      <c r="D264">
        <v>1572763086.1723375</v>
      </c>
      <c r="E264" s="72">
        <v>-70.284065249999998</v>
      </c>
      <c r="G264">
        <v>1562577154.3086424</v>
      </c>
      <c r="H264" s="72">
        <v>-70.640151979999999</v>
      </c>
    </row>
    <row r="265" spans="1:8">
      <c r="A265">
        <v>1555124689.3787503</v>
      </c>
      <c r="B265" s="72">
        <v>-70.088760379999997</v>
      </c>
      <c r="D265">
        <v>1572764689.3787503</v>
      </c>
      <c r="E265" s="72">
        <v>-70.418540949999993</v>
      </c>
      <c r="G265">
        <v>1562617234.4689631</v>
      </c>
      <c r="H265" s="72">
        <v>-70.668174739999998</v>
      </c>
    </row>
    <row r="266" spans="1:8">
      <c r="A266">
        <v>1555126292.5851631</v>
      </c>
      <c r="B266" s="72">
        <v>-70.074745179999994</v>
      </c>
      <c r="D266">
        <v>1572766292.5851631</v>
      </c>
      <c r="E266" s="72">
        <v>-70.126953119999996</v>
      </c>
      <c r="G266">
        <v>1562657314.6292839</v>
      </c>
      <c r="H266" s="72">
        <v>-70.759201050000001</v>
      </c>
    </row>
    <row r="267" spans="1:8">
      <c r="A267">
        <v>1555127895.7915759</v>
      </c>
      <c r="B267" s="72">
        <v>-70.162620540000006</v>
      </c>
      <c r="D267">
        <v>1572767895.7915759</v>
      </c>
      <c r="E267" s="72">
        <v>-70.153129579999998</v>
      </c>
      <c r="G267">
        <v>1562697394.7896047</v>
      </c>
      <c r="H267" s="72">
        <v>-70.484298710000004</v>
      </c>
    </row>
    <row r="268" spans="1:8">
      <c r="A268">
        <v>1555129498.9979887</v>
      </c>
      <c r="B268" s="72">
        <v>-70.180046079999997</v>
      </c>
      <c r="D268">
        <v>1572769498.9979887</v>
      </c>
      <c r="E268" s="72">
        <v>-70.154281620000006</v>
      </c>
      <c r="G268">
        <v>1562737474.9499254</v>
      </c>
      <c r="H268" s="72">
        <v>-70.700088500000007</v>
      </c>
    </row>
    <row r="269" spans="1:8">
      <c r="A269">
        <v>1555131102.2044015</v>
      </c>
      <c r="B269" s="72">
        <v>-70.159767149999993</v>
      </c>
      <c r="D269">
        <v>1572771102.2044015</v>
      </c>
      <c r="E269" s="72">
        <v>-70.257537839999998</v>
      </c>
      <c r="G269">
        <v>1562777555.1102462</v>
      </c>
      <c r="H269" s="72">
        <v>-70.419296259999996</v>
      </c>
    </row>
    <row r="270" spans="1:8">
      <c r="A270">
        <v>1555132705.4108143</v>
      </c>
      <c r="B270" s="72">
        <v>-69.737304690000002</v>
      </c>
      <c r="D270">
        <v>1572772705.4108143</v>
      </c>
      <c r="E270" s="72">
        <v>-69.903068540000007</v>
      </c>
      <c r="G270">
        <v>1562817635.2705669</v>
      </c>
      <c r="H270" s="72">
        <v>-70.686164860000005</v>
      </c>
    </row>
    <row r="271" spans="1:8">
      <c r="A271">
        <v>1555134308.6172271</v>
      </c>
      <c r="B271" s="72">
        <v>-70.052749629999994</v>
      </c>
      <c r="D271">
        <v>1572774308.6172271</v>
      </c>
      <c r="E271" s="72">
        <v>-70.125442500000005</v>
      </c>
      <c r="G271">
        <v>1562857715.4308877</v>
      </c>
      <c r="H271" s="72">
        <v>-70.49700928</v>
      </c>
    </row>
    <row r="272" spans="1:8">
      <c r="A272">
        <v>1555135911.8236399</v>
      </c>
      <c r="B272" s="72">
        <v>-69.947761540000002</v>
      </c>
      <c r="D272">
        <v>1572775911.8236399</v>
      </c>
      <c r="E272" s="72">
        <v>-70.151802059999994</v>
      </c>
      <c r="G272">
        <v>1562897795.5912085</v>
      </c>
      <c r="H272" s="72">
        <v>-70.664001459999994</v>
      </c>
    </row>
    <row r="273" spans="1:8">
      <c r="A273">
        <v>1555137515.0300527</v>
      </c>
      <c r="B273" s="72">
        <v>-69.97733307</v>
      </c>
      <c r="D273">
        <v>1572777515.0300527</v>
      </c>
      <c r="E273" s="72">
        <v>-70.361320500000005</v>
      </c>
      <c r="G273">
        <v>1562937875.7515292</v>
      </c>
      <c r="H273" s="72">
        <v>-70.584304810000006</v>
      </c>
    </row>
    <row r="274" spans="1:8">
      <c r="A274">
        <v>1555139118.2364655</v>
      </c>
      <c r="B274" s="72">
        <v>-69.89814758</v>
      </c>
      <c r="D274">
        <v>1572779118.2364655</v>
      </c>
      <c r="E274" s="72">
        <v>-70.209358219999999</v>
      </c>
      <c r="G274">
        <v>1562977955.91185</v>
      </c>
      <c r="H274" s="72">
        <v>-70.57769012</v>
      </c>
    </row>
    <row r="275" spans="1:8">
      <c r="A275">
        <v>1555140721.4428782</v>
      </c>
      <c r="B275" s="72">
        <v>-70.310379030000007</v>
      </c>
      <c r="D275">
        <v>1572780721.4428782</v>
      </c>
      <c r="E275" s="72">
        <v>-70.361534120000002</v>
      </c>
      <c r="G275">
        <v>1563018036.0721707</v>
      </c>
      <c r="H275" s="72">
        <v>-70.338409420000005</v>
      </c>
    </row>
    <row r="276" spans="1:8">
      <c r="A276">
        <v>1555142324.649291</v>
      </c>
      <c r="B276" s="72">
        <v>-69.747543329999999</v>
      </c>
      <c r="D276">
        <v>1572782324.649291</v>
      </c>
      <c r="E276" s="72">
        <v>-70.11906433</v>
      </c>
      <c r="G276">
        <v>1563058116.2324915</v>
      </c>
      <c r="H276" s="72">
        <v>-70.727554319999996</v>
      </c>
    </row>
    <row r="277" spans="1:8">
      <c r="A277">
        <v>1555143927.8557038</v>
      </c>
      <c r="B277" s="72">
        <v>-70.123771669999996</v>
      </c>
      <c r="D277">
        <v>1572783927.8557038</v>
      </c>
      <c r="E277" s="72">
        <v>-70.344619550000004</v>
      </c>
      <c r="G277">
        <v>1563098196.3928123</v>
      </c>
      <c r="H277" s="72">
        <v>-70.835540769999994</v>
      </c>
    </row>
    <row r="278" spans="1:8">
      <c r="A278">
        <v>1555145531.0621166</v>
      </c>
      <c r="B278" s="72">
        <v>-69.842819210000002</v>
      </c>
      <c r="D278">
        <v>1572785531.0621166</v>
      </c>
      <c r="E278" s="72">
        <v>-70.205795289999998</v>
      </c>
      <c r="G278">
        <v>1563138276.553133</v>
      </c>
      <c r="H278" s="72">
        <v>-70.415687559999995</v>
      </c>
    </row>
    <row r="279" spans="1:8">
      <c r="A279">
        <v>1555147134.2685294</v>
      </c>
      <c r="B279" s="72">
        <v>-70.060150149999998</v>
      </c>
      <c r="D279">
        <v>1572787134.2685294</v>
      </c>
      <c r="E279" s="72">
        <v>-69.845283510000002</v>
      </c>
      <c r="G279">
        <v>1563178356.7134538</v>
      </c>
      <c r="H279" s="72">
        <v>-70.675521849999996</v>
      </c>
    </row>
    <row r="280" spans="1:8">
      <c r="A280">
        <v>1555148737.4749422</v>
      </c>
      <c r="B280" s="72">
        <v>-69.997756960000004</v>
      </c>
      <c r="D280">
        <v>1572788737.4749422</v>
      </c>
      <c r="E280" s="72">
        <v>-70.312088009999997</v>
      </c>
      <c r="G280">
        <v>1563218436.8737745</v>
      </c>
      <c r="H280" s="72">
        <v>-70.529739379999995</v>
      </c>
    </row>
    <row r="281" spans="1:8">
      <c r="A281">
        <v>1555150340.681355</v>
      </c>
      <c r="B281" s="72">
        <v>-70.019599909999997</v>
      </c>
      <c r="D281">
        <v>1572790340.681355</v>
      </c>
      <c r="E281" s="72">
        <v>-70.045921329999999</v>
      </c>
      <c r="G281">
        <v>1563258517.0340953</v>
      </c>
      <c r="H281" s="72">
        <v>-70.533149719999997</v>
      </c>
    </row>
    <row r="282" spans="1:8">
      <c r="A282">
        <v>1555151943.8877678</v>
      </c>
      <c r="B282" s="72">
        <v>-70.102920530000006</v>
      </c>
      <c r="D282">
        <v>1572791943.8877678</v>
      </c>
      <c r="E282" s="72">
        <v>-70.182670590000001</v>
      </c>
      <c r="G282">
        <v>1563298597.194416</v>
      </c>
      <c r="H282" s="72">
        <v>-70.389129639999993</v>
      </c>
    </row>
    <row r="283" spans="1:8">
      <c r="A283">
        <v>1555153547.0941806</v>
      </c>
      <c r="B283" s="72">
        <v>-70.00202942</v>
      </c>
      <c r="D283">
        <v>1572793547.0941806</v>
      </c>
      <c r="E283" s="72">
        <v>-70.202926640000001</v>
      </c>
      <c r="G283">
        <v>1563338677.3547368</v>
      </c>
      <c r="H283" s="72">
        <v>-70.772415159999994</v>
      </c>
    </row>
    <row r="284" spans="1:8">
      <c r="A284">
        <v>1555155150.3005934</v>
      </c>
      <c r="B284" s="72">
        <v>-69.764968870000004</v>
      </c>
      <c r="D284">
        <v>1572795150.3005934</v>
      </c>
      <c r="E284" s="72">
        <v>-70.179618840000003</v>
      </c>
      <c r="G284">
        <v>1563378757.5150576</v>
      </c>
      <c r="H284" s="72">
        <v>-70.553077700000003</v>
      </c>
    </row>
    <row r="285" spans="1:8">
      <c r="A285">
        <v>1555156753.5070062</v>
      </c>
      <c r="B285" s="72">
        <v>-69.955718989999994</v>
      </c>
      <c r="D285">
        <v>1572796753.5070062</v>
      </c>
      <c r="E285" s="72">
        <v>-70.230972289999997</v>
      </c>
      <c r="G285">
        <v>1563418837.6753783</v>
      </c>
      <c r="H285" s="72">
        <v>-70.660079960000004</v>
      </c>
    </row>
    <row r="286" spans="1:8">
      <c r="A286">
        <v>1555158356.713419</v>
      </c>
      <c r="B286" s="72">
        <v>-70.053825380000006</v>
      </c>
      <c r="D286">
        <v>1572798356.713419</v>
      </c>
      <c r="E286" s="72">
        <v>-70.3349762</v>
      </c>
      <c r="G286">
        <v>1563458917.8356991</v>
      </c>
      <c r="H286" s="72">
        <v>-70.695678709999996</v>
      </c>
    </row>
    <row r="287" spans="1:8">
      <c r="A287">
        <v>1555159959.9198318</v>
      </c>
      <c r="B287" s="72">
        <v>-69.964904790000006</v>
      </c>
      <c r="D287">
        <v>1572799959.9198318</v>
      </c>
      <c r="E287" s="72">
        <v>-69.971450809999993</v>
      </c>
      <c r="G287">
        <v>1563498997.9960198</v>
      </c>
      <c r="H287" s="72">
        <v>-70.498985289999993</v>
      </c>
    </row>
    <row r="288" spans="1:8">
      <c r="A288">
        <v>1555161563.1262445</v>
      </c>
      <c r="B288" s="72">
        <v>-69.902725219999994</v>
      </c>
      <c r="D288">
        <v>1572801563.1262445</v>
      </c>
      <c r="E288" s="72">
        <v>-70.229263309999993</v>
      </c>
      <c r="G288">
        <v>1563539078.1563406</v>
      </c>
      <c r="H288" s="72">
        <v>-70.614982600000005</v>
      </c>
    </row>
    <row r="289" spans="1:8">
      <c r="A289">
        <v>1555163166.3326573</v>
      </c>
      <c r="B289" s="72">
        <v>-69.847152710000003</v>
      </c>
      <c r="D289">
        <v>1572803166.3326573</v>
      </c>
      <c r="E289" s="72">
        <v>-70.106033330000002</v>
      </c>
      <c r="G289">
        <v>1563579158.3166614</v>
      </c>
      <c r="H289" s="72">
        <v>-70.468544010000002</v>
      </c>
    </row>
    <row r="290" spans="1:8">
      <c r="A290">
        <v>1555164769.5390701</v>
      </c>
      <c r="B290" s="72">
        <v>-69.86158752</v>
      </c>
      <c r="D290">
        <v>1572804769.5390701</v>
      </c>
      <c r="E290" s="72">
        <v>-70.342758180000004</v>
      </c>
      <c r="G290">
        <v>1563619238.4769821</v>
      </c>
      <c r="H290" s="72">
        <v>-70.656204220000006</v>
      </c>
    </row>
    <row r="291" spans="1:8">
      <c r="A291">
        <v>1555166372.7454829</v>
      </c>
      <c r="B291" s="72">
        <v>-70.000167849999997</v>
      </c>
      <c r="D291">
        <v>1572806372.7454829</v>
      </c>
      <c r="E291" s="72">
        <v>-70.285110470000006</v>
      </c>
      <c r="G291">
        <v>1563659318.6373029</v>
      </c>
      <c r="H291" s="72">
        <v>-70.505111690000007</v>
      </c>
    </row>
    <row r="292" spans="1:8">
      <c r="A292">
        <v>1555167975.9518957</v>
      </c>
      <c r="B292" s="72">
        <v>-70.033134459999999</v>
      </c>
      <c r="D292">
        <v>1572807975.9518957</v>
      </c>
      <c r="E292" s="72">
        <v>-70.339752200000007</v>
      </c>
      <c r="G292">
        <v>1563699398.7976236</v>
      </c>
      <c r="H292" s="72">
        <v>-70.629882809999998</v>
      </c>
    </row>
    <row r="293" spans="1:8">
      <c r="A293">
        <v>1555169579.1583085</v>
      </c>
      <c r="B293" s="72">
        <v>-69.952667239999997</v>
      </c>
      <c r="D293">
        <v>1572809579.1583085</v>
      </c>
      <c r="E293" s="72">
        <v>-70.150085450000006</v>
      </c>
      <c r="G293">
        <v>1563739478.9579444</v>
      </c>
      <c r="H293" s="72">
        <v>-70.712486269999999</v>
      </c>
    </row>
    <row r="294" spans="1:8">
      <c r="A294">
        <v>1555171182.3647213</v>
      </c>
      <c r="B294" s="72">
        <v>-69.93156433</v>
      </c>
      <c r="D294">
        <v>1572811182.3647213</v>
      </c>
      <c r="E294" s="72">
        <v>-70.159584050000007</v>
      </c>
      <c r="G294">
        <v>1563779559.1182652</v>
      </c>
      <c r="H294" s="72">
        <v>-70.633529659999994</v>
      </c>
    </row>
    <row r="295" spans="1:8">
      <c r="A295">
        <v>1555172785.5711341</v>
      </c>
      <c r="B295" s="72">
        <v>-70.00486755</v>
      </c>
      <c r="D295">
        <v>1572812785.5711341</v>
      </c>
      <c r="E295" s="72">
        <v>-70.194648740000005</v>
      </c>
      <c r="G295">
        <v>1563819639.2785859</v>
      </c>
      <c r="H295" s="72">
        <v>-70.605728150000004</v>
      </c>
    </row>
    <row r="296" spans="1:8">
      <c r="A296">
        <v>1555174388.7775469</v>
      </c>
      <c r="B296" s="72">
        <v>-70.25501251</v>
      </c>
      <c r="D296">
        <v>1572814388.7775469</v>
      </c>
      <c r="E296" s="72">
        <v>-70.424003600000006</v>
      </c>
      <c r="G296">
        <v>1563859719.4389067</v>
      </c>
      <c r="H296" s="72">
        <v>-70.737121579999993</v>
      </c>
    </row>
    <row r="297" spans="1:8">
      <c r="A297">
        <v>1555175991.9839597</v>
      </c>
      <c r="B297" s="72">
        <v>-70.17795563</v>
      </c>
      <c r="D297">
        <v>1572815991.9839597</v>
      </c>
      <c r="E297" s="72">
        <v>-70.261802669999994</v>
      </c>
      <c r="G297">
        <v>1563899799.5992274</v>
      </c>
      <c r="H297" s="72">
        <v>-70.605484009999998</v>
      </c>
    </row>
    <row r="298" spans="1:8">
      <c r="A298">
        <v>1555177595.1903725</v>
      </c>
      <c r="B298" s="72">
        <v>-70.07831573</v>
      </c>
      <c r="D298">
        <v>1572817595.1903725</v>
      </c>
      <c r="E298" s="72">
        <v>-70.396400450000002</v>
      </c>
      <c r="G298">
        <v>1563939879.7595482</v>
      </c>
      <c r="H298" s="72">
        <v>-70.559906010000006</v>
      </c>
    </row>
    <row r="299" spans="1:8">
      <c r="A299">
        <v>1555179198.3967853</v>
      </c>
      <c r="B299" s="72">
        <v>-70.055770870000003</v>
      </c>
      <c r="D299">
        <v>1572819198.3967853</v>
      </c>
      <c r="E299" s="72">
        <v>-69.947593690000005</v>
      </c>
      <c r="G299">
        <v>1563979959.9198689</v>
      </c>
      <c r="H299" s="72">
        <v>-70.726844790000001</v>
      </c>
    </row>
    <row r="300" spans="1:8">
      <c r="A300">
        <v>1555180801.6031981</v>
      </c>
      <c r="B300" s="72">
        <v>-69.725631710000002</v>
      </c>
      <c r="D300">
        <v>1572820801.6031981</v>
      </c>
      <c r="E300" s="72">
        <v>-69.909408569999997</v>
      </c>
      <c r="G300">
        <v>1564020040.0801897</v>
      </c>
      <c r="H300" s="72">
        <v>-70.580886840000005</v>
      </c>
    </row>
    <row r="301" spans="1:8">
      <c r="A301">
        <v>1555182404.8096108</v>
      </c>
      <c r="B301" s="72">
        <v>-70.160827639999994</v>
      </c>
      <c r="D301">
        <v>1572822404.8096108</v>
      </c>
      <c r="E301" s="72">
        <v>-70.103111269999999</v>
      </c>
      <c r="G301">
        <v>1564060120.2405105</v>
      </c>
      <c r="H301" s="72">
        <v>-70.740524289999996</v>
      </c>
    </row>
    <row r="302" spans="1:8">
      <c r="A302">
        <v>1555184008.0160236</v>
      </c>
      <c r="B302" s="72">
        <v>-69.91984558</v>
      </c>
      <c r="D302">
        <v>1572824008.0160236</v>
      </c>
      <c r="E302" s="72">
        <v>-70.083435059999999</v>
      </c>
      <c r="G302">
        <v>1564100200.4008312</v>
      </c>
      <c r="H302" s="72">
        <v>-70.637161250000005</v>
      </c>
    </row>
    <row r="303" spans="1:8">
      <c r="A303">
        <v>1555185611.2224364</v>
      </c>
      <c r="B303" s="72">
        <v>-69.877166750000001</v>
      </c>
      <c r="D303">
        <v>1572825611.2224364</v>
      </c>
      <c r="E303" s="72">
        <v>-70.188842769999994</v>
      </c>
      <c r="G303">
        <v>1564140280.561152</v>
      </c>
      <c r="H303" s="72">
        <v>-70.574096679999997</v>
      </c>
    </row>
    <row r="304" spans="1:8">
      <c r="A304">
        <v>1555187214.4288492</v>
      </c>
      <c r="B304" s="72">
        <v>-69.823379520000003</v>
      </c>
      <c r="D304">
        <v>1572827214.4288492</v>
      </c>
      <c r="E304" s="72">
        <v>-69.892097469999996</v>
      </c>
      <c r="G304">
        <v>1564180360.7214727</v>
      </c>
      <c r="H304" s="72">
        <v>-70.725440980000002</v>
      </c>
    </row>
    <row r="305" spans="1:8">
      <c r="A305">
        <v>1555188817.635262</v>
      </c>
      <c r="B305" s="72">
        <v>-70.155776979999999</v>
      </c>
      <c r="D305">
        <v>1572828817.635262</v>
      </c>
      <c r="E305" s="72">
        <v>-70.281066890000005</v>
      </c>
      <c r="G305">
        <v>1564220440.8817935</v>
      </c>
      <c r="H305" s="72">
        <v>-70.636947629999995</v>
      </c>
    </row>
    <row r="306" spans="1:8">
      <c r="A306">
        <v>1555190420.8416748</v>
      </c>
      <c r="B306" s="72">
        <v>-70.302017210000002</v>
      </c>
      <c r="D306">
        <v>1572830420.8416748</v>
      </c>
      <c r="E306" s="72">
        <v>-69.955642699999999</v>
      </c>
      <c r="G306">
        <v>1564260521.0421143</v>
      </c>
      <c r="H306" s="72">
        <v>-70.68981934</v>
      </c>
    </row>
    <row r="307" spans="1:8">
      <c r="A307">
        <v>1555192024.0480876</v>
      </c>
      <c r="B307" s="72">
        <v>-69.920639039999998</v>
      </c>
      <c r="D307">
        <v>1572832024.0480876</v>
      </c>
      <c r="E307" s="72">
        <v>-70.501037600000004</v>
      </c>
      <c r="G307">
        <v>1564300601.202435</v>
      </c>
      <c r="H307" s="72">
        <v>-70.608924869999996</v>
      </c>
    </row>
    <row r="308" spans="1:8">
      <c r="A308">
        <v>1555193627.2545004</v>
      </c>
      <c r="B308" s="72">
        <v>-70.007652280000002</v>
      </c>
      <c r="D308">
        <v>1572833627.2545004</v>
      </c>
      <c r="E308" s="72">
        <v>-70.250694269999997</v>
      </c>
      <c r="G308">
        <v>1564340681.3627558</v>
      </c>
      <c r="H308" s="72">
        <v>-70.334960940000002</v>
      </c>
    </row>
    <row r="309" spans="1:8">
      <c r="A309">
        <v>1555195230.4609132</v>
      </c>
      <c r="B309" s="72">
        <v>-70.179626459999994</v>
      </c>
      <c r="D309">
        <v>1572835230.4609132</v>
      </c>
      <c r="E309" s="72">
        <v>-70.278915409999996</v>
      </c>
      <c r="G309">
        <v>1564380761.5230765</v>
      </c>
      <c r="H309" s="72">
        <v>-70.498275759999999</v>
      </c>
    </row>
    <row r="310" spans="1:8">
      <c r="A310">
        <v>1555196833.667326</v>
      </c>
      <c r="B310" s="72">
        <v>-70.104827880000002</v>
      </c>
      <c r="D310">
        <v>1572836833.667326</v>
      </c>
      <c r="E310" s="72">
        <v>-69.992027280000002</v>
      </c>
      <c r="G310">
        <v>1564420841.6833973</v>
      </c>
      <c r="H310" s="72">
        <v>-70.635452270000002</v>
      </c>
    </row>
    <row r="311" spans="1:8">
      <c r="A311">
        <v>1555198436.8737388</v>
      </c>
      <c r="B311" s="72">
        <v>-70.027137760000002</v>
      </c>
      <c r="D311">
        <v>1572838436.8737388</v>
      </c>
      <c r="E311" s="72">
        <v>-70.507057189999998</v>
      </c>
      <c r="G311">
        <v>1564460921.8437181</v>
      </c>
      <c r="H311" s="72">
        <v>-70.481437679999999</v>
      </c>
    </row>
    <row r="312" spans="1:8">
      <c r="A312">
        <v>1555200040.0801516</v>
      </c>
      <c r="B312" s="72">
        <v>-69.88108063</v>
      </c>
      <c r="D312">
        <v>1572840040.0801516</v>
      </c>
      <c r="E312" s="72">
        <v>-70.092521669999996</v>
      </c>
      <c r="G312">
        <v>1564501002.0040388</v>
      </c>
      <c r="H312" s="72">
        <v>-70.60720062</v>
      </c>
    </row>
    <row r="313" spans="1:8">
      <c r="A313">
        <v>1555201643.2865644</v>
      </c>
      <c r="B313" s="72">
        <v>-70.022598270000003</v>
      </c>
      <c r="D313">
        <v>1572841643.2865644</v>
      </c>
      <c r="E313" s="72">
        <v>-70.364730829999999</v>
      </c>
      <c r="G313">
        <v>1564541082.1643596</v>
      </c>
      <c r="H313" s="72">
        <v>-70.562362669999999</v>
      </c>
    </row>
    <row r="314" spans="1:8">
      <c r="A314">
        <v>1555203246.4929771</v>
      </c>
      <c r="B314" s="72">
        <v>-70.181320189999994</v>
      </c>
      <c r="D314">
        <v>1572843246.4929771</v>
      </c>
      <c r="E314" s="72">
        <v>-70.239356990000005</v>
      </c>
      <c r="G314">
        <v>1564581162.3246803</v>
      </c>
      <c r="H314" s="72">
        <v>-70.694717409999996</v>
      </c>
    </row>
    <row r="315" spans="1:8">
      <c r="A315">
        <v>1555204849.6993899</v>
      </c>
      <c r="B315" s="72">
        <v>-70.148788449999998</v>
      </c>
      <c r="D315">
        <v>1572844849.6993899</v>
      </c>
      <c r="E315" s="72">
        <v>-70.333076480000003</v>
      </c>
      <c r="G315">
        <v>1564621242.4850011</v>
      </c>
      <c r="H315" s="72">
        <v>-70.672782900000001</v>
      </c>
    </row>
    <row r="316" spans="1:8">
      <c r="A316">
        <v>1555206452.9058027</v>
      </c>
      <c r="B316" s="72">
        <v>-69.899360659999999</v>
      </c>
      <c r="D316">
        <v>1572846452.9058027</v>
      </c>
      <c r="E316" s="72">
        <v>-70.303405760000004</v>
      </c>
      <c r="G316">
        <v>1564661322.6453218</v>
      </c>
      <c r="H316" s="72">
        <v>-70.696846010000002</v>
      </c>
    </row>
    <row r="317" spans="1:8">
      <c r="A317">
        <v>1555208056.1122155</v>
      </c>
      <c r="B317" s="72">
        <v>-69.973144529999999</v>
      </c>
      <c r="D317">
        <v>1572848056.1122155</v>
      </c>
      <c r="E317" s="72">
        <v>-70.336715699999999</v>
      </c>
      <c r="G317">
        <v>1564701402.8056426</v>
      </c>
      <c r="H317" s="72">
        <v>-70.524597170000007</v>
      </c>
    </row>
    <row r="318" spans="1:8">
      <c r="A318">
        <v>1555209659.3186283</v>
      </c>
      <c r="B318" s="72">
        <v>-69.89530182</v>
      </c>
      <c r="D318">
        <v>1572849659.3186283</v>
      </c>
      <c r="E318" s="72">
        <v>-70.070755000000005</v>
      </c>
      <c r="G318">
        <v>1564741482.9659634</v>
      </c>
      <c r="H318" s="72">
        <v>-70.612327579999999</v>
      </c>
    </row>
    <row r="319" spans="1:8">
      <c r="A319">
        <v>1555211262.5250411</v>
      </c>
      <c r="B319" s="72">
        <v>-70.187637330000001</v>
      </c>
      <c r="D319">
        <v>1572851262.5250411</v>
      </c>
      <c r="E319" s="72">
        <v>-70.198043819999995</v>
      </c>
      <c r="G319">
        <v>1564781563.1262841</v>
      </c>
      <c r="H319" s="72">
        <v>-70.493141170000001</v>
      </c>
    </row>
    <row r="320" spans="1:8">
      <c r="A320">
        <v>1555212865.7314539</v>
      </c>
      <c r="B320" s="72">
        <v>-69.946266170000001</v>
      </c>
      <c r="D320">
        <v>1572852865.7314539</v>
      </c>
      <c r="E320" s="72">
        <v>-70.260940550000001</v>
      </c>
      <c r="G320">
        <v>1564821643.2866049</v>
      </c>
      <c r="H320" s="72">
        <v>-70.770248409999994</v>
      </c>
    </row>
    <row r="321" spans="1:8">
      <c r="A321">
        <v>1555214468.9378667</v>
      </c>
      <c r="B321" s="72">
        <v>-70.174705509999995</v>
      </c>
      <c r="D321">
        <v>1572854468.9378667</v>
      </c>
      <c r="E321" s="72">
        <v>-70.174552919999996</v>
      </c>
      <c r="G321">
        <v>1564861723.4469256</v>
      </c>
      <c r="H321" s="72">
        <v>-70.577255249999993</v>
      </c>
    </row>
    <row r="322" spans="1:8">
      <c r="A322">
        <v>1555216072.1442795</v>
      </c>
      <c r="B322" s="72">
        <v>-70.129455570000005</v>
      </c>
      <c r="D322">
        <v>1572856072.1442795</v>
      </c>
      <c r="E322" s="72">
        <v>-70.28877258</v>
      </c>
      <c r="G322">
        <v>1564901803.6072464</v>
      </c>
      <c r="H322" s="72">
        <v>-70.442214969999995</v>
      </c>
    </row>
    <row r="323" spans="1:8">
      <c r="A323">
        <v>1555217675.3506923</v>
      </c>
      <c r="B323" s="72">
        <v>-69.931594849999996</v>
      </c>
      <c r="D323">
        <v>1572857675.3506923</v>
      </c>
      <c r="E323" s="72">
        <v>-70.231056210000006</v>
      </c>
      <c r="G323">
        <v>1564941883.7675672</v>
      </c>
      <c r="H323" s="72">
        <v>-70.552841189999995</v>
      </c>
    </row>
    <row r="324" spans="1:8">
      <c r="A324">
        <v>1555219278.5571051</v>
      </c>
      <c r="B324" s="72">
        <v>-70.204444890000005</v>
      </c>
      <c r="D324">
        <v>1572859278.5571051</v>
      </c>
      <c r="E324" s="72">
        <v>-70.335067749999993</v>
      </c>
      <c r="G324">
        <v>1564981963.9278879</v>
      </c>
      <c r="H324" s="72">
        <v>-70.688102720000003</v>
      </c>
    </row>
    <row r="325" spans="1:8">
      <c r="A325">
        <v>1555220881.7635179</v>
      </c>
      <c r="B325" s="72">
        <v>-70.102561949999995</v>
      </c>
      <c r="D325">
        <v>1572860881.7635179</v>
      </c>
      <c r="E325" s="72">
        <v>-69.927536009999997</v>
      </c>
      <c r="G325">
        <v>1565022044.0882087</v>
      </c>
      <c r="H325" s="72">
        <v>-70.575531010000006</v>
      </c>
    </row>
    <row r="326" spans="1:8">
      <c r="A326">
        <v>1555222484.9699306</v>
      </c>
      <c r="B326" s="72">
        <v>-69.999671939999999</v>
      </c>
      <c r="D326">
        <v>1572862484.9699306</v>
      </c>
      <c r="E326" s="72">
        <v>-70.10783386</v>
      </c>
      <c r="G326">
        <v>1565062124.2485294</v>
      </c>
      <c r="H326" s="72">
        <v>-70.696884159999996</v>
      </c>
    </row>
    <row r="327" spans="1:8">
      <c r="A327">
        <v>1555224088.1763434</v>
      </c>
      <c r="B327" s="72">
        <v>-69.993072510000005</v>
      </c>
      <c r="D327">
        <v>1572864088.1763434</v>
      </c>
      <c r="E327" s="72">
        <v>-70.31187439</v>
      </c>
      <c r="G327">
        <v>1565102204.4088502</v>
      </c>
      <c r="H327" s="72">
        <v>-70.559913640000005</v>
      </c>
    </row>
    <row r="328" spans="1:8">
      <c r="A328">
        <v>1555225691.3827562</v>
      </c>
      <c r="B328" s="72">
        <v>-70.052581790000005</v>
      </c>
      <c r="D328">
        <v>1572865691.3827562</v>
      </c>
      <c r="E328" s="72">
        <v>-70.044425959999998</v>
      </c>
      <c r="G328">
        <v>1565142284.569171</v>
      </c>
      <c r="H328" s="72">
        <v>-70.5034256</v>
      </c>
    </row>
    <row r="329" spans="1:8">
      <c r="A329">
        <v>1555227294.589169</v>
      </c>
      <c r="B329" s="72">
        <v>-69.915596010000002</v>
      </c>
      <c r="D329">
        <v>1572867294.589169</v>
      </c>
      <c r="E329" s="72">
        <v>-70.377822879999997</v>
      </c>
      <c r="G329">
        <v>1565182364.7294917</v>
      </c>
      <c r="H329" s="72">
        <v>-70.916618349999993</v>
      </c>
    </row>
    <row r="330" spans="1:8">
      <c r="A330">
        <v>1555228897.7955818</v>
      </c>
      <c r="B330" s="72">
        <v>-69.981742859999997</v>
      </c>
      <c r="D330">
        <v>1572868897.7955818</v>
      </c>
      <c r="E330" s="72">
        <v>-70.254310610000005</v>
      </c>
      <c r="G330">
        <v>1565222444.8898125</v>
      </c>
      <c r="H330" s="72">
        <v>-70.607940670000005</v>
      </c>
    </row>
    <row r="331" spans="1:8">
      <c r="A331">
        <v>1555230501.0019946</v>
      </c>
      <c r="B331" s="72">
        <v>-69.923835749999995</v>
      </c>
      <c r="D331">
        <v>1572870501.0019946</v>
      </c>
      <c r="E331" s="72">
        <v>-70.23610687</v>
      </c>
      <c r="G331">
        <v>1565262525.0501332</v>
      </c>
      <c r="H331" s="72">
        <v>-70.721466059999997</v>
      </c>
    </row>
    <row r="332" spans="1:8">
      <c r="A332">
        <v>1555232104.2084074</v>
      </c>
      <c r="B332" s="72">
        <v>-70.101974490000003</v>
      </c>
      <c r="D332">
        <v>1572872104.2084074</v>
      </c>
      <c r="E332" s="72">
        <v>-70.059608460000007</v>
      </c>
      <c r="G332">
        <v>1565302605.210454</v>
      </c>
      <c r="H332" s="72">
        <v>-70.415672299999997</v>
      </c>
    </row>
    <row r="333" spans="1:8">
      <c r="A333">
        <v>1555233707.4148202</v>
      </c>
      <c r="B333" s="72">
        <v>-69.956314090000006</v>
      </c>
      <c r="D333">
        <v>1572873707.4148202</v>
      </c>
      <c r="E333" s="72">
        <v>-70.3349762</v>
      </c>
      <c r="G333">
        <v>1565342685.3707747</v>
      </c>
      <c r="H333" s="72">
        <v>-70.579170230000003</v>
      </c>
    </row>
    <row r="334" spans="1:8">
      <c r="A334">
        <v>1555235310.621233</v>
      </c>
      <c r="B334" s="72">
        <v>-69.983985899999993</v>
      </c>
      <c r="D334">
        <v>1572875310.621233</v>
      </c>
      <c r="E334" s="72">
        <v>-70.126045230000003</v>
      </c>
      <c r="G334">
        <v>1565382765.5310955</v>
      </c>
      <c r="H334" s="72">
        <v>-70.603790279999998</v>
      </c>
    </row>
    <row r="335" spans="1:8">
      <c r="A335">
        <v>1555236913.8276458</v>
      </c>
      <c r="B335" s="72">
        <v>-70.021095279999997</v>
      </c>
      <c r="D335">
        <v>1572876913.8276458</v>
      </c>
      <c r="E335" s="72">
        <v>-69.971633909999994</v>
      </c>
      <c r="G335">
        <v>1565422845.6914163</v>
      </c>
      <c r="H335" s="72">
        <v>-70.585800169999999</v>
      </c>
    </row>
    <row r="336" spans="1:8">
      <c r="A336">
        <v>1555238517.0340586</v>
      </c>
      <c r="B336" s="72">
        <v>-69.643531800000005</v>
      </c>
      <c r="D336">
        <v>1572878517.0340586</v>
      </c>
      <c r="E336" s="72">
        <v>-70.027137760000002</v>
      </c>
      <c r="G336">
        <v>1565462925.851737</v>
      </c>
      <c r="H336" s="72">
        <v>-70.55796814</v>
      </c>
    </row>
    <row r="337" spans="1:8">
      <c r="A337">
        <v>1555240120.2404714</v>
      </c>
      <c r="B337" s="72">
        <v>-70.1103363</v>
      </c>
      <c r="D337">
        <v>1572880120.2404714</v>
      </c>
      <c r="E337" s="72">
        <v>-70.363006589999998</v>
      </c>
      <c r="G337">
        <v>1565503006.0120578</v>
      </c>
      <c r="H337" s="72">
        <v>-70.780967709999999</v>
      </c>
    </row>
    <row r="338" spans="1:8">
      <c r="A338">
        <v>1555241723.4468842</v>
      </c>
      <c r="B338" s="72">
        <v>-70.08955383</v>
      </c>
      <c r="D338">
        <v>1572881723.4468842</v>
      </c>
      <c r="E338" s="72">
        <v>-70.055160520000001</v>
      </c>
      <c r="G338">
        <v>1565543086.1723785</v>
      </c>
      <c r="H338" s="72">
        <v>-70.608932499999995</v>
      </c>
    </row>
    <row r="339" spans="1:8">
      <c r="A339">
        <v>1555243326.6532969</v>
      </c>
      <c r="B339" s="72">
        <v>-70.187438959999994</v>
      </c>
      <c r="D339">
        <v>1572883326.6532969</v>
      </c>
      <c r="E339" s="72">
        <v>-70.212181090000001</v>
      </c>
      <c r="G339">
        <v>1565583166.3326993</v>
      </c>
      <c r="H339" s="72">
        <v>-70.744155879999994</v>
      </c>
    </row>
    <row r="340" spans="1:8">
      <c r="A340">
        <v>1555244929.8597097</v>
      </c>
      <c r="B340" s="72">
        <v>-69.927391049999997</v>
      </c>
      <c r="D340">
        <v>1572884929.8597097</v>
      </c>
      <c r="E340" s="72">
        <v>-70.07624817</v>
      </c>
      <c r="G340">
        <v>1565623246.4930201</v>
      </c>
      <c r="H340" s="72">
        <v>-70.447120670000004</v>
      </c>
    </row>
    <row r="341" spans="1:8">
      <c r="A341">
        <v>1555246533.0661225</v>
      </c>
      <c r="B341" s="72">
        <v>-69.930221560000007</v>
      </c>
      <c r="D341">
        <v>1572886533.0661225</v>
      </c>
      <c r="E341" s="72">
        <v>-70.151786799999996</v>
      </c>
      <c r="G341">
        <v>1565663326.6533408</v>
      </c>
      <c r="H341" s="72">
        <v>-70.643798829999994</v>
      </c>
    </row>
    <row r="342" spans="1:8">
      <c r="A342">
        <v>1555248136.2725353</v>
      </c>
      <c r="B342" s="72">
        <v>-70.112808229999999</v>
      </c>
      <c r="D342">
        <v>1572888136.2725353</v>
      </c>
      <c r="E342" s="72">
        <v>-70.05299377</v>
      </c>
      <c r="G342">
        <v>1565703406.8136616</v>
      </c>
      <c r="H342" s="72">
        <v>-70.603782649999999</v>
      </c>
    </row>
    <row r="343" spans="1:8">
      <c r="A343">
        <v>1555249739.4789481</v>
      </c>
      <c r="B343" s="72">
        <v>-70.030197139999999</v>
      </c>
      <c r="D343">
        <v>1572889739.4789481</v>
      </c>
      <c r="E343" s="72">
        <v>-70.330238339999994</v>
      </c>
      <c r="G343">
        <v>1565743486.9739823</v>
      </c>
      <c r="H343" s="72">
        <v>-70.637168880000004</v>
      </c>
    </row>
    <row r="344" spans="1:8">
      <c r="A344">
        <v>1555251342.6853609</v>
      </c>
      <c r="B344" s="72">
        <v>-69.956939700000007</v>
      </c>
      <c r="D344">
        <v>1572891342.6853609</v>
      </c>
      <c r="E344" s="72">
        <v>-70.077011110000001</v>
      </c>
      <c r="G344">
        <v>1565783567.1343031</v>
      </c>
      <c r="H344" s="72">
        <v>-70.853111269999999</v>
      </c>
    </row>
    <row r="345" spans="1:8">
      <c r="A345">
        <v>1555252945.8917737</v>
      </c>
      <c r="B345" s="72">
        <v>-69.99513245</v>
      </c>
      <c r="D345">
        <v>1572892945.8917737</v>
      </c>
      <c r="E345" s="72">
        <v>-70.261642460000004</v>
      </c>
      <c r="G345">
        <v>1565823647.2946239</v>
      </c>
      <c r="H345" s="72">
        <v>-70.746109009999998</v>
      </c>
    </row>
    <row r="346" spans="1:8">
      <c r="A346">
        <v>1555254549.0981865</v>
      </c>
      <c r="B346" s="72">
        <v>-69.848213200000004</v>
      </c>
      <c r="D346">
        <v>1572894549.0981865</v>
      </c>
      <c r="E346" s="72">
        <v>-70.189887999999996</v>
      </c>
      <c r="G346">
        <v>1565863727.4549446</v>
      </c>
      <c r="H346" s="72">
        <v>-70.37934113</v>
      </c>
    </row>
    <row r="347" spans="1:8">
      <c r="A347">
        <v>1555256152.3045993</v>
      </c>
      <c r="B347" s="72">
        <v>-70.20935059</v>
      </c>
      <c r="D347">
        <v>1572896152.3045993</v>
      </c>
      <c r="E347" s="72">
        <v>-70.129814150000001</v>
      </c>
      <c r="G347">
        <v>1565903807.6152654</v>
      </c>
      <c r="H347" s="72">
        <v>-70.501922609999994</v>
      </c>
    </row>
    <row r="348" spans="1:8">
      <c r="A348">
        <v>1555257755.5110121</v>
      </c>
      <c r="B348" s="72">
        <v>-70.104621890000004</v>
      </c>
      <c r="D348">
        <v>1572897755.5110121</v>
      </c>
      <c r="E348" s="72">
        <v>-70.054260249999999</v>
      </c>
      <c r="G348">
        <v>1565943887.7755861</v>
      </c>
      <c r="H348" s="72">
        <v>-70.626472469999996</v>
      </c>
    </row>
    <row r="349" spans="1:8">
      <c r="A349">
        <v>1555259358.7174249</v>
      </c>
      <c r="B349" s="72">
        <v>-70.181755069999994</v>
      </c>
      <c r="D349">
        <v>1572899358.7174249</v>
      </c>
      <c r="E349" s="72">
        <v>-70.174911499999993</v>
      </c>
      <c r="G349">
        <v>1565983967.9359069</v>
      </c>
      <c r="H349" s="72">
        <v>-70.415878300000003</v>
      </c>
    </row>
    <row r="350" spans="1:8">
      <c r="A350">
        <v>1555260961.9238377</v>
      </c>
      <c r="B350" s="72">
        <v>-70.047416690000006</v>
      </c>
      <c r="D350">
        <v>1572900961.9238377</v>
      </c>
      <c r="E350" s="72">
        <v>-70.413963319999993</v>
      </c>
      <c r="G350">
        <v>1566024048.0962276</v>
      </c>
      <c r="H350" s="72">
        <v>-70.772201539999998</v>
      </c>
    </row>
    <row r="351" spans="1:8">
      <c r="A351">
        <v>1555262565.1302505</v>
      </c>
      <c r="B351" s="72">
        <v>-70.154830930000003</v>
      </c>
      <c r="D351">
        <v>1572902565.1302505</v>
      </c>
      <c r="E351" s="72">
        <v>-70.281570430000002</v>
      </c>
      <c r="G351">
        <v>1566064128.2565484</v>
      </c>
      <c r="H351" s="72">
        <v>-70.639793400000002</v>
      </c>
    </row>
    <row r="352" spans="1:8">
      <c r="A352">
        <v>1555264168.3366632</v>
      </c>
      <c r="B352" s="72">
        <v>-69.791648859999995</v>
      </c>
      <c r="D352">
        <v>1572904168.3366632</v>
      </c>
      <c r="E352" s="72">
        <v>-70.522911070000006</v>
      </c>
      <c r="G352">
        <v>1566104208.4168692</v>
      </c>
      <c r="H352" s="72">
        <v>-70.807304380000005</v>
      </c>
    </row>
    <row r="353" spans="1:8">
      <c r="A353">
        <v>1555265771.543076</v>
      </c>
      <c r="B353" s="72">
        <v>-69.775581360000004</v>
      </c>
      <c r="D353">
        <v>1572905771.543076</v>
      </c>
      <c r="E353" s="72">
        <v>-70.279129030000007</v>
      </c>
      <c r="G353">
        <v>1566144288.5771899</v>
      </c>
      <c r="H353" s="72">
        <v>-70.628189090000006</v>
      </c>
    </row>
    <row r="354" spans="1:8">
      <c r="A354">
        <v>1555267374.7494888</v>
      </c>
      <c r="B354" s="72">
        <v>-70.000808719999995</v>
      </c>
      <c r="D354">
        <v>1572907374.7494888</v>
      </c>
      <c r="E354" s="72">
        <v>-70.285743710000006</v>
      </c>
      <c r="G354">
        <v>1566184368.7375107</v>
      </c>
      <c r="H354" s="72">
        <v>-70.466629030000007</v>
      </c>
    </row>
    <row r="355" spans="1:8">
      <c r="A355">
        <v>1555268977.9559016</v>
      </c>
      <c r="B355" s="72">
        <v>-70.076797490000004</v>
      </c>
      <c r="D355">
        <v>1572908977.9559016</v>
      </c>
      <c r="E355" s="72">
        <v>-70.024139399999996</v>
      </c>
      <c r="G355">
        <v>1566224448.8978314</v>
      </c>
      <c r="H355" s="72">
        <v>-70.748023989999993</v>
      </c>
    </row>
    <row r="356" spans="1:8">
      <c r="A356">
        <v>1555270581.1623144</v>
      </c>
      <c r="B356" s="72">
        <v>-70.034896849999996</v>
      </c>
      <c r="D356">
        <v>1572910581.1623144</v>
      </c>
      <c r="E356" s="72">
        <v>-69.922683719999995</v>
      </c>
      <c r="G356">
        <v>1566264529.0581522</v>
      </c>
      <c r="H356" s="72">
        <v>-70.43122864</v>
      </c>
    </row>
    <row r="357" spans="1:8">
      <c r="A357">
        <v>1555272184.3687272</v>
      </c>
      <c r="B357" s="72">
        <v>-69.912742609999995</v>
      </c>
      <c r="D357">
        <v>1572912184.3687272</v>
      </c>
      <c r="E357" s="72">
        <v>-70.258644099999998</v>
      </c>
      <c r="G357">
        <v>1566304609.218473</v>
      </c>
      <c r="H357" s="72">
        <v>-70.556060790000004</v>
      </c>
    </row>
    <row r="358" spans="1:8">
      <c r="A358">
        <v>1555273787.57514</v>
      </c>
      <c r="B358" s="72">
        <v>-70.058509830000006</v>
      </c>
      <c r="D358">
        <v>1572913787.57514</v>
      </c>
      <c r="E358" s="72">
        <v>-70.333068850000004</v>
      </c>
      <c r="G358">
        <v>1566344689.3787937</v>
      </c>
      <c r="H358" s="72">
        <v>-70.612136840000005</v>
      </c>
    </row>
    <row r="359" spans="1:8">
      <c r="A359">
        <v>1555275390.7815528</v>
      </c>
      <c r="B359" s="72">
        <v>-69.773330689999995</v>
      </c>
      <c r="D359">
        <v>1572915390.7815528</v>
      </c>
      <c r="E359" s="72">
        <v>-70.107177730000004</v>
      </c>
      <c r="G359">
        <v>1566384769.5391145</v>
      </c>
      <c r="H359" s="72">
        <v>-70.501487729999994</v>
      </c>
    </row>
    <row r="360" spans="1:8">
      <c r="A360">
        <v>1555276993.9879656</v>
      </c>
      <c r="B360" s="72">
        <v>-70.112716669999998</v>
      </c>
      <c r="D360">
        <v>1572916993.9879656</v>
      </c>
      <c r="E360" s="72">
        <v>-70.180961609999997</v>
      </c>
      <c r="G360">
        <v>1566424849.6994352</v>
      </c>
      <c r="H360" s="72">
        <v>-70.600379939999996</v>
      </c>
    </row>
    <row r="361" spans="1:8">
      <c r="A361">
        <v>1555278597.1943784</v>
      </c>
      <c r="B361" s="72">
        <v>-70.123611449999999</v>
      </c>
      <c r="D361">
        <v>1572918597.1943784</v>
      </c>
      <c r="E361" s="72">
        <v>-70.130233759999996</v>
      </c>
      <c r="G361">
        <v>1566464929.859756</v>
      </c>
      <c r="H361" s="72">
        <v>-70.467048649999995</v>
      </c>
    </row>
    <row r="362" spans="1:8">
      <c r="A362">
        <v>1555280200.4007912</v>
      </c>
      <c r="B362" s="72">
        <v>-69.980545039999996</v>
      </c>
      <c r="D362">
        <v>1572920200.4007912</v>
      </c>
      <c r="E362" s="72">
        <v>-70.235885620000005</v>
      </c>
      <c r="G362">
        <v>1566505010.0200768</v>
      </c>
      <c r="H362" s="72">
        <v>-70.608261110000001</v>
      </c>
    </row>
    <row r="363" spans="1:8">
      <c r="A363">
        <v>1555281803.607204</v>
      </c>
      <c r="B363" s="72">
        <v>-70.0771637</v>
      </c>
      <c r="D363">
        <v>1572921803.607204</v>
      </c>
      <c r="E363" s="72">
        <v>-70.12205505</v>
      </c>
      <c r="G363">
        <v>1566545090.1803975</v>
      </c>
      <c r="H363" s="72">
        <v>-70.716354370000005</v>
      </c>
    </row>
    <row r="364" spans="1:8">
      <c r="A364">
        <v>1555283406.8136168</v>
      </c>
      <c r="B364" s="72">
        <v>-69.5981369</v>
      </c>
      <c r="D364">
        <v>1572923406.8136168</v>
      </c>
      <c r="E364" s="72">
        <v>-70.336486820000005</v>
      </c>
      <c r="G364">
        <v>1566585170.3407183</v>
      </c>
      <c r="H364" s="72">
        <v>-70.561180109999995</v>
      </c>
    </row>
    <row r="365" spans="1:8">
      <c r="A365">
        <v>1555285010.0200295</v>
      </c>
      <c r="B365" s="72">
        <v>-70.154838560000002</v>
      </c>
      <c r="D365">
        <v>1572925010.0200295</v>
      </c>
      <c r="E365" s="72">
        <v>-69.956573489999997</v>
      </c>
      <c r="G365">
        <v>1566625250.501039</v>
      </c>
      <c r="H365" s="72">
        <v>-70.693237300000007</v>
      </c>
    </row>
    <row r="366" spans="1:8">
      <c r="A366">
        <v>1555286613.2264423</v>
      </c>
      <c r="B366" s="72">
        <v>-69.864639280000006</v>
      </c>
      <c r="D366">
        <v>1572926613.2264423</v>
      </c>
      <c r="E366" s="72">
        <v>-70.131904599999999</v>
      </c>
      <c r="G366">
        <v>1566665330.6613598</v>
      </c>
      <c r="H366" s="72">
        <v>-70.723915099999999</v>
      </c>
    </row>
    <row r="367" spans="1:8">
      <c r="A367">
        <v>1555288216.4328551</v>
      </c>
      <c r="B367" s="72">
        <v>-70.105422970000006</v>
      </c>
      <c r="D367">
        <v>1572928216.4328551</v>
      </c>
      <c r="E367" s="72">
        <v>-70.158981319999995</v>
      </c>
      <c r="G367">
        <v>1566705410.8216805</v>
      </c>
      <c r="H367" s="72">
        <v>-70.500442500000005</v>
      </c>
    </row>
    <row r="368" spans="1:8">
      <c r="A368">
        <v>1555289819.6392679</v>
      </c>
      <c r="B368" s="72">
        <v>-70.126602169999998</v>
      </c>
      <c r="D368">
        <v>1572929819.6392679</v>
      </c>
      <c r="E368" s="72">
        <v>-70.309394839999996</v>
      </c>
      <c r="G368">
        <v>1566745490.9820013</v>
      </c>
      <c r="H368" s="72">
        <v>-70.760726930000004</v>
      </c>
    </row>
    <row r="369" spans="1:8">
      <c r="A369">
        <v>1555291422.8456807</v>
      </c>
      <c r="B369" s="72">
        <v>-70.126602169999998</v>
      </c>
      <c r="D369">
        <v>1572931422.8456807</v>
      </c>
      <c r="E369" s="72">
        <v>-69.995628359999998</v>
      </c>
      <c r="G369">
        <v>1566785571.1423221</v>
      </c>
      <c r="H369" s="72">
        <v>-70.480293270000004</v>
      </c>
    </row>
    <row r="370" spans="1:8">
      <c r="A370">
        <v>1555293026.0520935</v>
      </c>
      <c r="B370" s="72">
        <v>-70.189559939999995</v>
      </c>
      <c r="D370">
        <v>1572933026.0520935</v>
      </c>
      <c r="E370" s="72">
        <v>-70.129806520000002</v>
      </c>
      <c r="G370">
        <v>1566825651.3026428</v>
      </c>
      <c r="H370" s="72">
        <v>-70.494880679999994</v>
      </c>
    </row>
    <row r="371" spans="1:8">
      <c r="A371">
        <v>1555294629.2585063</v>
      </c>
      <c r="B371" s="72">
        <v>-70.080345149999999</v>
      </c>
      <c r="D371">
        <v>1572934629.2585063</v>
      </c>
      <c r="E371" s="72">
        <v>-70.123954769999997</v>
      </c>
      <c r="G371">
        <v>1566865731.4629636</v>
      </c>
      <c r="H371" s="72">
        <v>-70.593795779999994</v>
      </c>
    </row>
    <row r="372" spans="1:8">
      <c r="A372">
        <v>1555296232.4649191</v>
      </c>
      <c r="B372" s="72">
        <v>-70.015060419999998</v>
      </c>
      <c r="D372">
        <v>1572936232.4649191</v>
      </c>
      <c r="E372" s="72">
        <v>-70.213890079999999</v>
      </c>
      <c r="G372">
        <v>1566905811.6232843</v>
      </c>
      <c r="H372" s="72">
        <v>-70.580657959999996</v>
      </c>
    </row>
    <row r="373" spans="1:8">
      <c r="A373">
        <v>1555297835.6713319</v>
      </c>
      <c r="B373" s="72">
        <v>-69.803390500000006</v>
      </c>
      <c r="D373">
        <v>1572937835.6713319</v>
      </c>
      <c r="E373" s="72">
        <v>-70.204437260000006</v>
      </c>
      <c r="G373">
        <v>1566945891.7836051</v>
      </c>
      <c r="H373" s="72">
        <v>-70.633743289999998</v>
      </c>
    </row>
    <row r="374" spans="1:8">
      <c r="A374">
        <v>1555299438.8777447</v>
      </c>
      <c r="B374" s="72">
        <v>-70.339561459999999</v>
      </c>
      <c r="D374">
        <v>1572939438.8777447</v>
      </c>
      <c r="E374" s="72">
        <v>-70.058082580000004</v>
      </c>
      <c r="G374">
        <v>1566985971.9439259</v>
      </c>
      <c r="H374" s="72">
        <v>-70.44689941</v>
      </c>
    </row>
    <row r="375" spans="1:8">
      <c r="A375">
        <v>1555301042.0841575</v>
      </c>
      <c r="B375" s="72">
        <v>-70.226066590000002</v>
      </c>
      <c r="D375">
        <v>1572941042.0841575</v>
      </c>
      <c r="E375" s="72">
        <v>-70.341857910000002</v>
      </c>
      <c r="G375">
        <v>1567026052.1042466</v>
      </c>
      <c r="H375" s="72">
        <v>-70.800460819999998</v>
      </c>
    </row>
    <row r="376" spans="1:8">
      <c r="A376">
        <v>1555302645.2905703</v>
      </c>
      <c r="B376" s="72">
        <v>-70.185745240000003</v>
      </c>
      <c r="D376">
        <v>1572942645.2905703</v>
      </c>
      <c r="E376" s="72">
        <v>-70.183792109999999</v>
      </c>
      <c r="G376">
        <v>1567066132.2645674</v>
      </c>
      <c r="H376" s="72">
        <v>-70.725433350000003</v>
      </c>
    </row>
    <row r="377" spans="1:8">
      <c r="A377">
        <v>1555304248.4969831</v>
      </c>
      <c r="B377" s="72">
        <v>-69.963905330000003</v>
      </c>
      <c r="D377">
        <v>1572944248.4969831</v>
      </c>
      <c r="E377" s="72">
        <v>-70.126617429999996</v>
      </c>
      <c r="G377">
        <v>1567106212.4248881</v>
      </c>
      <c r="H377" s="72">
        <v>-70.460861210000004</v>
      </c>
    </row>
    <row r="378" spans="1:8">
      <c r="A378">
        <v>1555305851.7033958</v>
      </c>
      <c r="B378" s="72">
        <v>-70.214607240000007</v>
      </c>
      <c r="D378">
        <v>1572945851.7033958</v>
      </c>
      <c r="E378" s="72">
        <v>-70.374977110000003</v>
      </c>
      <c r="G378">
        <v>1567146292.5852089</v>
      </c>
      <c r="H378" s="72">
        <v>-70.611053470000002</v>
      </c>
    </row>
    <row r="379" spans="1:8">
      <c r="A379">
        <v>1555307454.9098086</v>
      </c>
      <c r="B379" s="72">
        <v>-70.073944089999998</v>
      </c>
      <c r="D379">
        <v>1572947454.9098086</v>
      </c>
      <c r="E379" s="72">
        <v>-70.422508239999999</v>
      </c>
      <c r="G379">
        <v>1567186372.7455297</v>
      </c>
      <c r="H379" s="72">
        <v>-70.528228760000005</v>
      </c>
    </row>
    <row r="380" spans="1:8">
      <c r="A380">
        <v>1555309058.1162214</v>
      </c>
      <c r="B380" s="72">
        <v>-70.027252200000007</v>
      </c>
      <c r="D380">
        <v>1572949058.1162214</v>
      </c>
      <c r="E380" s="72">
        <v>-69.999122619999994</v>
      </c>
      <c r="G380">
        <v>1567226452.9058504</v>
      </c>
      <c r="H380" s="72">
        <v>-70.659423829999994</v>
      </c>
    </row>
    <row r="381" spans="1:8">
      <c r="A381">
        <v>1555310661.3226342</v>
      </c>
      <c r="B381" s="72">
        <v>-70.100280760000004</v>
      </c>
      <c r="D381">
        <v>1572950661.3226342</v>
      </c>
      <c r="E381" s="72">
        <v>-70.241508479999993</v>
      </c>
      <c r="G381">
        <v>1567266533.0661712</v>
      </c>
      <c r="H381" s="72">
        <v>-70.637390139999994</v>
      </c>
    </row>
    <row r="382" spans="1:8">
      <c r="A382">
        <v>1555312264.529047</v>
      </c>
      <c r="B382" s="72">
        <v>-69.942276000000007</v>
      </c>
      <c r="D382">
        <v>1572952264.529047</v>
      </c>
      <c r="E382" s="72">
        <v>-70.108596800000001</v>
      </c>
      <c r="G382">
        <v>1567306613.2264919</v>
      </c>
      <c r="H382" s="72">
        <v>-70.717407230000006</v>
      </c>
    </row>
    <row r="383" spans="1:8">
      <c r="A383">
        <v>1555313867.7354598</v>
      </c>
      <c r="B383" s="72">
        <v>-70.000801089999996</v>
      </c>
      <c r="D383">
        <v>1572953867.7354598</v>
      </c>
      <c r="E383" s="72">
        <v>-70.019592290000006</v>
      </c>
      <c r="G383">
        <v>1567346693.3868127</v>
      </c>
      <c r="H383" s="72">
        <v>-70.700294490000005</v>
      </c>
    </row>
    <row r="384" spans="1:8">
      <c r="A384">
        <v>1555315470.9418726</v>
      </c>
      <c r="B384" s="72">
        <v>-70.125450130000004</v>
      </c>
      <c r="D384">
        <v>1572955470.9418726</v>
      </c>
      <c r="E384" s="72">
        <v>-70.342720029999995</v>
      </c>
      <c r="G384">
        <v>1567386773.5471334</v>
      </c>
      <c r="H384" s="72">
        <v>-70.547958370000003</v>
      </c>
    </row>
    <row r="385" spans="1:8">
      <c r="A385">
        <v>1555317074.1482854</v>
      </c>
      <c r="B385" s="72">
        <v>-70.156723020000001</v>
      </c>
      <c r="D385">
        <v>1572957074.1482854</v>
      </c>
      <c r="E385" s="72">
        <v>-70.261848450000002</v>
      </c>
      <c r="G385">
        <v>1567426853.7074542</v>
      </c>
      <c r="H385" s="72">
        <v>-70.663482669999993</v>
      </c>
    </row>
    <row r="386" spans="1:8">
      <c r="A386">
        <v>1555318677.3546982</v>
      </c>
      <c r="B386" s="72">
        <v>-70.154632570000004</v>
      </c>
      <c r="D386">
        <v>1572958677.3546982</v>
      </c>
      <c r="E386" s="72">
        <v>-70.470451350000005</v>
      </c>
      <c r="G386">
        <v>1567466933.867775</v>
      </c>
      <c r="H386" s="72">
        <v>-70.603782649999999</v>
      </c>
    </row>
    <row r="387" spans="1:8">
      <c r="A387">
        <v>1555320280.561111</v>
      </c>
      <c r="B387" s="72">
        <v>-69.947959900000001</v>
      </c>
      <c r="D387">
        <v>1572960280.561111</v>
      </c>
      <c r="E387" s="72">
        <v>-70.118843080000005</v>
      </c>
      <c r="G387">
        <v>1567507014.0280957</v>
      </c>
      <c r="H387" s="72">
        <v>-70.728820799999994</v>
      </c>
    </row>
    <row r="388" spans="1:8">
      <c r="A388">
        <v>1555321883.7675238</v>
      </c>
      <c r="B388" s="72">
        <v>-70.105262760000002</v>
      </c>
      <c r="D388">
        <v>1572961883.7675238</v>
      </c>
      <c r="E388" s="72">
        <v>-70.181411740000001</v>
      </c>
      <c r="G388">
        <v>1567547094.1884165</v>
      </c>
      <c r="H388" s="72">
        <v>-70.661338810000004</v>
      </c>
    </row>
    <row r="389" spans="1:8">
      <c r="A389">
        <v>1555323486.9739366</v>
      </c>
      <c r="B389" s="72">
        <v>-70.078300479999996</v>
      </c>
      <c r="D389">
        <v>1572963486.9739366</v>
      </c>
      <c r="E389" s="72">
        <v>-70.159423829999994</v>
      </c>
      <c r="G389">
        <v>1567587174.3487372</v>
      </c>
      <c r="H389" s="72">
        <v>-70.539871219999995</v>
      </c>
    </row>
    <row r="390" spans="1:8">
      <c r="A390">
        <v>1555325090.1803493</v>
      </c>
      <c r="B390" s="72">
        <v>-70.252197269999996</v>
      </c>
      <c r="D390">
        <v>1572965090.1803493</v>
      </c>
      <c r="E390" s="72">
        <v>-70.204849240000001</v>
      </c>
      <c r="G390">
        <v>1567627254.509058</v>
      </c>
      <c r="H390" s="72">
        <v>-70.661788939999994</v>
      </c>
    </row>
    <row r="391" spans="1:8">
      <c r="A391">
        <v>1555326693.3867621</v>
      </c>
      <c r="B391" s="72">
        <v>-69.892105099999995</v>
      </c>
      <c r="D391">
        <v>1572966693.3867621</v>
      </c>
      <c r="E391" s="72">
        <v>-70.116348270000003</v>
      </c>
      <c r="G391">
        <v>1567667334.6693788</v>
      </c>
      <c r="H391" s="72">
        <v>-70.787803650000001</v>
      </c>
    </row>
    <row r="392" spans="1:8">
      <c r="A392">
        <v>1555328296.5931749</v>
      </c>
      <c r="B392" s="72">
        <v>-70.127937320000001</v>
      </c>
      <c r="D392">
        <v>1572968296.5931749</v>
      </c>
      <c r="E392" s="72">
        <v>-70.208999629999994</v>
      </c>
      <c r="G392">
        <v>1567707414.8296995</v>
      </c>
      <c r="H392" s="72">
        <v>-70.54750061</v>
      </c>
    </row>
    <row r="393" spans="1:8">
      <c r="A393">
        <v>1555329899.7995877</v>
      </c>
      <c r="B393" s="72">
        <v>-70.075645449999996</v>
      </c>
      <c r="D393">
        <v>1572969899.7995877</v>
      </c>
      <c r="E393" s="72">
        <v>-70.072273249999995</v>
      </c>
      <c r="G393">
        <v>1567747494.9900203</v>
      </c>
      <c r="H393" s="72">
        <v>-70.71783447</v>
      </c>
    </row>
    <row r="394" spans="1:8">
      <c r="A394">
        <v>1555331503.0060005</v>
      </c>
      <c r="B394" s="72">
        <v>-70.130661009999997</v>
      </c>
      <c r="D394">
        <v>1572971503.0060005</v>
      </c>
      <c r="E394" s="72">
        <v>-70.171714780000002</v>
      </c>
      <c r="G394">
        <v>1567787575.150341</v>
      </c>
      <c r="H394" s="72">
        <v>-70.665718080000005</v>
      </c>
    </row>
    <row r="395" spans="1:8">
      <c r="A395">
        <v>1555333106.2124133</v>
      </c>
      <c r="B395" s="72">
        <v>-70.263771059999996</v>
      </c>
      <c r="D395">
        <v>1572973106.2124133</v>
      </c>
      <c r="E395" s="72">
        <v>-70.341255189999998</v>
      </c>
      <c r="G395">
        <v>1567827655.3106618</v>
      </c>
      <c r="H395" s="72">
        <v>-70.665428160000005</v>
      </c>
    </row>
    <row r="396" spans="1:8">
      <c r="A396">
        <v>1555334709.4188261</v>
      </c>
      <c r="B396" s="72">
        <v>-69.923339839999997</v>
      </c>
      <c r="D396">
        <v>1572974709.4188261</v>
      </c>
      <c r="E396" s="72">
        <v>-70.117172240000002</v>
      </c>
      <c r="G396">
        <v>1567867735.4709826</v>
      </c>
      <c r="H396" s="72">
        <v>-70.809501650000001</v>
      </c>
    </row>
    <row r="397" spans="1:8">
      <c r="A397">
        <v>1555336312.6252389</v>
      </c>
      <c r="B397" s="72">
        <v>-70.13044739</v>
      </c>
      <c r="D397">
        <v>1572976312.6252389</v>
      </c>
      <c r="E397" s="72">
        <v>-70.442428590000006</v>
      </c>
      <c r="G397">
        <v>1567907815.6313033</v>
      </c>
      <c r="H397" s="72">
        <v>-70.335006710000002</v>
      </c>
    </row>
    <row r="398" spans="1:8">
      <c r="A398">
        <v>1555337915.8316517</v>
      </c>
      <c r="B398" s="72">
        <v>-70.228904720000003</v>
      </c>
      <c r="D398">
        <v>1572977915.8316517</v>
      </c>
      <c r="E398" s="72">
        <v>-70.311447139999999</v>
      </c>
      <c r="G398">
        <v>1567947895.7916241</v>
      </c>
      <c r="H398" s="72">
        <v>-70.64279938</v>
      </c>
    </row>
    <row r="399" spans="1:8">
      <c r="A399">
        <v>1555339519.0380645</v>
      </c>
      <c r="B399" s="72">
        <v>-70.106124879999996</v>
      </c>
      <c r="D399">
        <v>1572979519.0380645</v>
      </c>
      <c r="E399" s="72">
        <v>-70.229263309999993</v>
      </c>
      <c r="G399">
        <v>1567987975.9519448</v>
      </c>
      <c r="H399" s="72">
        <v>-70.387641909999999</v>
      </c>
    </row>
    <row r="400" spans="1:8">
      <c r="A400">
        <v>1555341122.2444773</v>
      </c>
      <c r="B400" s="72">
        <v>-70.002517699999999</v>
      </c>
      <c r="D400">
        <v>1572981122.2444773</v>
      </c>
      <c r="E400" s="72">
        <v>-70.268692020000003</v>
      </c>
      <c r="G400">
        <v>1568028056.1122656</v>
      </c>
      <c r="H400" s="72">
        <v>-70.665206909999995</v>
      </c>
    </row>
    <row r="401" spans="1:8">
      <c r="A401">
        <v>1555342725.4508901</v>
      </c>
      <c r="B401" s="72">
        <v>-70.027664180000002</v>
      </c>
      <c r="D401">
        <v>1572982725.4508901</v>
      </c>
      <c r="E401" s="72">
        <v>-70.101783749999996</v>
      </c>
      <c r="G401">
        <v>1568068136.2725863</v>
      </c>
      <c r="H401" s="72">
        <v>-70.689369200000002</v>
      </c>
    </row>
    <row r="402" spans="1:8">
      <c r="A402">
        <v>1555344328.6573029</v>
      </c>
      <c r="B402" s="72">
        <v>-70.047271730000006</v>
      </c>
      <c r="D402">
        <v>1572984328.6573029</v>
      </c>
      <c r="E402" s="72">
        <v>-70.364326480000003</v>
      </c>
      <c r="G402">
        <v>1568108216.4329071</v>
      </c>
      <c r="H402" s="72">
        <v>-70.577682499999995</v>
      </c>
    </row>
    <row r="403" spans="1:8">
      <c r="A403">
        <v>1555345931.8637156</v>
      </c>
      <c r="B403" s="72">
        <v>-69.945129390000005</v>
      </c>
      <c r="D403">
        <v>1572985931.8637156</v>
      </c>
      <c r="E403" s="72">
        <v>-70.20674133</v>
      </c>
      <c r="G403">
        <v>1568148296.5932279</v>
      </c>
      <c r="H403" s="72">
        <v>-70.577682499999995</v>
      </c>
    </row>
    <row r="404" spans="1:8">
      <c r="A404">
        <v>1555347535.0701284</v>
      </c>
      <c r="B404" s="72">
        <v>-70.204078670000001</v>
      </c>
      <c r="D404">
        <v>1572987535.0701284</v>
      </c>
      <c r="E404" s="72">
        <v>-70.21127319</v>
      </c>
      <c r="G404">
        <v>1568188376.7535486</v>
      </c>
      <c r="H404" s="72">
        <v>-70.577026369999999</v>
      </c>
    </row>
    <row r="405" spans="1:8">
      <c r="A405">
        <v>1555349138.2765412</v>
      </c>
      <c r="B405" s="72">
        <v>-69.954208370000003</v>
      </c>
      <c r="D405">
        <v>1572989138.2765412</v>
      </c>
      <c r="E405" s="72">
        <v>-70.284072879999997</v>
      </c>
      <c r="G405">
        <v>1568228456.9138694</v>
      </c>
      <c r="H405" s="72">
        <v>-70.728111269999999</v>
      </c>
    </row>
    <row r="406" spans="1:8">
      <c r="A406">
        <v>1555350741.482954</v>
      </c>
      <c r="B406" s="72">
        <v>-70.052169800000001</v>
      </c>
      <c r="D406">
        <v>1572990741.482954</v>
      </c>
      <c r="E406" s="72">
        <v>-70.10783386</v>
      </c>
      <c r="G406">
        <v>1568268537.0741901</v>
      </c>
      <c r="H406" s="72">
        <v>-70.635238650000005</v>
      </c>
    </row>
    <row r="407" spans="1:8">
      <c r="A407">
        <v>1555352344.6893668</v>
      </c>
      <c r="B407" s="72">
        <v>-70.2040863</v>
      </c>
      <c r="D407">
        <v>1572992344.6893668</v>
      </c>
      <c r="E407" s="72">
        <v>-70.17640686</v>
      </c>
      <c r="G407">
        <v>1568308617.2345109</v>
      </c>
      <c r="H407" s="72">
        <v>-70.607421869999996</v>
      </c>
    </row>
    <row r="408" spans="1:8">
      <c r="A408">
        <v>1555353947.8957796</v>
      </c>
      <c r="B408" s="72">
        <v>-70.130241389999995</v>
      </c>
      <c r="D408">
        <v>1572993947.8957796</v>
      </c>
      <c r="E408" s="72">
        <v>-70.445388789999996</v>
      </c>
      <c r="G408">
        <v>1568348697.3948317</v>
      </c>
      <c r="H408" s="72">
        <v>-70.552627560000005</v>
      </c>
    </row>
    <row r="409" spans="1:8">
      <c r="A409">
        <v>1555355551.1021924</v>
      </c>
      <c r="B409" s="72">
        <v>-70.176422119999998</v>
      </c>
      <c r="D409">
        <v>1572995551.1021924</v>
      </c>
      <c r="E409" s="72">
        <v>-70.2040863</v>
      </c>
      <c r="G409">
        <v>1568388777.5551524</v>
      </c>
      <c r="H409" s="72">
        <v>-70.660072330000006</v>
      </c>
    </row>
    <row r="410" spans="1:8">
      <c r="A410">
        <v>1555357154.3086052</v>
      </c>
      <c r="B410" s="72">
        <v>-70.069404599999999</v>
      </c>
      <c r="D410">
        <v>1572997154.3086052</v>
      </c>
      <c r="E410" s="72">
        <v>-70.00843811</v>
      </c>
      <c r="G410">
        <v>1568428857.7154732</v>
      </c>
      <c r="H410" s="72">
        <v>-70.60377502</v>
      </c>
    </row>
    <row r="411" spans="1:8">
      <c r="A411">
        <v>1555358757.515018</v>
      </c>
      <c r="B411" s="72">
        <v>-70.005355829999999</v>
      </c>
      <c r="D411">
        <v>1572998757.515018</v>
      </c>
      <c r="E411" s="72">
        <v>-70.285324099999997</v>
      </c>
      <c r="G411">
        <v>1568468937.8757939</v>
      </c>
      <c r="H411" s="72">
        <v>-70.667137150000002</v>
      </c>
    </row>
    <row r="412" spans="1:8">
      <c r="A412">
        <v>1555360360.7214308</v>
      </c>
      <c r="B412" s="72">
        <v>-69.869125370000006</v>
      </c>
      <c r="D412">
        <v>1573000360.7214308</v>
      </c>
      <c r="E412" s="72">
        <v>-70.537254329999996</v>
      </c>
      <c r="G412">
        <v>1568509018.0361147</v>
      </c>
      <c r="H412" s="72">
        <v>-70.75294495</v>
      </c>
    </row>
    <row r="413" spans="1:8">
      <c r="A413">
        <v>1555361963.9278436</v>
      </c>
      <c r="B413" s="72">
        <v>-70.151412960000002</v>
      </c>
      <c r="D413">
        <v>1573001963.9278436</v>
      </c>
      <c r="E413" s="72">
        <v>-70.53279114</v>
      </c>
      <c r="G413">
        <v>1568549098.1964355</v>
      </c>
      <c r="H413" s="72">
        <v>-70.700370789999994</v>
      </c>
    </row>
    <row r="414" spans="1:8">
      <c r="A414">
        <v>1555363567.1342564</v>
      </c>
      <c r="B414" s="72">
        <v>-70.154869079999997</v>
      </c>
      <c r="D414">
        <v>1573003567.1342564</v>
      </c>
      <c r="E414" s="72">
        <v>-70.050628660000001</v>
      </c>
      <c r="G414">
        <v>1568589178.3567562</v>
      </c>
      <c r="H414" s="72">
        <v>-70.503189090000006</v>
      </c>
    </row>
    <row r="415" spans="1:8">
      <c r="A415">
        <v>1555365170.3406692</v>
      </c>
      <c r="B415" s="72">
        <v>-70.261642460000004</v>
      </c>
      <c r="D415">
        <v>1573005170.3406692</v>
      </c>
      <c r="E415" s="72">
        <v>-70.28795624</v>
      </c>
      <c r="G415">
        <v>1568629258.517077</v>
      </c>
      <c r="H415" s="72">
        <v>-70.524604800000006</v>
      </c>
    </row>
    <row r="416" spans="1:8">
      <c r="A416">
        <v>1555366773.5470819</v>
      </c>
      <c r="B416" s="72">
        <v>-69.994956970000004</v>
      </c>
      <c r="D416">
        <v>1573006773.5470819</v>
      </c>
      <c r="E416" s="72">
        <v>-70.209152219999993</v>
      </c>
      <c r="G416">
        <v>1568669338.6773977</v>
      </c>
      <c r="H416" s="72">
        <v>-70.508331299999995</v>
      </c>
    </row>
    <row r="417" spans="1:8">
      <c r="A417">
        <v>1555368376.7534947</v>
      </c>
      <c r="B417" s="72">
        <v>-70.227760309999994</v>
      </c>
      <c r="D417">
        <v>1573008376.7534947</v>
      </c>
      <c r="E417" s="72">
        <v>-70.216972350000006</v>
      </c>
      <c r="G417">
        <v>1568709418.8377185</v>
      </c>
      <c r="H417" s="72">
        <v>-70.606987000000004</v>
      </c>
    </row>
    <row r="418" spans="1:8">
      <c r="A418">
        <v>1555369979.9599075</v>
      </c>
      <c r="B418" s="72">
        <v>-69.848503109999996</v>
      </c>
      <c r="D418">
        <v>1573009979.9599075</v>
      </c>
      <c r="E418" s="72">
        <v>-70.146873470000003</v>
      </c>
      <c r="G418">
        <v>1568749498.9980392</v>
      </c>
      <c r="H418" s="72">
        <v>-70.578964229999997</v>
      </c>
    </row>
    <row r="419" spans="1:8">
      <c r="A419">
        <v>1555371583.1663203</v>
      </c>
      <c r="B419" s="72">
        <v>-70.055770870000003</v>
      </c>
      <c r="D419">
        <v>1573011583.1663203</v>
      </c>
      <c r="E419" s="72">
        <v>-70.241065980000002</v>
      </c>
      <c r="G419">
        <v>1568789579.15836</v>
      </c>
      <c r="H419" s="72">
        <v>-70.605484009999998</v>
      </c>
    </row>
    <row r="420" spans="1:8">
      <c r="A420">
        <v>1555373186.3727331</v>
      </c>
      <c r="B420" s="72">
        <v>-69.911056520000002</v>
      </c>
      <c r="D420">
        <v>1573013186.3727331</v>
      </c>
      <c r="E420" s="72">
        <v>-70.204444890000005</v>
      </c>
      <c r="G420">
        <v>1568829659.3186808</v>
      </c>
      <c r="H420" s="72">
        <v>-70.222862239999998</v>
      </c>
    </row>
    <row r="421" spans="1:8">
      <c r="A421">
        <v>1555374789.5791459</v>
      </c>
      <c r="B421" s="72">
        <v>-70.264144900000005</v>
      </c>
      <c r="D421">
        <v>1573014789.5791459</v>
      </c>
      <c r="E421" s="72">
        <v>-70.390274050000002</v>
      </c>
      <c r="G421">
        <v>1568869739.4790015</v>
      </c>
      <c r="H421" s="72">
        <v>-70.453964229999997</v>
      </c>
    </row>
    <row r="422" spans="1:8">
      <c r="A422">
        <v>1555376392.7855587</v>
      </c>
      <c r="B422" s="72">
        <v>-69.881431579999997</v>
      </c>
      <c r="D422">
        <v>1573016392.7855587</v>
      </c>
      <c r="E422" s="72">
        <v>-70.382575990000007</v>
      </c>
      <c r="G422">
        <v>1568909819.6393223</v>
      </c>
      <c r="H422" s="72">
        <v>-70.742454530000003</v>
      </c>
    </row>
    <row r="423" spans="1:8">
      <c r="A423">
        <v>1555377995.9919715</v>
      </c>
      <c r="B423" s="72">
        <v>-69.848701480000003</v>
      </c>
      <c r="D423">
        <v>1573017995.9919715</v>
      </c>
      <c r="E423" s="72">
        <v>-70.219726559999998</v>
      </c>
      <c r="G423">
        <v>1568949899.799643</v>
      </c>
      <c r="H423" s="72">
        <v>-70.54919434</v>
      </c>
    </row>
    <row r="424" spans="1:8">
      <c r="A424">
        <v>1555379599.1983843</v>
      </c>
      <c r="B424" s="72">
        <v>-70.161125179999999</v>
      </c>
      <c r="D424">
        <v>1573019599.1983843</v>
      </c>
      <c r="E424" s="72">
        <v>-70.336265560000001</v>
      </c>
      <c r="G424">
        <v>1568989979.9599638</v>
      </c>
      <c r="H424" s="72">
        <v>-70.719337460000006</v>
      </c>
    </row>
    <row r="425" spans="1:8">
      <c r="A425">
        <v>1555381202.4047971</v>
      </c>
      <c r="B425" s="72">
        <v>-69.902694699999998</v>
      </c>
      <c r="D425">
        <v>1573021202.4047971</v>
      </c>
      <c r="E425" s="72">
        <v>-70.20293427</v>
      </c>
      <c r="G425">
        <v>1569030060.1202846</v>
      </c>
      <c r="H425" s="72">
        <v>-70.498046869999996</v>
      </c>
    </row>
    <row r="426" spans="1:8">
      <c r="A426">
        <v>1555382805.6112099</v>
      </c>
      <c r="B426" s="72">
        <v>-70.183975219999994</v>
      </c>
      <c r="D426">
        <v>1573022805.6112099</v>
      </c>
      <c r="E426" s="72">
        <v>-70.081153869999994</v>
      </c>
      <c r="G426">
        <v>1569070140.2806053</v>
      </c>
      <c r="H426" s="72">
        <v>-70.600143430000003</v>
      </c>
    </row>
    <row r="427" spans="1:8">
      <c r="A427">
        <v>1555384408.8176227</v>
      </c>
      <c r="B427" s="72">
        <v>-69.772537229999998</v>
      </c>
      <c r="D427">
        <v>1573024408.8176227</v>
      </c>
      <c r="E427" s="72">
        <v>-70.250930789999998</v>
      </c>
      <c r="G427">
        <v>1569110220.4409261</v>
      </c>
      <c r="H427" s="72">
        <v>-70.639404299999995</v>
      </c>
    </row>
    <row r="428" spans="1:8">
      <c r="A428">
        <v>1555386012.0240355</v>
      </c>
      <c r="B428" s="72">
        <v>-69.844161990000003</v>
      </c>
      <c r="D428">
        <v>1573026012.0240355</v>
      </c>
      <c r="E428" s="72">
        <v>-70.310386660000006</v>
      </c>
      <c r="G428">
        <v>1569150300.6012468</v>
      </c>
      <c r="H428" s="72">
        <v>-70.749313349999994</v>
      </c>
    </row>
    <row r="429" spans="1:8">
      <c r="A429">
        <v>1555387615.2304482</v>
      </c>
      <c r="B429" s="72">
        <v>-69.994918819999995</v>
      </c>
      <c r="D429">
        <v>1573027615.2304482</v>
      </c>
      <c r="E429" s="72">
        <v>-69.873825069999995</v>
      </c>
      <c r="G429">
        <v>1569190380.7615676</v>
      </c>
      <c r="H429" s="72">
        <v>-70.542625430000001</v>
      </c>
    </row>
    <row r="430" spans="1:8">
      <c r="A430">
        <v>1555389218.436861</v>
      </c>
      <c r="B430" s="72">
        <v>-70.149726869999995</v>
      </c>
      <c r="D430">
        <v>1573029218.436861</v>
      </c>
      <c r="E430" s="72">
        <v>-70.235527039999994</v>
      </c>
      <c r="G430">
        <v>1569230460.9218884</v>
      </c>
      <c r="H430" s="72">
        <v>-70.631797789999993</v>
      </c>
    </row>
    <row r="431" spans="1:8">
      <c r="A431">
        <v>1555390821.6432738</v>
      </c>
      <c r="B431" s="72">
        <v>-70.135589600000003</v>
      </c>
      <c r="D431">
        <v>1573030821.6432738</v>
      </c>
      <c r="E431" s="72">
        <v>-70.552398679999996</v>
      </c>
      <c r="G431">
        <v>1569270541.0822091</v>
      </c>
      <c r="H431" s="72">
        <v>-70.603561400000004</v>
      </c>
    </row>
    <row r="432" spans="1:8">
      <c r="A432">
        <v>1555392424.8496866</v>
      </c>
      <c r="B432" s="72">
        <v>-70.078643799999995</v>
      </c>
      <c r="D432">
        <v>1573032424.8496866</v>
      </c>
      <c r="E432" s="72">
        <v>-70.421852110000003</v>
      </c>
      <c r="G432">
        <v>1569310621.2425299</v>
      </c>
      <c r="H432" s="72">
        <v>-70.749313349999994</v>
      </c>
    </row>
    <row r="433" spans="1:8">
      <c r="A433">
        <v>1555394028.0560994</v>
      </c>
      <c r="B433" s="72">
        <v>-70.285560610000005</v>
      </c>
      <c r="D433">
        <v>1573034028.0560994</v>
      </c>
      <c r="E433" s="72">
        <v>-70.026847840000002</v>
      </c>
      <c r="G433">
        <v>1569350701.4028506</v>
      </c>
      <c r="H433" s="72">
        <v>-70.590385440000006</v>
      </c>
    </row>
    <row r="434" spans="1:8">
      <c r="A434">
        <v>1555395631.2625122</v>
      </c>
      <c r="B434" s="72">
        <v>-70.314498900000004</v>
      </c>
      <c r="D434">
        <v>1573035631.2625122</v>
      </c>
      <c r="E434" s="72">
        <v>-70.293922420000001</v>
      </c>
      <c r="G434">
        <v>1569390781.5631714</v>
      </c>
      <c r="H434" s="72">
        <v>-70.592842099999999</v>
      </c>
    </row>
    <row r="435" spans="1:8">
      <c r="A435">
        <v>1555397234.468925</v>
      </c>
      <c r="B435" s="72">
        <v>-70.161209110000001</v>
      </c>
      <c r="D435">
        <v>1573037234.468925</v>
      </c>
      <c r="E435" s="72">
        <v>-70.465110780000003</v>
      </c>
      <c r="G435">
        <v>1569430861.7234921</v>
      </c>
      <c r="H435" s="72">
        <v>-70.580657959999996</v>
      </c>
    </row>
    <row r="436" spans="1:8">
      <c r="A436">
        <v>1555398837.6753378</v>
      </c>
      <c r="B436" s="72">
        <v>-70.101089479999999</v>
      </c>
      <c r="D436">
        <v>1573038837.6753378</v>
      </c>
      <c r="E436" s="72">
        <v>-70.224357600000005</v>
      </c>
      <c r="G436">
        <v>1569470941.8838129</v>
      </c>
      <c r="H436" s="72">
        <v>-70.687881469999994</v>
      </c>
    </row>
    <row r="437" spans="1:8">
      <c r="A437">
        <v>1555400440.8817506</v>
      </c>
      <c r="B437" s="72">
        <v>-70.188217159999994</v>
      </c>
      <c r="D437">
        <v>1573040440.8817506</v>
      </c>
      <c r="E437" s="72">
        <v>-70.154640200000003</v>
      </c>
      <c r="G437">
        <v>1569511022.0441337</v>
      </c>
      <c r="H437" s="72">
        <v>-70.526306149999996</v>
      </c>
    </row>
    <row r="438" spans="1:8">
      <c r="A438">
        <v>1555402044.0881634</v>
      </c>
      <c r="B438" s="72">
        <v>-69.898498540000006</v>
      </c>
      <c r="D438">
        <v>1573042044.0881634</v>
      </c>
      <c r="E438" s="72">
        <v>-70.389122009999994</v>
      </c>
      <c r="G438">
        <v>1569551102.2044544</v>
      </c>
      <c r="H438" s="72">
        <v>-70.836265560000001</v>
      </c>
    </row>
    <row r="439" spans="1:8">
      <c r="A439">
        <v>1555403647.2945762</v>
      </c>
      <c r="B439" s="72">
        <v>-70.10064697</v>
      </c>
      <c r="D439">
        <v>1573043647.2945762</v>
      </c>
      <c r="E439" s="72">
        <v>-70.187965390000002</v>
      </c>
      <c r="G439">
        <v>1569591182.3647752</v>
      </c>
      <c r="H439" s="72">
        <v>-70.33328247</v>
      </c>
    </row>
    <row r="440" spans="1:8">
      <c r="A440">
        <v>1555405250.500989</v>
      </c>
      <c r="B440" s="72">
        <v>-69.87909698</v>
      </c>
      <c r="D440">
        <v>1573045250.500989</v>
      </c>
      <c r="E440" s="72">
        <v>-70.502807619999999</v>
      </c>
      <c r="G440">
        <v>1569631262.5250959</v>
      </c>
      <c r="H440" s="72">
        <v>-70.722549439999995</v>
      </c>
    </row>
    <row r="441" spans="1:8">
      <c r="A441">
        <v>1555406853.7074018</v>
      </c>
      <c r="B441" s="72">
        <v>-70.056610109999994</v>
      </c>
      <c r="D441">
        <v>1573046853.7074018</v>
      </c>
      <c r="E441" s="72">
        <v>-70.364738459999998</v>
      </c>
      <c r="G441">
        <v>1569671342.6854167</v>
      </c>
      <c r="H441" s="72">
        <v>-70.46388245</v>
      </c>
    </row>
    <row r="442" spans="1:8">
      <c r="A442">
        <v>1555408456.9138145</v>
      </c>
      <c r="B442" s="72">
        <v>-69.879875179999999</v>
      </c>
      <c r="D442">
        <v>1573048456.9138145</v>
      </c>
      <c r="E442" s="72">
        <v>-70.280418400000002</v>
      </c>
      <c r="G442">
        <v>1569711422.8457375</v>
      </c>
      <c r="H442" s="72">
        <v>-70.493125919999997</v>
      </c>
    </row>
    <row r="443" spans="1:8">
      <c r="A443">
        <v>1555410060.1202273</v>
      </c>
      <c r="B443" s="72">
        <v>-70.077751160000005</v>
      </c>
      <c r="D443">
        <v>1573050060.1202273</v>
      </c>
      <c r="E443" s="72">
        <v>-70.138153079999995</v>
      </c>
      <c r="G443">
        <v>1569751503.0060582</v>
      </c>
      <c r="H443" s="72">
        <v>-70.558494569999993</v>
      </c>
    </row>
    <row r="444" spans="1:8">
      <c r="A444">
        <v>1555411663.3266401</v>
      </c>
      <c r="B444" s="72">
        <v>-69.799911499999993</v>
      </c>
      <c r="D444">
        <v>1573051663.3266401</v>
      </c>
      <c r="E444" s="72">
        <v>-70.333274840000001</v>
      </c>
      <c r="G444">
        <v>1569791583.166379</v>
      </c>
      <c r="H444" s="72">
        <v>-70.387855529999996</v>
      </c>
    </row>
    <row r="445" spans="1:8">
      <c r="A445">
        <v>1555413266.5330529</v>
      </c>
      <c r="B445" s="72">
        <v>-70.018257140000003</v>
      </c>
      <c r="D445">
        <v>1573053266.5330529</v>
      </c>
      <c r="E445" s="72">
        <v>-70.333267210000002</v>
      </c>
      <c r="G445">
        <v>1569831663.3266997</v>
      </c>
      <c r="H445" s="72">
        <v>-70.427284240000006</v>
      </c>
    </row>
    <row r="446" spans="1:8">
      <c r="A446">
        <v>1555414869.7394657</v>
      </c>
      <c r="B446" s="72">
        <v>-70.189140320000007</v>
      </c>
      <c r="D446">
        <v>1573054869.7394657</v>
      </c>
      <c r="E446" s="72">
        <v>-70.260299680000003</v>
      </c>
      <c r="G446">
        <v>1569871743.4870205</v>
      </c>
      <c r="H446" s="72">
        <v>-70.365440370000002</v>
      </c>
    </row>
    <row r="447" spans="1:8">
      <c r="A447">
        <v>1555416472.9458785</v>
      </c>
      <c r="B447" s="72">
        <v>-70.049125669999995</v>
      </c>
      <c r="D447">
        <v>1573056472.9458785</v>
      </c>
      <c r="E447" s="72">
        <v>-70.228904720000003</v>
      </c>
      <c r="G447">
        <v>1569911823.6473413</v>
      </c>
      <c r="H447" s="72">
        <v>-70.696640009999996</v>
      </c>
    </row>
    <row r="448" spans="1:8">
      <c r="A448">
        <v>1555418076.1522913</v>
      </c>
      <c r="B448" s="72">
        <v>-70.099929810000006</v>
      </c>
      <c r="D448">
        <v>1573058076.1522913</v>
      </c>
      <c r="E448" s="72">
        <v>-70.315109250000006</v>
      </c>
      <c r="G448">
        <v>1569951903.807662</v>
      </c>
      <c r="H448" s="72">
        <v>-70.506820680000004</v>
      </c>
    </row>
    <row r="449" spans="1:8">
      <c r="A449">
        <v>1555419679.3587041</v>
      </c>
      <c r="B449" s="72">
        <v>-69.978836060000006</v>
      </c>
      <c r="D449">
        <v>1573059679.3587041</v>
      </c>
      <c r="E449" s="72">
        <v>-70.208786009999997</v>
      </c>
      <c r="G449">
        <v>1569991983.9679828</v>
      </c>
      <c r="H449" s="72">
        <v>-70.779991150000001</v>
      </c>
    </row>
    <row r="450" spans="1:8">
      <c r="A450">
        <v>1555421282.5651169</v>
      </c>
      <c r="B450" s="72">
        <v>-70.103324889999996</v>
      </c>
      <c r="D450">
        <v>1573061282.5651169</v>
      </c>
      <c r="E450" s="72">
        <v>-70.211715699999999</v>
      </c>
      <c r="G450">
        <v>1570032064.1283035</v>
      </c>
      <c r="H450" s="72">
        <v>-70.69174194</v>
      </c>
    </row>
    <row r="451" spans="1:8">
      <c r="A451">
        <v>1555422885.7715297</v>
      </c>
      <c r="B451" s="72">
        <v>-70.097435000000004</v>
      </c>
      <c r="D451">
        <v>1573062885.7715297</v>
      </c>
      <c r="E451" s="72">
        <v>-70.109176640000001</v>
      </c>
      <c r="G451">
        <v>1570072144.2886243</v>
      </c>
      <c r="H451" s="72">
        <v>-70.444992069999998</v>
      </c>
    </row>
    <row r="452" spans="1:8">
      <c r="A452">
        <v>1555424488.9779425</v>
      </c>
      <c r="B452" s="72">
        <v>-70.097061159999996</v>
      </c>
      <c r="D452">
        <v>1573064488.9779425</v>
      </c>
      <c r="E452" s="72">
        <v>-70.347473140000005</v>
      </c>
      <c r="G452">
        <v>1570112224.448945</v>
      </c>
      <c r="H452" s="72">
        <v>-70.605293270000004</v>
      </c>
    </row>
    <row r="453" spans="1:8">
      <c r="A453">
        <v>1555426092.1843553</v>
      </c>
      <c r="B453" s="72">
        <v>-70.233810419999998</v>
      </c>
      <c r="D453">
        <v>1573066092.1843553</v>
      </c>
      <c r="E453" s="72">
        <v>-70.182647709999998</v>
      </c>
      <c r="G453">
        <v>1570152304.6092658</v>
      </c>
      <c r="H453" s="72">
        <v>-70.778808589999997</v>
      </c>
    </row>
    <row r="454" spans="1:8">
      <c r="A454">
        <v>1555427695.3907681</v>
      </c>
      <c r="B454" s="72">
        <v>-70.169067380000001</v>
      </c>
      <c r="D454">
        <v>1573067695.3907681</v>
      </c>
      <c r="E454" s="72">
        <v>-70.159568789999994</v>
      </c>
      <c r="G454">
        <v>1570192384.7695866</v>
      </c>
      <c r="H454" s="72">
        <v>-70.584754939999996</v>
      </c>
    </row>
    <row r="455" spans="1:8">
      <c r="A455">
        <v>1555429298.5971808</v>
      </c>
      <c r="B455" s="72">
        <v>-70.234245299999998</v>
      </c>
      <c r="D455">
        <v>1573069298.5971808</v>
      </c>
      <c r="E455" s="72">
        <v>-70.437072749999999</v>
      </c>
      <c r="G455">
        <v>1570232464.9299073</v>
      </c>
      <c r="H455" s="72">
        <v>-70.615768430000003</v>
      </c>
    </row>
    <row r="456" spans="1:8">
      <c r="A456">
        <v>1555430901.8035936</v>
      </c>
      <c r="B456" s="72">
        <v>-70.09857178</v>
      </c>
      <c r="D456">
        <v>1573070901.8035936</v>
      </c>
      <c r="E456" s="72">
        <v>-70.227561949999995</v>
      </c>
      <c r="G456">
        <v>1570272545.0902281</v>
      </c>
      <c r="H456" s="72">
        <v>-70.63502502</v>
      </c>
    </row>
    <row r="457" spans="1:8">
      <c r="A457">
        <v>1555432505.0100064</v>
      </c>
      <c r="B457" s="72">
        <v>-70.059013370000002</v>
      </c>
      <c r="D457">
        <v>1573072505.0100064</v>
      </c>
      <c r="E457" s="72">
        <v>-70.36612701</v>
      </c>
      <c r="G457">
        <v>1570312625.2505488</v>
      </c>
      <c r="H457" s="72">
        <v>-70.772193909999999</v>
      </c>
    </row>
    <row r="458" spans="1:8">
      <c r="A458">
        <v>1555434108.2164192</v>
      </c>
      <c r="B458" s="72">
        <v>-70.052978519999996</v>
      </c>
      <c r="D458">
        <v>1573074108.2164192</v>
      </c>
      <c r="E458" s="72">
        <v>-70.415451050000001</v>
      </c>
      <c r="G458">
        <v>1570352705.4108696</v>
      </c>
      <c r="H458" s="72">
        <v>-70.476661680000007</v>
      </c>
    </row>
    <row r="459" spans="1:8">
      <c r="A459">
        <v>1555435711.422832</v>
      </c>
      <c r="B459" s="72">
        <v>-70.180107120000002</v>
      </c>
      <c r="D459">
        <v>1573075711.422832</v>
      </c>
      <c r="E459" s="72">
        <v>-70.177917480000005</v>
      </c>
      <c r="G459">
        <v>1570392785.5711904</v>
      </c>
      <c r="H459" s="72">
        <v>-70.667129520000003</v>
      </c>
    </row>
    <row r="460" spans="1:8">
      <c r="A460">
        <v>1555437314.6292448</v>
      </c>
      <c r="B460" s="72">
        <v>-70.264686580000003</v>
      </c>
      <c r="D460">
        <v>1573077314.6292448</v>
      </c>
      <c r="E460" s="72">
        <v>-70.317695619999995</v>
      </c>
      <c r="G460">
        <v>1570432865.7315111</v>
      </c>
      <c r="H460" s="72">
        <v>-70.529136660000006</v>
      </c>
    </row>
    <row r="461" spans="1:8">
      <c r="A461">
        <v>1555438917.8356576</v>
      </c>
      <c r="B461" s="72">
        <v>-70.269851680000002</v>
      </c>
      <c r="D461">
        <v>1573078917.8356576</v>
      </c>
      <c r="E461" s="72">
        <v>-70.364746089999997</v>
      </c>
      <c r="G461">
        <v>1570472945.8918319</v>
      </c>
      <c r="H461" s="72">
        <v>-70.667877200000007</v>
      </c>
    </row>
    <row r="462" spans="1:8">
      <c r="A462">
        <v>1555440521.0420704</v>
      </c>
      <c r="B462" s="72">
        <v>-70.078651429999994</v>
      </c>
      <c r="D462">
        <v>1573080521.0420704</v>
      </c>
      <c r="E462" s="72">
        <v>-70.10064697</v>
      </c>
      <c r="G462">
        <v>1570513026.0521526</v>
      </c>
      <c r="H462" s="72">
        <v>-70.693443299999998</v>
      </c>
    </row>
    <row r="463" spans="1:8">
      <c r="A463">
        <v>1555442124.2484832</v>
      </c>
      <c r="B463" s="72">
        <v>-70.011268619999996</v>
      </c>
      <c r="D463">
        <v>1573082124.2484832</v>
      </c>
      <c r="E463" s="72">
        <v>-70.279144290000005</v>
      </c>
      <c r="G463">
        <v>1570553106.2124734</v>
      </c>
      <c r="H463" s="72">
        <v>-70.856735229999998</v>
      </c>
    </row>
    <row r="464" spans="1:8">
      <c r="A464">
        <v>1555443727.454896</v>
      </c>
      <c r="B464" s="72">
        <v>-70.125106810000005</v>
      </c>
      <c r="D464">
        <v>1573083727.454896</v>
      </c>
      <c r="E464" s="72">
        <v>-70.024307250000007</v>
      </c>
      <c r="G464">
        <v>1570593186.3727942</v>
      </c>
      <c r="H464" s="72">
        <v>-70.584068299999998</v>
      </c>
    </row>
    <row r="465" spans="1:8">
      <c r="A465">
        <v>1555445330.6613088</v>
      </c>
      <c r="B465" s="72">
        <v>-69.949661250000005</v>
      </c>
      <c r="D465">
        <v>1573085330.6613088</v>
      </c>
      <c r="E465" s="72">
        <v>-70.584091189999995</v>
      </c>
      <c r="G465">
        <v>1570633266.5331149</v>
      </c>
      <c r="H465" s="72">
        <v>-70.749725339999998</v>
      </c>
    </row>
    <row r="466" spans="1:8">
      <c r="A466">
        <v>1555446933.8677216</v>
      </c>
      <c r="B466" s="72">
        <v>-69.946479800000006</v>
      </c>
      <c r="D466">
        <v>1573086933.8677216</v>
      </c>
      <c r="E466" s="72">
        <v>-70.339912409999997</v>
      </c>
      <c r="G466">
        <v>1570673346.6934357</v>
      </c>
      <c r="H466" s="72">
        <v>-70.642303470000002</v>
      </c>
    </row>
    <row r="467" spans="1:8">
      <c r="A467">
        <v>1555448537.0741343</v>
      </c>
      <c r="B467" s="72">
        <v>-70.207283020000006</v>
      </c>
      <c r="D467">
        <v>1573088537.0741343</v>
      </c>
      <c r="E467" s="72">
        <v>-70.471946720000005</v>
      </c>
      <c r="G467">
        <v>1570713426.8537564</v>
      </c>
      <c r="H467" s="72">
        <v>-70.72342682</v>
      </c>
    </row>
    <row r="468" spans="1:8">
      <c r="A468">
        <v>1555450140.2805471</v>
      </c>
      <c r="B468" s="72">
        <v>-70.025154110000003</v>
      </c>
      <c r="D468">
        <v>1573090140.2805471</v>
      </c>
      <c r="E468" s="72">
        <v>-70.232116700000006</v>
      </c>
      <c r="G468">
        <v>1570753507.0140772</v>
      </c>
      <c r="H468" s="72">
        <v>-70.455665589999995</v>
      </c>
    </row>
    <row r="469" spans="1:8">
      <c r="A469">
        <v>1555451743.4869599</v>
      </c>
      <c r="B469" s="72">
        <v>-70.001953119999996</v>
      </c>
      <c r="D469">
        <v>1573091743.4869599</v>
      </c>
      <c r="E469" s="72">
        <v>-70.309959410000005</v>
      </c>
      <c r="G469">
        <v>1570793587.1743979</v>
      </c>
      <c r="H469" s="72">
        <v>-70.443489069999998</v>
      </c>
    </row>
    <row r="470" spans="1:8">
      <c r="A470">
        <v>1555453346.6933727</v>
      </c>
      <c r="B470" s="72">
        <v>-70.255592350000001</v>
      </c>
      <c r="D470">
        <v>1573093346.6933727</v>
      </c>
      <c r="E470" s="72">
        <v>-70.323913570000002</v>
      </c>
      <c r="G470">
        <v>1570833667.3347187</v>
      </c>
      <c r="H470" s="72">
        <v>-70.507339479999999</v>
      </c>
    </row>
    <row r="471" spans="1:8">
      <c r="A471">
        <v>1555454949.8997855</v>
      </c>
      <c r="B471" s="72">
        <v>-70.146682740000003</v>
      </c>
      <c r="D471">
        <v>1573094949.8997855</v>
      </c>
      <c r="E471" s="72">
        <v>-70.25843811</v>
      </c>
      <c r="G471">
        <v>1570873747.4950395</v>
      </c>
      <c r="H471" s="72">
        <v>-70.633094790000001</v>
      </c>
    </row>
    <row r="472" spans="1:8">
      <c r="A472">
        <v>1555456553.1061983</v>
      </c>
      <c r="B472" s="72">
        <v>-70.262435909999994</v>
      </c>
      <c r="D472">
        <v>1573096553.1061983</v>
      </c>
      <c r="E472" s="72">
        <v>-70.302047729999998</v>
      </c>
      <c r="G472">
        <v>1570913827.6553602</v>
      </c>
      <c r="H472" s="72">
        <v>-70.471946720000005</v>
      </c>
    </row>
    <row r="473" spans="1:8">
      <c r="A473">
        <v>1555458156.3126111</v>
      </c>
      <c r="B473" s="72">
        <v>-70.097625730000004</v>
      </c>
      <c r="D473">
        <v>1573098156.3126111</v>
      </c>
      <c r="E473" s="72">
        <v>-70.344894409999995</v>
      </c>
      <c r="G473">
        <v>1570953907.815681</v>
      </c>
      <c r="H473" s="72">
        <v>-70.726181030000006</v>
      </c>
    </row>
    <row r="474" spans="1:8">
      <c r="A474">
        <v>1555459759.5190239</v>
      </c>
      <c r="B474" s="72">
        <v>-70.159767149999993</v>
      </c>
      <c r="D474">
        <v>1573099759.5190239</v>
      </c>
      <c r="E474" s="72">
        <v>-70.257278439999993</v>
      </c>
      <c r="G474">
        <v>1570993987.9760017</v>
      </c>
      <c r="H474" s="72">
        <v>-70.746078490000002</v>
      </c>
    </row>
    <row r="475" spans="1:8">
      <c r="A475">
        <v>1555461362.7254367</v>
      </c>
      <c r="B475" s="72">
        <v>-69.94361877</v>
      </c>
      <c r="D475">
        <v>1573101362.7254367</v>
      </c>
      <c r="E475" s="72">
        <v>-70.394264219999997</v>
      </c>
      <c r="G475">
        <v>1571034068.1363225</v>
      </c>
      <c r="H475" s="72">
        <v>-70.686172490000004</v>
      </c>
    </row>
    <row r="476" spans="1:8">
      <c r="A476">
        <v>1555462965.9318495</v>
      </c>
      <c r="B476" s="72">
        <v>-70.115287780000003</v>
      </c>
      <c r="D476">
        <v>1573102965.9318495</v>
      </c>
      <c r="E476" s="72">
        <v>-70.410751340000004</v>
      </c>
      <c r="G476">
        <v>1571074148.2966433</v>
      </c>
      <c r="H476" s="72">
        <v>-70.445182799999998</v>
      </c>
    </row>
    <row r="477" spans="1:8">
      <c r="A477">
        <v>1555464569.1382623</v>
      </c>
      <c r="B477" s="72">
        <v>-69.949836730000001</v>
      </c>
      <c r="D477">
        <v>1573104569.1382623</v>
      </c>
      <c r="E477" s="72">
        <v>-70.410552980000006</v>
      </c>
      <c r="G477">
        <v>1571114228.456964</v>
      </c>
      <c r="H477" s="72">
        <v>-70.50453186</v>
      </c>
    </row>
    <row r="478" spans="1:8">
      <c r="A478">
        <v>1555466172.3446751</v>
      </c>
      <c r="B478" s="72">
        <v>-70.153274539999998</v>
      </c>
      <c r="D478">
        <v>1573106172.3446751</v>
      </c>
      <c r="E478" s="72">
        <v>-70.464904790000006</v>
      </c>
      <c r="G478">
        <v>1571154308.6172848</v>
      </c>
      <c r="H478" s="72">
        <v>-70.644737239999998</v>
      </c>
    </row>
    <row r="479" spans="1:8">
      <c r="A479">
        <v>1555467775.5510879</v>
      </c>
      <c r="B479" s="72">
        <v>-69.836601259999995</v>
      </c>
      <c r="D479">
        <v>1573107775.5510879</v>
      </c>
      <c r="E479" s="72">
        <v>-70.312080379999998</v>
      </c>
      <c r="G479">
        <v>1571194388.7776055</v>
      </c>
      <c r="H479" s="72">
        <v>-70.783081050000007</v>
      </c>
    </row>
    <row r="480" spans="1:8">
      <c r="A480">
        <v>1555469378.7575006</v>
      </c>
      <c r="B480" s="72">
        <v>-70.285606380000004</v>
      </c>
      <c r="D480">
        <v>1573109378.7575006</v>
      </c>
      <c r="E480" s="72">
        <v>-70.28342438</v>
      </c>
      <c r="G480">
        <v>1571234468.9379263</v>
      </c>
      <c r="H480" s="72">
        <v>-70.476860049999999</v>
      </c>
    </row>
    <row r="481" spans="1:8">
      <c r="A481">
        <v>1555470981.9639134</v>
      </c>
      <c r="B481" s="72">
        <v>-70.022804260000001</v>
      </c>
      <c r="D481">
        <v>1573110981.9639134</v>
      </c>
      <c r="E481" s="72">
        <v>-70.186904909999996</v>
      </c>
      <c r="G481">
        <v>1571274549.0982471</v>
      </c>
      <c r="H481" s="72">
        <v>-70.452255249999993</v>
      </c>
    </row>
    <row r="482" spans="1:8">
      <c r="A482">
        <v>1555472585.1703262</v>
      </c>
      <c r="B482" s="72">
        <v>-70.095726010000007</v>
      </c>
      <c r="D482">
        <v>1573112585.1703262</v>
      </c>
      <c r="E482" s="72">
        <v>-70.347068789999994</v>
      </c>
      <c r="G482">
        <v>1571314629.2585678</v>
      </c>
      <c r="H482" s="72">
        <v>-70.896965030000004</v>
      </c>
    </row>
    <row r="483" spans="1:8">
      <c r="A483">
        <v>1555474188.376739</v>
      </c>
      <c r="B483" s="72">
        <v>-70.10546875</v>
      </c>
      <c r="D483">
        <v>1573114188.376739</v>
      </c>
      <c r="E483" s="72">
        <v>-70.283828740000004</v>
      </c>
      <c r="G483">
        <v>1571354709.4188886</v>
      </c>
      <c r="H483" s="72">
        <v>-70.71783447</v>
      </c>
    </row>
    <row r="484" spans="1:8">
      <c r="A484">
        <v>1555475791.5831518</v>
      </c>
      <c r="B484" s="72">
        <v>-70.180976869999995</v>
      </c>
      <c r="D484">
        <v>1573115791.5831518</v>
      </c>
      <c r="E484" s="72">
        <v>-70.266067500000005</v>
      </c>
      <c r="G484">
        <v>1571394789.5792093</v>
      </c>
      <c r="H484" s="72">
        <v>-70.675033569999997</v>
      </c>
    </row>
    <row r="485" spans="1:8">
      <c r="A485">
        <v>1555477394.7895646</v>
      </c>
      <c r="B485" s="72">
        <v>-70.280616760000001</v>
      </c>
      <c r="D485">
        <v>1573117394.7895646</v>
      </c>
      <c r="E485" s="72">
        <v>-70.258796689999997</v>
      </c>
      <c r="G485">
        <v>1571434869.7395301</v>
      </c>
      <c r="H485" s="72">
        <v>-70.637390139999994</v>
      </c>
    </row>
    <row r="486" spans="1:8">
      <c r="A486">
        <v>1555478997.9959774</v>
      </c>
      <c r="B486" s="72">
        <v>-70.181770319999998</v>
      </c>
      <c r="D486">
        <v>1573118997.9959774</v>
      </c>
      <c r="E486" s="72">
        <v>-70.341629030000007</v>
      </c>
      <c r="G486">
        <v>1571474949.8998508</v>
      </c>
      <c r="H486" s="72">
        <v>-70.861648560000006</v>
      </c>
    </row>
    <row r="487" spans="1:8">
      <c r="A487">
        <v>1555480601.2023902</v>
      </c>
      <c r="B487" s="72">
        <v>-70.142173769999999</v>
      </c>
      <c r="D487">
        <v>1573120601.2023902</v>
      </c>
      <c r="E487" s="72">
        <v>-70.58579254</v>
      </c>
      <c r="G487">
        <v>1571515030.0601716</v>
      </c>
      <c r="H487" s="72">
        <v>-70.563087460000006</v>
      </c>
    </row>
    <row r="488" spans="1:8">
      <c r="A488">
        <v>1555482204.408803</v>
      </c>
      <c r="B488" s="72">
        <v>-70.181739809999996</v>
      </c>
      <c r="D488">
        <v>1573122204.408803</v>
      </c>
      <c r="E488" s="72">
        <v>-70.241409300000001</v>
      </c>
      <c r="G488">
        <v>1571555110.2204924</v>
      </c>
      <c r="H488" s="72">
        <v>-70.71108246</v>
      </c>
    </row>
    <row r="489" spans="1:8">
      <c r="A489">
        <v>1555483807.6152158</v>
      </c>
      <c r="B489" s="72">
        <v>-69.916152949999997</v>
      </c>
      <c r="D489">
        <v>1573123807.6152158</v>
      </c>
      <c r="E489" s="72">
        <v>-70.395973209999994</v>
      </c>
      <c r="G489">
        <v>1571595190.3808131</v>
      </c>
      <c r="H489" s="72">
        <v>-70.774368289999998</v>
      </c>
    </row>
    <row r="490" spans="1:8">
      <c r="A490">
        <v>1555485410.8216286</v>
      </c>
      <c r="B490" s="72">
        <v>-70.190650939999998</v>
      </c>
      <c r="D490">
        <v>1573125410.8216286</v>
      </c>
      <c r="E490" s="72">
        <v>-70.275520319999998</v>
      </c>
      <c r="G490">
        <v>1571635270.5411339</v>
      </c>
      <c r="H490" s="72">
        <v>-70.630111690000007</v>
      </c>
    </row>
    <row r="491" spans="1:8">
      <c r="A491">
        <v>1555487014.0280414</v>
      </c>
      <c r="B491" s="72">
        <v>-70.158554080000002</v>
      </c>
      <c r="D491">
        <v>1573127014.0280414</v>
      </c>
      <c r="E491" s="72">
        <v>-70.368141170000001</v>
      </c>
      <c r="G491">
        <v>1571675350.7014546</v>
      </c>
      <c r="H491" s="72">
        <v>-70.391273499999997</v>
      </c>
    </row>
    <row r="492" spans="1:8">
      <c r="A492">
        <v>1555488617.2344542</v>
      </c>
      <c r="B492" s="72">
        <v>-70.044586179999996</v>
      </c>
      <c r="D492">
        <v>1573128617.2344542</v>
      </c>
      <c r="E492" s="72">
        <v>-70.263130189999998</v>
      </c>
      <c r="G492">
        <v>1571715430.8617754</v>
      </c>
      <c r="H492" s="72">
        <v>-70.761650090000003</v>
      </c>
    </row>
    <row r="493" spans="1:8">
      <c r="A493">
        <v>1555490220.4408669</v>
      </c>
      <c r="B493" s="72">
        <v>-70.184951780000006</v>
      </c>
      <c r="D493">
        <v>1573130220.4408669</v>
      </c>
      <c r="E493" s="72">
        <v>-70.586524960000006</v>
      </c>
      <c r="G493">
        <v>1571755511.0220962</v>
      </c>
      <c r="H493" s="72">
        <v>-70.723182679999994</v>
      </c>
    </row>
    <row r="494" spans="1:8">
      <c r="A494">
        <v>1555491823.6472797</v>
      </c>
      <c r="B494" s="72">
        <v>-70.259948730000005</v>
      </c>
      <c r="D494">
        <v>1573131823.6472797</v>
      </c>
      <c r="E494" s="72">
        <v>-70.23610687</v>
      </c>
      <c r="G494">
        <v>1571795591.1824169</v>
      </c>
      <c r="H494" s="72">
        <v>-70.610633849999999</v>
      </c>
    </row>
    <row r="495" spans="1:8">
      <c r="A495">
        <v>1555493426.8536925</v>
      </c>
      <c r="B495" s="72">
        <v>-70.022796630000002</v>
      </c>
      <c r="D495">
        <v>1573133426.8536925</v>
      </c>
      <c r="E495" s="72">
        <v>-70.339668270000004</v>
      </c>
      <c r="G495">
        <v>1571835671.3427377</v>
      </c>
      <c r="H495" s="72">
        <v>-70.691513060000005</v>
      </c>
    </row>
    <row r="496" spans="1:8">
      <c r="A496">
        <v>1555495030.0601053</v>
      </c>
      <c r="B496" s="72">
        <v>-70.078002929999997</v>
      </c>
      <c r="D496">
        <v>1573135030.0601053</v>
      </c>
      <c r="E496" s="72">
        <v>-70.184585569999996</v>
      </c>
      <c r="G496">
        <v>1571875751.5030584</v>
      </c>
      <c r="H496" s="72">
        <v>-70.526733399999998</v>
      </c>
    </row>
    <row r="497" spans="1:8">
      <c r="A497">
        <v>1555496633.2665181</v>
      </c>
      <c r="B497" s="72">
        <v>-70.050270080000004</v>
      </c>
      <c r="D497">
        <v>1573136633.2665181</v>
      </c>
      <c r="E497" s="72">
        <v>-70.387428279999995</v>
      </c>
      <c r="G497">
        <v>1571915831.6633792</v>
      </c>
      <c r="H497" s="72">
        <v>-70.697601320000004</v>
      </c>
    </row>
    <row r="498" spans="1:8">
      <c r="A498">
        <v>1555498236.4729309</v>
      </c>
      <c r="B498" s="72">
        <v>-70.097228999999999</v>
      </c>
      <c r="D498">
        <v>1573138236.4729309</v>
      </c>
      <c r="E498" s="72">
        <v>-70.074104309999996</v>
      </c>
      <c r="G498">
        <v>1571955911.8237</v>
      </c>
      <c r="H498" s="72">
        <v>-70.663284300000001</v>
      </c>
    </row>
    <row r="499" spans="1:8">
      <c r="A499">
        <v>1555499839.6793437</v>
      </c>
      <c r="B499" s="72">
        <v>-70.153289790000002</v>
      </c>
      <c r="D499">
        <v>1573139839.6793437</v>
      </c>
      <c r="E499" s="72">
        <v>-70.341186519999994</v>
      </c>
      <c r="G499">
        <v>1571995991.9840207</v>
      </c>
      <c r="H499" s="72">
        <v>-70.602073669999996</v>
      </c>
    </row>
    <row r="500" spans="1:8">
      <c r="A500">
        <v>1555501442.8857565</v>
      </c>
      <c r="B500" s="72">
        <v>-70.20143127</v>
      </c>
      <c r="D500">
        <v>1573141442.8857565</v>
      </c>
      <c r="E500" s="72">
        <v>-70.420448300000004</v>
      </c>
      <c r="G500">
        <v>1572036072.1443415</v>
      </c>
      <c r="H500" s="72">
        <v>-70.385925290000003</v>
      </c>
    </row>
    <row r="501" spans="1:8">
      <c r="A501">
        <v>1555503046.0921693</v>
      </c>
      <c r="B501" s="72">
        <v>-70.430053709999996</v>
      </c>
      <c r="D501">
        <v>1573143046.0921693</v>
      </c>
      <c r="E501" s="72">
        <v>-70.05232239</v>
      </c>
      <c r="G501">
        <v>1572076152.3046622</v>
      </c>
      <c r="H501" s="72">
        <v>-70.742233279999994</v>
      </c>
    </row>
    <row r="502" spans="1:8">
      <c r="A502">
        <v>1555504649.2985821</v>
      </c>
      <c r="B502" s="72">
        <v>-70.000808719999995</v>
      </c>
      <c r="D502">
        <v>1573144649.2985821</v>
      </c>
      <c r="E502" s="72">
        <v>-70.292167660000004</v>
      </c>
      <c r="G502">
        <v>1572116232.464983</v>
      </c>
      <c r="H502" s="72">
        <v>-70.691513060000005</v>
      </c>
    </row>
    <row r="503" spans="1:8">
      <c r="A503">
        <v>1555506252.5049949</v>
      </c>
      <c r="B503" s="72">
        <v>-70.22969818</v>
      </c>
      <c r="D503">
        <v>1573146252.5049949</v>
      </c>
      <c r="E503" s="72">
        <v>-70.361297609999994</v>
      </c>
      <c r="G503">
        <v>1572156312.6253037</v>
      </c>
      <c r="H503" s="72">
        <v>-70.63889313</v>
      </c>
    </row>
    <row r="504" spans="1:8">
      <c r="A504">
        <v>1555507855.7114077</v>
      </c>
      <c r="B504" s="72">
        <v>-70.102142330000007</v>
      </c>
      <c r="D504">
        <v>1573147855.7114077</v>
      </c>
      <c r="E504" s="72">
        <v>-70.206138609999996</v>
      </c>
      <c r="G504">
        <v>1572196392.7856245</v>
      </c>
      <c r="H504" s="72">
        <v>-70.589431759999997</v>
      </c>
    </row>
    <row r="505" spans="1:8">
      <c r="A505">
        <v>1555509458.9178205</v>
      </c>
      <c r="B505" s="72">
        <v>-700080780030</v>
      </c>
      <c r="D505">
        <v>1573149458.9178205</v>
      </c>
      <c r="E505" s="72">
        <v>-70.288955689999995</v>
      </c>
      <c r="G505">
        <v>1572236472.9459453</v>
      </c>
      <c r="H505" s="72">
        <v>-700746109010</v>
      </c>
    </row>
    <row r="506" spans="1:8">
      <c r="A506">
        <v>1555511062.1242332</v>
      </c>
      <c r="B506" s="72">
        <v>-70.024147029999995</v>
      </c>
      <c r="D506">
        <v>1573151062.1242332</v>
      </c>
      <c r="E506" s="72">
        <v>-70.230766299999999</v>
      </c>
      <c r="G506">
        <v>1572276553.106266</v>
      </c>
      <c r="H506" s="72">
        <v>-70.531448359999999</v>
      </c>
    </row>
    <row r="507" spans="1:8">
      <c r="A507">
        <v>1555512665.330646</v>
      </c>
      <c r="B507" s="72">
        <v>-70.128677370000005</v>
      </c>
      <c r="D507">
        <v>1573152665.330646</v>
      </c>
      <c r="E507" s="72">
        <v>-70.578971859999996</v>
      </c>
      <c r="G507">
        <v>1572316633.2665868</v>
      </c>
      <c r="H507" s="72">
        <v>-70.588661189999996</v>
      </c>
    </row>
    <row r="508" spans="1:8">
      <c r="A508">
        <v>1555514268.5370588</v>
      </c>
      <c r="B508" s="72">
        <v>-70.23784637</v>
      </c>
      <c r="D508">
        <v>1573154268.5370588</v>
      </c>
      <c r="E508" s="72">
        <v>-70.22627258</v>
      </c>
      <c r="G508">
        <v>1572356713.4269075</v>
      </c>
      <c r="H508" s="72">
        <v>-70.357894900000005</v>
      </c>
    </row>
    <row r="509" spans="1:8">
      <c r="A509">
        <v>1555515871.7434716</v>
      </c>
      <c r="B509" s="72">
        <v>-70.263938899999999</v>
      </c>
      <c r="D509">
        <v>1573155871.7434716</v>
      </c>
      <c r="E509" s="72">
        <v>-70.317939760000002</v>
      </c>
      <c r="G509">
        <v>1572396793.5872283</v>
      </c>
      <c r="H509" s="72">
        <v>-70.721267699999999</v>
      </c>
    </row>
    <row r="510" spans="1:8">
      <c r="A510">
        <v>1555517474.9498844</v>
      </c>
      <c r="B510" s="72">
        <v>-70.207641600000002</v>
      </c>
      <c r="D510">
        <v>1573157474.9498844</v>
      </c>
      <c r="E510" s="72">
        <v>-70.174911499999993</v>
      </c>
      <c r="G510">
        <v>1572436873.7475491</v>
      </c>
      <c r="H510" s="72">
        <v>-70.663711550000002</v>
      </c>
    </row>
    <row r="511" spans="1:8">
      <c r="A511">
        <v>1555519078.1562972</v>
      </c>
      <c r="B511" s="72">
        <v>-70.152908330000002</v>
      </c>
      <c r="D511">
        <v>1573159078.1562972</v>
      </c>
      <c r="E511" s="72">
        <v>-70.25578308</v>
      </c>
      <c r="G511">
        <v>1572476953.9078698</v>
      </c>
      <c r="H511" s="72">
        <v>-70.501113889999999</v>
      </c>
    </row>
    <row r="512" spans="1:8">
      <c r="A512">
        <v>1555520681.36271</v>
      </c>
      <c r="B512" s="72">
        <v>-70.261672970000006</v>
      </c>
      <c r="D512">
        <v>1573160681.36271</v>
      </c>
      <c r="E512" s="72">
        <v>-70.57575989</v>
      </c>
      <c r="G512">
        <v>1572517034.0681906</v>
      </c>
      <c r="H512" s="72">
        <v>-70.719772340000006</v>
      </c>
    </row>
    <row r="513" spans="1:8">
      <c r="A513">
        <v>1555522284.5691228</v>
      </c>
      <c r="B513" s="72">
        <v>-70.155410770000003</v>
      </c>
      <c r="D513">
        <v>1573162284.5691228</v>
      </c>
      <c r="E513" s="72">
        <v>-70.285560610000005</v>
      </c>
      <c r="G513">
        <v>1572557114.2285113</v>
      </c>
      <c r="H513" s="72">
        <v>-70.668434140000002</v>
      </c>
    </row>
    <row r="514" spans="1:8">
      <c r="A514">
        <v>1555523887.7755356</v>
      </c>
      <c r="B514" s="72">
        <v>-70.208084110000001</v>
      </c>
      <c r="D514">
        <v>1573163887.7755356</v>
      </c>
      <c r="E514" s="72">
        <v>-70.229263309999993</v>
      </c>
      <c r="G514">
        <v>1572597194.3888321</v>
      </c>
      <c r="H514" s="72">
        <v>-70.647964479999999</v>
      </c>
    </row>
    <row r="515" spans="1:8">
      <c r="A515">
        <v>1555525490.9819484</v>
      </c>
      <c r="B515" s="72">
        <v>-70.112960819999998</v>
      </c>
      <c r="D515">
        <v>1573165490.9819484</v>
      </c>
      <c r="E515" s="72">
        <v>-70.338195799999994</v>
      </c>
      <c r="G515">
        <v>1572637274.5491529</v>
      </c>
      <c r="H515" s="72">
        <v>-70.689605709999995</v>
      </c>
    </row>
    <row r="516" spans="1:8">
      <c r="A516">
        <v>1555527094.1883612</v>
      </c>
      <c r="B516" s="72">
        <v>-70.239372250000002</v>
      </c>
      <c r="D516">
        <v>1573167094.1883612</v>
      </c>
      <c r="E516" s="72">
        <v>-70.046279909999996</v>
      </c>
      <c r="G516">
        <v>1572677354.7094736</v>
      </c>
      <c r="H516" s="72">
        <v>-70.856750489999996</v>
      </c>
    </row>
    <row r="517" spans="1:8">
      <c r="A517">
        <v>1555528697.394774</v>
      </c>
      <c r="B517" s="72">
        <v>-70.237022400000001</v>
      </c>
      <c r="D517">
        <v>1573168697.394774</v>
      </c>
      <c r="E517" s="72">
        <v>-70.524589539999994</v>
      </c>
      <c r="G517">
        <v>1572717434.8697944</v>
      </c>
      <c r="H517" s="72">
        <v>-70.725860600000004</v>
      </c>
    </row>
    <row r="518" spans="1:8">
      <c r="A518">
        <v>1555530300.6011868</v>
      </c>
      <c r="B518" s="72">
        <v>-70.233818049999996</v>
      </c>
      <c r="D518">
        <v>1573170300.6011868</v>
      </c>
      <c r="E518" s="72">
        <v>-70.236099240000001</v>
      </c>
      <c r="G518">
        <v>1572757515.0301151</v>
      </c>
      <c r="H518" s="72">
        <v>-70.412246699999997</v>
      </c>
    </row>
    <row r="519" spans="1:8">
      <c r="A519">
        <v>1555531903.8075995</v>
      </c>
      <c r="B519" s="72">
        <v>-69.96846008</v>
      </c>
      <c r="D519">
        <v>1573171903.8075995</v>
      </c>
      <c r="E519" s="72">
        <v>-70.227737430000005</v>
      </c>
      <c r="G519">
        <v>1572797595.1904359</v>
      </c>
      <c r="H519" s="72">
        <v>-70.722976680000002</v>
      </c>
    </row>
    <row r="520" spans="1:8">
      <c r="A520">
        <v>1555533507.0140123</v>
      </c>
      <c r="B520" s="72">
        <v>-70.05232239</v>
      </c>
      <c r="D520">
        <v>1573173507.0140123</v>
      </c>
      <c r="E520" s="72">
        <v>-70.44391632</v>
      </c>
      <c r="G520">
        <v>1572837675.3507566</v>
      </c>
      <c r="H520" s="72">
        <v>-70.586006159999997</v>
      </c>
    </row>
    <row r="521" spans="1:8">
      <c r="A521">
        <v>1555535110.2204251</v>
      </c>
      <c r="B521" s="72">
        <v>-70.199745179999994</v>
      </c>
      <c r="D521">
        <v>1573175110.2204251</v>
      </c>
      <c r="E521" s="72">
        <v>-70.305252080000002</v>
      </c>
      <c r="G521">
        <v>1572877755.5110774</v>
      </c>
      <c r="H521" s="72">
        <v>-70.459655760000004</v>
      </c>
    </row>
    <row r="522" spans="1:8">
      <c r="A522">
        <v>1555536713.4268379</v>
      </c>
      <c r="B522" s="72">
        <v>-70.022804260000001</v>
      </c>
      <c r="D522">
        <v>1573176713.4268379</v>
      </c>
      <c r="E522" s="72">
        <v>-70.375930789999998</v>
      </c>
      <c r="G522">
        <v>1572917835.6713982</v>
      </c>
      <c r="H522" s="72">
        <v>-70.644706729999996</v>
      </c>
    </row>
    <row r="523" spans="1:8">
      <c r="A523">
        <v>1555538316.6332507</v>
      </c>
      <c r="B523" s="72">
        <v>-69.867279049999993</v>
      </c>
      <c r="D523">
        <v>1573178316.6332507</v>
      </c>
      <c r="E523" s="72">
        <v>-70.37138367</v>
      </c>
      <c r="G523">
        <v>1572957915.8317189</v>
      </c>
      <c r="H523" s="72">
        <v>-70.68981934</v>
      </c>
    </row>
    <row r="524" spans="1:8">
      <c r="A524">
        <v>1555539919.8396635</v>
      </c>
      <c r="B524" s="72">
        <v>-70.050430300000002</v>
      </c>
      <c r="D524">
        <v>1573179919.8396635</v>
      </c>
      <c r="E524" s="72">
        <v>-70.102836609999997</v>
      </c>
      <c r="G524">
        <v>1572997995.9920397</v>
      </c>
      <c r="H524" s="72">
        <v>-70.494628910000003</v>
      </c>
    </row>
    <row r="525" spans="1:8">
      <c r="A525">
        <v>1555541523.0460763</v>
      </c>
      <c r="B525" s="72">
        <v>-70.029701230000001</v>
      </c>
      <c r="D525">
        <v>1573181523.0460763</v>
      </c>
      <c r="E525" s="72">
        <v>-70.238754270000001</v>
      </c>
      <c r="G525">
        <v>1573038076.1523604</v>
      </c>
      <c r="H525" s="72">
        <v>-70.668189999999996</v>
      </c>
    </row>
    <row r="526" spans="1:8">
      <c r="A526">
        <v>1555543126.2524891</v>
      </c>
      <c r="B526" s="72">
        <v>-69.889427190000006</v>
      </c>
      <c r="D526">
        <v>1573183126.2524891</v>
      </c>
      <c r="E526" s="72">
        <v>-70.108612059999999</v>
      </c>
      <c r="G526">
        <v>1573078156.3126812</v>
      </c>
      <c r="H526" s="72">
        <v>-70.473693850000004</v>
      </c>
    </row>
    <row r="527" spans="1:8">
      <c r="A527">
        <v>1555544729.4589019</v>
      </c>
      <c r="B527" s="72">
        <v>-70.02580261</v>
      </c>
      <c r="D527">
        <v>1573184729.4589019</v>
      </c>
      <c r="E527" s="72">
        <v>-70.630104059999994</v>
      </c>
      <c r="G527">
        <v>1573118236.473002</v>
      </c>
      <c r="H527" s="72">
        <v>-70.916458129999995</v>
      </c>
    </row>
    <row r="528" spans="1:8">
      <c r="A528">
        <v>1555546332.6653147</v>
      </c>
      <c r="B528" s="72">
        <v>-70.312072749999999</v>
      </c>
      <c r="D528">
        <v>1573186332.6653147</v>
      </c>
      <c r="E528" s="72">
        <v>-70.238525390000007</v>
      </c>
      <c r="G528">
        <v>1573158316.6333227</v>
      </c>
      <c r="H528" s="72">
        <v>-70.747375489999996</v>
      </c>
    </row>
    <row r="529" spans="1:8">
      <c r="A529">
        <v>1555547935.8717275</v>
      </c>
      <c r="B529" s="72">
        <v>-70.049125669999995</v>
      </c>
      <c r="D529">
        <v>1573187935.8717275</v>
      </c>
      <c r="E529" s="72">
        <v>-70.357902530000004</v>
      </c>
      <c r="G529">
        <v>1573198396.7936435</v>
      </c>
      <c r="H529" s="72">
        <v>-70.473892210000002</v>
      </c>
    </row>
    <row r="530" spans="1:8">
      <c r="A530">
        <v>1555549539.0781403</v>
      </c>
      <c r="B530" s="72">
        <v>-70.102340699999999</v>
      </c>
      <c r="D530">
        <v>1573189539.0781403</v>
      </c>
      <c r="E530" s="72">
        <v>-70.417602540000004</v>
      </c>
      <c r="G530">
        <v>1573238476.9539642</v>
      </c>
      <c r="H530" s="72">
        <v>-70.63889313</v>
      </c>
    </row>
    <row r="531" spans="1:8">
      <c r="A531">
        <v>1555551142.2845531</v>
      </c>
      <c r="B531" s="72">
        <v>-70.316856380000004</v>
      </c>
      <c r="D531">
        <v>1573191142.2845531</v>
      </c>
      <c r="E531" s="72">
        <v>-70.422058109999995</v>
      </c>
      <c r="G531">
        <v>1573278557.114285</v>
      </c>
      <c r="H531" s="72">
        <v>-70.550704960000004</v>
      </c>
    </row>
    <row r="532" spans="1:8">
      <c r="A532">
        <v>1555552745.4909658</v>
      </c>
      <c r="B532" s="72">
        <v>-70.213699340000005</v>
      </c>
      <c r="D532">
        <v>1573192745.4909658</v>
      </c>
      <c r="E532" s="72">
        <v>-70.394287109999993</v>
      </c>
      <c r="G532">
        <v>1573318637.2746058</v>
      </c>
      <c r="H532" s="72">
        <v>-70.558639529999994</v>
      </c>
    </row>
    <row r="533" spans="1:8">
      <c r="A533">
        <v>1555554348.6973786</v>
      </c>
      <c r="B533" s="72">
        <v>-69.944961550000002</v>
      </c>
      <c r="D533">
        <v>1573194348.6973786</v>
      </c>
      <c r="E533" s="72">
        <v>-70.321334840000006</v>
      </c>
      <c r="G533">
        <v>1573358717.4349265</v>
      </c>
      <c r="H533" s="72">
        <v>-70.631797789999993</v>
      </c>
    </row>
    <row r="534" spans="1:8">
      <c r="A534">
        <v>1555555951.9037914</v>
      </c>
      <c r="B534" s="72">
        <v>-70.202743530000006</v>
      </c>
      <c r="D534">
        <v>1573195951.9037914</v>
      </c>
      <c r="E534" s="72">
        <v>-70.330078119999996</v>
      </c>
      <c r="G534">
        <v>1573398797.5952473</v>
      </c>
      <c r="H534" s="72">
        <v>-70.684463500000007</v>
      </c>
    </row>
    <row r="535" spans="1:8">
      <c r="A535">
        <v>1555557555.1102042</v>
      </c>
      <c r="B535" s="72">
        <v>-70.230964659999998</v>
      </c>
      <c r="D535">
        <v>1573197555.1102042</v>
      </c>
      <c r="E535" s="72">
        <v>-70.162635800000004</v>
      </c>
      <c r="G535">
        <v>1573438877.755568</v>
      </c>
      <c r="H535" s="72">
        <v>-70.580657959999996</v>
      </c>
    </row>
    <row r="536" spans="1:8">
      <c r="A536">
        <v>1555559158.316617</v>
      </c>
      <c r="B536" s="72">
        <v>-70.157630920000003</v>
      </c>
      <c r="D536">
        <v>1573199158.316617</v>
      </c>
      <c r="E536" s="72">
        <v>-70.413955689999995</v>
      </c>
      <c r="G536">
        <v>1573478957.9158888</v>
      </c>
      <c r="H536" s="72">
        <v>-70.657920840000003</v>
      </c>
    </row>
    <row r="537" spans="1:8">
      <c r="A537">
        <v>1555560761.5230298</v>
      </c>
      <c r="B537" s="72">
        <v>-70.336265560000001</v>
      </c>
      <c r="D537">
        <v>1573200761.5230298</v>
      </c>
      <c r="E537" s="72">
        <v>-70.499984740000002</v>
      </c>
      <c r="G537">
        <v>1573519038.0762095</v>
      </c>
      <c r="H537" s="72">
        <v>-70.58454132</v>
      </c>
    </row>
    <row r="538" spans="1:8">
      <c r="A538">
        <v>1555562364.7294426</v>
      </c>
      <c r="B538" s="72">
        <v>-70.201454159999997</v>
      </c>
      <c r="D538">
        <v>1573202364.7294426</v>
      </c>
      <c r="E538" s="72">
        <v>-70.170921329999999</v>
      </c>
      <c r="G538">
        <v>1573559118.2365303</v>
      </c>
      <c r="H538" s="72">
        <v>-70.63502502</v>
      </c>
    </row>
    <row r="539" spans="1:8">
      <c r="A539">
        <v>1555563967.9358554</v>
      </c>
      <c r="B539" s="72">
        <v>-70.125106810000005</v>
      </c>
      <c r="D539">
        <v>1573203967.9358554</v>
      </c>
      <c r="E539" s="72">
        <v>-70.384231569999997</v>
      </c>
      <c r="G539">
        <v>1573599198.3968511</v>
      </c>
      <c r="H539" s="72">
        <v>-70.584304810000006</v>
      </c>
    </row>
    <row r="540" spans="1:8">
      <c r="A540">
        <v>1555565571.1422682</v>
      </c>
      <c r="B540" s="72">
        <v>-70.182838439999998</v>
      </c>
      <c r="D540">
        <v>1573205571.1422682</v>
      </c>
      <c r="E540" s="72">
        <v>-70.171714780000002</v>
      </c>
      <c r="G540">
        <v>1573639278.5571718</v>
      </c>
      <c r="H540" s="72">
        <v>-70.796806340000003</v>
      </c>
    </row>
    <row r="541" spans="1:8">
      <c r="A541">
        <v>1555567174.348681</v>
      </c>
      <c r="B541" s="72">
        <v>-70.236099240000001</v>
      </c>
      <c r="D541">
        <v>1573207174.348681</v>
      </c>
      <c r="E541" s="72">
        <v>-70.334793090000005</v>
      </c>
      <c r="G541">
        <v>1573679358.7174926</v>
      </c>
      <c r="H541" s="72">
        <v>-70.524414059999998</v>
      </c>
    </row>
    <row r="542" spans="1:8">
      <c r="A542">
        <v>1555568777.5550938</v>
      </c>
      <c r="B542" s="72">
        <v>-70.339920039999996</v>
      </c>
      <c r="D542">
        <v>1573208777.5550938</v>
      </c>
      <c r="E542" s="72">
        <v>-70.349609369999996</v>
      </c>
      <c r="G542">
        <v>1573719438.8778133</v>
      </c>
      <c r="H542" s="72">
        <v>-70.747352599999999</v>
      </c>
    </row>
    <row r="543" spans="1:8">
      <c r="A543">
        <v>1555570380.7615066</v>
      </c>
      <c r="B543" s="72">
        <v>-69.920150759999999</v>
      </c>
      <c r="D543">
        <v>1573210380.7615066</v>
      </c>
      <c r="E543" s="72">
        <v>-70.179611210000004</v>
      </c>
      <c r="G543">
        <v>1573759519.0381341</v>
      </c>
      <c r="H543" s="72">
        <v>-70.751754759999997</v>
      </c>
    </row>
    <row r="544" spans="1:8">
      <c r="A544">
        <v>1555571983.9679193</v>
      </c>
      <c r="B544" s="72">
        <v>-70.281929020000007</v>
      </c>
      <c r="D544">
        <v>1573211983.9679193</v>
      </c>
      <c r="E544" s="72">
        <v>-70.303543090000005</v>
      </c>
      <c r="G544">
        <v>1573799599.1984549</v>
      </c>
      <c r="H544" s="72">
        <v>-70.778602599999999</v>
      </c>
    </row>
    <row r="545" spans="1:8">
      <c r="A545">
        <v>1555573587.1743321</v>
      </c>
      <c r="B545" s="72">
        <v>-69.918640139999994</v>
      </c>
      <c r="D545">
        <v>1573213587.1743321</v>
      </c>
      <c r="E545" s="72">
        <v>-70.392562870000006</v>
      </c>
      <c r="G545">
        <v>1573839679.3587756</v>
      </c>
      <c r="H545" s="72">
        <v>-70.661338810000004</v>
      </c>
    </row>
    <row r="546" spans="1:8">
      <c r="A546">
        <v>1555575190.3807449</v>
      </c>
      <c r="B546" s="72">
        <v>-70.262077329999997</v>
      </c>
      <c r="D546">
        <v>1573215190.3807449</v>
      </c>
      <c r="E546" s="72">
        <v>-70.695472719999998</v>
      </c>
      <c r="G546">
        <v>1573879759.5190964</v>
      </c>
      <c r="H546" s="72">
        <v>-70.890136720000001</v>
      </c>
    </row>
    <row r="547" spans="1:8">
      <c r="A547">
        <v>1555576793.5871577</v>
      </c>
      <c r="B547" s="72">
        <v>-70.308250430000001</v>
      </c>
      <c r="D547">
        <v>1573216793.5871577</v>
      </c>
      <c r="E547" s="72">
        <v>-70.338180539999996</v>
      </c>
      <c r="G547">
        <v>1573919839.6794171</v>
      </c>
      <c r="H547" s="72">
        <v>-70.786781309999995</v>
      </c>
    </row>
    <row r="548" spans="1:8">
      <c r="A548">
        <v>1555578396.7935705</v>
      </c>
      <c r="B548" s="72">
        <v>-70.216690060000005</v>
      </c>
      <c r="D548">
        <v>1573218396.7935705</v>
      </c>
      <c r="E548" s="72">
        <v>-70.285110470000006</v>
      </c>
      <c r="G548">
        <v>1573959919.8397379</v>
      </c>
      <c r="H548" s="72">
        <v>-70.549438480000006</v>
      </c>
    </row>
    <row r="549" spans="1:8">
      <c r="A549">
        <v>1555580000</v>
      </c>
      <c r="B549">
        <v>-70.181549070000003</v>
      </c>
      <c r="D549">
        <v>1573220000</v>
      </c>
      <c r="E549">
        <v>-70.471946720000005</v>
      </c>
      <c r="G549">
        <v>1574000000</v>
      </c>
      <c r="H549">
        <v>-70.785316469999998</v>
      </c>
    </row>
  </sheetData>
  <mergeCells count="49">
    <mergeCell ref="W21:Y21"/>
    <mergeCell ref="W18:Y18"/>
    <mergeCell ref="W19:Y19"/>
    <mergeCell ref="W20:Y20"/>
    <mergeCell ref="W15:Y15"/>
    <mergeCell ref="W16:Y16"/>
    <mergeCell ref="W17:Y17"/>
    <mergeCell ref="W7:Y7"/>
    <mergeCell ref="W8:Y8"/>
    <mergeCell ref="W9:Y9"/>
    <mergeCell ref="N19:P19"/>
    <mergeCell ref="N20:P20"/>
    <mergeCell ref="W13:Y13"/>
    <mergeCell ref="W14:Y14"/>
    <mergeCell ref="W10:Y10"/>
    <mergeCell ref="W11:Y11"/>
    <mergeCell ref="W12:Y12"/>
    <mergeCell ref="N13:P13"/>
    <mergeCell ref="N11:P11"/>
    <mergeCell ref="N12:P12"/>
    <mergeCell ref="N21:P21"/>
    <mergeCell ref="N16:P16"/>
    <mergeCell ref="N17:P17"/>
    <mergeCell ref="N18:P18"/>
    <mergeCell ref="N14:P14"/>
    <mergeCell ref="N15:P15"/>
    <mergeCell ref="B1:J1"/>
    <mergeCell ref="B2:H2"/>
    <mergeCell ref="B3:H3"/>
    <mergeCell ref="N10:P10"/>
    <mergeCell ref="K1:U1"/>
    <mergeCell ref="N7:P7"/>
    <mergeCell ref="N8:P8"/>
    <mergeCell ref="N9:P9"/>
    <mergeCell ref="E19:G19"/>
    <mergeCell ref="E10:G10"/>
    <mergeCell ref="E7:G7"/>
    <mergeCell ref="E20:G20"/>
    <mergeCell ref="E21:G21"/>
    <mergeCell ref="E11:G11"/>
    <mergeCell ref="E8:G8"/>
    <mergeCell ref="E9:G9"/>
    <mergeCell ref="E14:G14"/>
    <mergeCell ref="E12:G12"/>
    <mergeCell ref="E13:G13"/>
    <mergeCell ref="E17:G17"/>
    <mergeCell ref="E18:G18"/>
    <mergeCell ref="E15:G15"/>
    <mergeCell ref="E16:G16"/>
  </mergeCells>
  <phoneticPr fontId="1" type="noConversion"/>
  <conditionalFormatting sqref="H11">
    <cfRule type="containsBlanks" priority="28" stopIfTrue="1">
      <formula>LEN(TRIM(H11))=0</formula>
    </cfRule>
    <cfRule type="cellIs" dxfId="1777" priority="29" stopIfTrue="1" operator="greaterThan">
      <formula>-30</formula>
    </cfRule>
    <cfRule type="cellIs" dxfId="1776" priority="30" stopIfTrue="1" operator="between">
      <formula>-33</formula>
      <formula>-30</formula>
    </cfRule>
  </conditionalFormatting>
  <conditionalFormatting sqref="H12:H21">
    <cfRule type="containsBlanks" priority="25" stopIfTrue="1">
      <formula>LEN(TRIM(H12))=0</formula>
    </cfRule>
    <cfRule type="cellIs" dxfId="1775" priority="26" stopIfTrue="1" operator="greaterThan">
      <formula>-30</formula>
    </cfRule>
    <cfRule type="cellIs" dxfId="1774" priority="27" stopIfTrue="1" operator="between">
      <formula>-33</formula>
      <formula>-30</formula>
    </cfRule>
  </conditionalFormatting>
  <conditionalFormatting sqref="Q11">
    <cfRule type="containsBlanks" priority="22" stopIfTrue="1">
      <formula>LEN(TRIM(Q11))=0</formula>
    </cfRule>
    <cfRule type="cellIs" dxfId="1773" priority="23" stopIfTrue="1" operator="greaterThan">
      <formula>-30</formula>
    </cfRule>
    <cfRule type="cellIs" dxfId="1772" priority="24" stopIfTrue="1" operator="between">
      <formula>-33</formula>
      <formula>-30</formula>
    </cfRule>
  </conditionalFormatting>
  <conditionalFormatting sqref="Q12:Q21">
    <cfRule type="containsBlanks" priority="19" stopIfTrue="1">
      <formula>LEN(TRIM(Q12))=0</formula>
    </cfRule>
    <cfRule type="cellIs" dxfId="1771" priority="20" stopIfTrue="1" operator="greaterThan">
      <formula>-30</formula>
    </cfRule>
    <cfRule type="cellIs" dxfId="1770" priority="21" stopIfTrue="1" operator="between">
      <formula>-33</formula>
      <formula>-30</formula>
    </cfRule>
  </conditionalFormatting>
  <conditionalFormatting sqref="Z11">
    <cfRule type="containsBlanks" priority="16" stopIfTrue="1">
      <formula>LEN(TRIM(Z11))=0</formula>
    </cfRule>
    <cfRule type="cellIs" dxfId="1769" priority="17" stopIfTrue="1" operator="greaterThan">
      <formula>-30</formula>
    </cfRule>
    <cfRule type="cellIs" dxfId="1768" priority="18" stopIfTrue="1" operator="between">
      <formula>-33</formula>
      <formula>-30</formula>
    </cfRule>
  </conditionalFormatting>
  <conditionalFormatting sqref="Z12:Z21">
    <cfRule type="containsBlanks" priority="13" stopIfTrue="1">
      <formula>LEN(TRIM(Z12))=0</formula>
    </cfRule>
    <cfRule type="cellIs" dxfId="1767" priority="14" stopIfTrue="1" operator="greaterThan">
      <formula>-30</formula>
    </cfRule>
    <cfRule type="cellIs" dxfId="1766" priority="15" stopIfTrue="1" operator="between">
      <formula>-33</formula>
      <formula>-30</formula>
    </cfRule>
  </conditionalFormatting>
  <conditionalFormatting sqref="Q12:Q21">
    <cfRule type="containsBlanks" priority="31" stopIfTrue="1">
      <formula>LEN(TRIM(Q12))=0</formula>
    </cfRule>
    <cfRule type="cellIs" dxfId="1765" priority="32" stopIfTrue="1" operator="greaterThan">
      <formula>-30</formula>
    </cfRule>
    <cfRule type="cellIs" dxfId="1764" priority="33" stopIfTrue="1" operator="between">
      <formula>-33</formula>
      <formula>-30</formula>
    </cfRule>
  </conditionalFormatting>
  <conditionalFormatting sqref="H9">
    <cfRule type="containsBlanks" priority="70" stopIfTrue="1">
      <formula>LEN(TRIM(H9))=0</formula>
    </cfRule>
    <cfRule type="cellIs" dxfId="1763" priority="71" stopIfTrue="1" operator="greaterThan">
      <formula>-30</formula>
    </cfRule>
    <cfRule type="cellIs" dxfId="1762" priority="72" stopIfTrue="1" operator="between">
      <formula>-33</formula>
      <formula>-30</formula>
    </cfRule>
  </conditionalFormatting>
  <conditionalFormatting sqref="Q9">
    <cfRule type="containsBlanks" priority="64" stopIfTrue="1">
      <formula>LEN(TRIM(Q9))=0</formula>
    </cfRule>
    <cfRule type="cellIs" dxfId="1761" priority="65" stopIfTrue="1" operator="greaterThan">
      <formula>-30</formula>
    </cfRule>
    <cfRule type="cellIs" dxfId="1760" priority="66" stopIfTrue="1" operator="between">
      <formula>-33</formula>
      <formula>-30</formula>
    </cfRule>
  </conditionalFormatting>
  <conditionalFormatting sqref="Q10">
    <cfRule type="containsBlanks" priority="61" stopIfTrue="1">
      <formula>LEN(TRIM(Q10))=0</formula>
    </cfRule>
    <cfRule type="cellIs" dxfId="1759" priority="62" stopIfTrue="1" operator="greaterThan">
      <formula>-30</formula>
    </cfRule>
    <cfRule type="cellIs" dxfId="1758" priority="63" stopIfTrue="1" operator="between">
      <formula>-33</formula>
      <formula>-30</formula>
    </cfRule>
  </conditionalFormatting>
  <conditionalFormatting sqref="H9">
    <cfRule type="containsBlanks" priority="58" stopIfTrue="1">
      <formula>LEN(TRIM(H9))=0</formula>
    </cfRule>
    <cfRule type="cellIs" dxfId="1757" priority="59" stopIfTrue="1" operator="greaterThan">
      <formula>-30</formula>
    </cfRule>
    <cfRule type="cellIs" dxfId="1756" priority="60" stopIfTrue="1" operator="between">
      <formula>-33</formula>
      <formula>-30</formula>
    </cfRule>
  </conditionalFormatting>
  <conditionalFormatting sqref="H10">
    <cfRule type="containsBlanks" priority="55" stopIfTrue="1">
      <formula>LEN(TRIM(H10))=0</formula>
    </cfRule>
    <cfRule type="cellIs" dxfId="1755" priority="56" stopIfTrue="1" operator="greaterThan">
      <formula>-30</formula>
    </cfRule>
    <cfRule type="cellIs" dxfId="1754" priority="57" stopIfTrue="1" operator="between">
      <formula>-33</formula>
      <formula>-30</formula>
    </cfRule>
  </conditionalFormatting>
  <conditionalFormatting sqref="Q9">
    <cfRule type="containsBlanks" priority="52" stopIfTrue="1">
      <formula>LEN(TRIM(Q9))=0</formula>
    </cfRule>
    <cfRule type="cellIs" dxfId="1753" priority="53" stopIfTrue="1" operator="greaterThan">
      <formula>-30</formula>
    </cfRule>
    <cfRule type="cellIs" dxfId="1752" priority="54" stopIfTrue="1" operator="between">
      <formula>-33</formula>
      <formula>-30</formula>
    </cfRule>
  </conditionalFormatting>
  <conditionalFormatting sqref="Z9">
    <cfRule type="containsBlanks" priority="46" stopIfTrue="1">
      <formula>LEN(TRIM(Z9))=0</formula>
    </cfRule>
    <cfRule type="cellIs" dxfId="1751" priority="47" stopIfTrue="1" operator="greaterThan">
      <formula>-30</formula>
    </cfRule>
    <cfRule type="cellIs" dxfId="1750" priority="48" stopIfTrue="1" operator="between">
      <formula>-33</formula>
      <formula>-30</formula>
    </cfRule>
  </conditionalFormatting>
  <conditionalFormatting sqref="Z10">
    <cfRule type="containsBlanks" priority="43" stopIfTrue="1">
      <formula>LEN(TRIM(Z10))=0</formula>
    </cfRule>
    <cfRule type="cellIs" dxfId="1749" priority="44" stopIfTrue="1" operator="greaterThan">
      <formula>-30</formula>
    </cfRule>
    <cfRule type="cellIs" dxfId="1748" priority="45" stopIfTrue="1" operator="between">
      <formula>-33</formula>
      <formula>-30</formula>
    </cfRule>
  </conditionalFormatting>
  <conditionalFormatting sqref="H11">
    <cfRule type="containsBlanks" priority="40" stopIfTrue="1">
      <formula>LEN(TRIM(H11))=0</formula>
    </cfRule>
    <cfRule type="cellIs" dxfId="1747" priority="41" stopIfTrue="1" operator="greaterThan">
      <formula>-30</formula>
    </cfRule>
    <cfRule type="cellIs" dxfId="1746" priority="42" stopIfTrue="1" operator="between">
      <formula>-33</formula>
      <formula>-30</formula>
    </cfRule>
  </conditionalFormatting>
  <conditionalFormatting sqref="H12:H21">
    <cfRule type="containsBlanks" priority="37" stopIfTrue="1">
      <formula>LEN(TRIM(H12))=0</formula>
    </cfRule>
    <cfRule type="cellIs" dxfId="1745" priority="38" stopIfTrue="1" operator="greaterThan">
      <formula>-30</formula>
    </cfRule>
    <cfRule type="cellIs" dxfId="1744" priority="39" stopIfTrue="1" operator="between">
      <formula>-33</formula>
      <formula>-30</formula>
    </cfRule>
  </conditionalFormatting>
  <conditionalFormatting sqref="Q11">
    <cfRule type="containsBlanks" priority="34" stopIfTrue="1">
      <formula>LEN(TRIM(Q11))=0</formula>
    </cfRule>
    <cfRule type="cellIs" dxfId="1743" priority="35" stopIfTrue="1" operator="greaterThan">
      <formula>-30</formula>
    </cfRule>
    <cfRule type="cellIs" dxfId="1742" priority="36" stopIfTrue="1" operator="between">
      <formula>-33</formula>
      <formula>-30</formula>
    </cfRule>
  </conditionalFormatting>
  <conditionalFormatting sqref="H10">
    <cfRule type="containsBlanks" priority="67" stopIfTrue="1">
      <formula>LEN(TRIM(H10))=0</formula>
    </cfRule>
    <cfRule type="cellIs" dxfId="1741" priority="68" stopIfTrue="1" operator="greaterThan">
      <formula>-30</formula>
    </cfRule>
    <cfRule type="cellIs" dxfId="1740" priority="69" stopIfTrue="1" operator="between">
      <formula>-33</formula>
      <formula>-30</formula>
    </cfRule>
  </conditionalFormatting>
  <conditionalFormatting sqref="Q10">
    <cfRule type="containsBlanks" priority="49" stopIfTrue="1">
      <formula>LEN(TRIM(Q10))=0</formula>
    </cfRule>
    <cfRule type="cellIs" dxfId="1739" priority="50" stopIfTrue="1" operator="greaterThan">
      <formula>-30</formula>
    </cfRule>
    <cfRule type="cellIs" dxfId="1738" priority="51" stopIfTrue="1" operator="between">
      <formula>-33</formula>
      <formula>-30</formula>
    </cfRule>
  </conditionalFormatting>
  <conditionalFormatting sqref="Q8">
    <cfRule type="containsBlanks" priority="10" stopIfTrue="1">
      <formula>LEN(TRIM(Q8))=0</formula>
    </cfRule>
    <cfRule type="cellIs" dxfId="1737" priority="11" stopIfTrue="1" operator="greaterThan">
      <formula>-30</formula>
    </cfRule>
    <cfRule type="cellIs" dxfId="1736" priority="12" stopIfTrue="1" operator="between">
      <formula>-33</formula>
      <formula>-30</formula>
    </cfRule>
  </conditionalFormatting>
  <conditionalFormatting sqref="Z8">
    <cfRule type="containsBlanks" priority="7" stopIfTrue="1">
      <formula>LEN(TRIM(Z8))=0</formula>
    </cfRule>
    <cfRule type="cellIs" dxfId="1735" priority="8" stopIfTrue="1" operator="greaterThan">
      <formula>-30</formula>
    </cfRule>
    <cfRule type="cellIs" dxfId="1734" priority="9" stopIfTrue="1" operator="between">
      <formula>-33</formula>
      <formula>-30</formula>
    </cfRule>
  </conditionalFormatting>
  <conditionalFormatting sqref="H8">
    <cfRule type="containsBlanks" priority="1" stopIfTrue="1">
      <formula>LEN(TRIM(H8))=0</formula>
    </cfRule>
    <cfRule type="cellIs" dxfId="1733" priority="2" stopIfTrue="1" operator="greaterThan">
      <formula>-30</formula>
    </cfRule>
    <cfRule type="cellIs" dxfId="1732" priority="3" stopIfTrue="1" operator="between">
      <formula>-33</formula>
      <formula>-30</formula>
    </cfRule>
  </conditionalFormatting>
  <conditionalFormatting sqref="H8">
    <cfRule type="containsBlanks" priority="4" stopIfTrue="1">
      <formula>LEN(TRIM(H8))=0</formula>
    </cfRule>
    <cfRule type="cellIs" dxfId="1731" priority="5" stopIfTrue="1" operator="greaterThan">
      <formula>-30</formula>
    </cfRule>
    <cfRule type="cellIs" dxfId="1730" priority="6" stopIfTrue="1" operator="between">
      <formula>-33</formula>
      <formula>-30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A22"/>
  <sheetViews>
    <sheetView zoomScale="80" zoomScaleNormal="80" workbookViewId="0">
      <selection activeCell="H7" sqref="H7:H22"/>
    </sheetView>
  </sheetViews>
  <sheetFormatPr defaultRowHeight="13.5"/>
  <cols>
    <col min="3" max="3" width="9.875" bestFit="1" customWidth="1"/>
    <col min="4" max="4" width="9" customWidth="1"/>
    <col min="9" max="9" width="7.625" bestFit="1" customWidth="1"/>
    <col min="10" max="10" width="7.75" bestFit="1" customWidth="1"/>
    <col min="11" max="11" width="8" bestFit="1" customWidth="1"/>
    <col min="12" max="12" width="9.875" bestFit="1" customWidth="1"/>
    <col min="18" max="18" width="7.625" bestFit="1" customWidth="1"/>
    <col min="19" max="19" width="7.75" bestFit="1" customWidth="1"/>
    <col min="20" max="20" width="8" bestFit="1" customWidth="1"/>
    <col min="21" max="21" width="9.875" bestFit="1" customWidth="1"/>
    <col min="22" max="22" width="9" customWidth="1"/>
    <col min="27" max="27" width="7.625" bestFit="1" customWidth="1"/>
    <col min="259" max="259" width="9.875" bestFit="1" customWidth="1"/>
    <col min="260" max="260" width="9" customWidth="1"/>
    <col min="265" max="265" width="7.625" bestFit="1" customWidth="1"/>
    <col min="266" max="266" width="7.75" bestFit="1" customWidth="1"/>
    <col min="267" max="267" width="8" bestFit="1" customWidth="1"/>
    <col min="268" max="268" width="9.875" bestFit="1" customWidth="1"/>
    <col min="274" max="274" width="7.625" bestFit="1" customWidth="1"/>
    <col min="275" max="275" width="7.75" bestFit="1" customWidth="1"/>
    <col min="276" max="276" width="8" bestFit="1" customWidth="1"/>
    <col min="277" max="277" width="9.875" bestFit="1" customWidth="1"/>
    <col min="278" max="278" width="9" customWidth="1"/>
    <col min="283" max="283" width="7.625" bestFit="1" customWidth="1"/>
    <col min="515" max="515" width="9.875" bestFit="1" customWidth="1"/>
    <col min="516" max="516" width="9" customWidth="1"/>
    <col min="521" max="521" width="7.625" bestFit="1" customWidth="1"/>
    <col min="522" max="522" width="7.75" bestFit="1" customWidth="1"/>
    <col min="523" max="523" width="8" bestFit="1" customWidth="1"/>
    <col min="524" max="524" width="9.875" bestFit="1" customWidth="1"/>
    <col min="530" max="530" width="7.625" bestFit="1" customWidth="1"/>
    <col min="531" max="531" width="7.75" bestFit="1" customWidth="1"/>
    <col min="532" max="532" width="8" bestFit="1" customWidth="1"/>
    <col min="533" max="533" width="9.875" bestFit="1" customWidth="1"/>
    <col min="534" max="534" width="9" customWidth="1"/>
    <col min="539" max="539" width="7.625" bestFit="1" customWidth="1"/>
    <col min="771" max="771" width="9.875" bestFit="1" customWidth="1"/>
    <col min="772" max="772" width="9" customWidth="1"/>
    <col min="777" max="777" width="7.625" bestFit="1" customWidth="1"/>
    <col min="778" max="778" width="7.75" bestFit="1" customWidth="1"/>
    <col min="779" max="779" width="8" bestFit="1" customWidth="1"/>
    <col min="780" max="780" width="9.875" bestFit="1" customWidth="1"/>
    <col min="786" max="786" width="7.625" bestFit="1" customWidth="1"/>
    <col min="787" max="787" width="7.75" bestFit="1" customWidth="1"/>
    <col min="788" max="788" width="8" bestFit="1" customWidth="1"/>
    <col min="789" max="789" width="9.875" bestFit="1" customWidth="1"/>
    <col min="790" max="790" width="9" customWidth="1"/>
    <col min="795" max="795" width="7.625" bestFit="1" customWidth="1"/>
    <col min="1027" max="1027" width="9.875" bestFit="1" customWidth="1"/>
    <col min="1028" max="1028" width="9" customWidth="1"/>
    <col min="1033" max="1033" width="7.625" bestFit="1" customWidth="1"/>
    <col min="1034" max="1034" width="7.75" bestFit="1" customWidth="1"/>
    <col min="1035" max="1035" width="8" bestFit="1" customWidth="1"/>
    <col min="1036" max="1036" width="9.875" bestFit="1" customWidth="1"/>
    <col min="1042" max="1042" width="7.625" bestFit="1" customWidth="1"/>
    <col min="1043" max="1043" width="7.75" bestFit="1" customWidth="1"/>
    <col min="1044" max="1044" width="8" bestFit="1" customWidth="1"/>
    <col min="1045" max="1045" width="9.875" bestFit="1" customWidth="1"/>
    <col min="1046" max="1046" width="9" customWidth="1"/>
    <col min="1051" max="1051" width="7.625" bestFit="1" customWidth="1"/>
    <col min="1283" max="1283" width="9.875" bestFit="1" customWidth="1"/>
    <col min="1284" max="1284" width="9" customWidth="1"/>
    <col min="1289" max="1289" width="7.625" bestFit="1" customWidth="1"/>
    <col min="1290" max="1290" width="7.75" bestFit="1" customWidth="1"/>
    <col min="1291" max="1291" width="8" bestFit="1" customWidth="1"/>
    <col min="1292" max="1292" width="9.875" bestFit="1" customWidth="1"/>
    <col min="1298" max="1298" width="7.625" bestFit="1" customWidth="1"/>
    <col min="1299" max="1299" width="7.75" bestFit="1" customWidth="1"/>
    <col min="1300" max="1300" width="8" bestFit="1" customWidth="1"/>
    <col min="1301" max="1301" width="9.875" bestFit="1" customWidth="1"/>
    <col min="1302" max="1302" width="9" customWidth="1"/>
    <col min="1307" max="1307" width="7.625" bestFit="1" customWidth="1"/>
    <col min="1539" max="1539" width="9.875" bestFit="1" customWidth="1"/>
    <col min="1540" max="1540" width="9" customWidth="1"/>
    <col min="1545" max="1545" width="7.625" bestFit="1" customWidth="1"/>
    <col min="1546" max="1546" width="7.75" bestFit="1" customWidth="1"/>
    <col min="1547" max="1547" width="8" bestFit="1" customWidth="1"/>
    <col min="1548" max="1548" width="9.875" bestFit="1" customWidth="1"/>
    <col min="1554" max="1554" width="7.625" bestFit="1" customWidth="1"/>
    <col min="1555" max="1555" width="7.75" bestFit="1" customWidth="1"/>
    <col min="1556" max="1556" width="8" bestFit="1" customWidth="1"/>
    <col min="1557" max="1557" width="9.875" bestFit="1" customWidth="1"/>
    <col min="1558" max="1558" width="9" customWidth="1"/>
    <col min="1563" max="1563" width="7.625" bestFit="1" customWidth="1"/>
    <col min="1795" max="1795" width="9.875" bestFit="1" customWidth="1"/>
    <col min="1796" max="1796" width="9" customWidth="1"/>
    <col min="1801" max="1801" width="7.625" bestFit="1" customWidth="1"/>
    <col min="1802" max="1802" width="7.75" bestFit="1" customWidth="1"/>
    <col min="1803" max="1803" width="8" bestFit="1" customWidth="1"/>
    <col min="1804" max="1804" width="9.875" bestFit="1" customWidth="1"/>
    <col min="1810" max="1810" width="7.625" bestFit="1" customWidth="1"/>
    <col min="1811" max="1811" width="7.75" bestFit="1" customWidth="1"/>
    <col min="1812" max="1812" width="8" bestFit="1" customWidth="1"/>
    <col min="1813" max="1813" width="9.875" bestFit="1" customWidth="1"/>
    <col min="1814" max="1814" width="9" customWidth="1"/>
    <col min="1819" max="1819" width="7.625" bestFit="1" customWidth="1"/>
    <col min="2051" max="2051" width="9.875" bestFit="1" customWidth="1"/>
    <col min="2052" max="2052" width="9" customWidth="1"/>
    <col min="2057" max="2057" width="7.625" bestFit="1" customWidth="1"/>
    <col min="2058" max="2058" width="7.75" bestFit="1" customWidth="1"/>
    <col min="2059" max="2059" width="8" bestFit="1" customWidth="1"/>
    <col min="2060" max="2060" width="9.875" bestFit="1" customWidth="1"/>
    <col min="2066" max="2066" width="7.625" bestFit="1" customWidth="1"/>
    <col min="2067" max="2067" width="7.75" bestFit="1" customWidth="1"/>
    <col min="2068" max="2068" width="8" bestFit="1" customWidth="1"/>
    <col min="2069" max="2069" width="9.875" bestFit="1" customWidth="1"/>
    <col min="2070" max="2070" width="9" customWidth="1"/>
    <col min="2075" max="2075" width="7.625" bestFit="1" customWidth="1"/>
    <col min="2307" max="2307" width="9.875" bestFit="1" customWidth="1"/>
    <col min="2308" max="2308" width="9" customWidth="1"/>
    <col min="2313" max="2313" width="7.625" bestFit="1" customWidth="1"/>
    <col min="2314" max="2314" width="7.75" bestFit="1" customWidth="1"/>
    <col min="2315" max="2315" width="8" bestFit="1" customWidth="1"/>
    <col min="2316" max="2316" width="9.875" bestFit="1" customWidth="1"/>
    <col min="2322" max="2322" width="7.625" bestFit="1" customWidth="1"/>
    <col min="2323" max="2323" width="7.75" bestFit="1" customWidth="1"/>
    <col min="2324" max="2324" width="8" bestFit="1" customWidth="1"/>
    <col min="2325" max="2325" width="9.875" bestFit="1" customWidth="1"/>
    <col min="2326" max="2326" width="9" customWidth="1"/>
    <col min="2331" max="2331" width="7.625" bestFit="1" customWidth="1"/>
    <col min="2563" max="2563" width="9.875" bestFit="1" customWidth="1"/>
    <col min="2564" max="2564" width="9" customWidth="1"/>
    <col min="2569" max="2569" width="7.625" bestFit="1" customWidth="1"/>
    <col min="2570" max="2570" width="7.75" bestFit="1" customWidth="1"/>
    <col min="2571" max="2571" width="8" bestFit="1" customWidth="1"/>
    <col min="2572" max="2572" width="9.875" bestFit="1" customWidth="1"/>
    <col min="2578" max="2578" width="7.625" bestFit="1" customWidth="1"/>
    <col min="2579" max="2579" width="7.75" bestFit="1" customWidth="1"/>
    <col min="2580" max="2580" width="8" bestFit="1" customWidth="1"/>
    <col min="2581" max="2581" width="9.875" bestFit="1" customWidth="1"/>
    <col min="2582" max="2582" width="9" customWidth="1"/>
    <col min="2587" max="2587" width="7.625" bestFit="1" customWidth="1"/>
    <col min="2819" max="2819" width="9.875" bestFit="1" customWidth="1"/>
    <col min="2820" max="2820" width="9" customWidth="1"/>
    <col min="2825" max="2825" width="7.625" bestFit="1" customWidth="1"/>
    <col min="2826" max="2826" width="7.75" bestFit="1" customWidth="1"/>
    <col min="2827" max="2827" width="8" bestFit="1" customWidth="1"/>
    <col min="2828" max="2828" width="9.875" bestFit="1" customWidth="1"/>
    <col min="2834" max="2834" width="7.625" bestFit="1" customWidth="1"/>
    <col min="2835" max="2835" width="7.75" bestFit="1" customWidth="1"/>
    <col min="2836" max="2836" width="8" bestFit="1" customWidth="1"/>
    <col min="2837" max="2837" width="9.875" bestFit="1" customWidth="1"/>
    <col min="2838" max="2838" width="9" customWidth="1"/>
    <col min="2843" max="2843" width="7.625" bestFit="1" customWidth="1"/>
    <col min="3075" max="3075" width="9.875" bestFit="1" customWidth="1"/>
    <col min="3076" max="3076" width="9" customWidth="1"/>
    <col min="3081" max="3081" width="7.625" bestFit="1" customWidth="1"/>
    <col min="3082" max="3082" width="7.75" bestFit="1" customWidth="1"/>
    <col min="3083" max="3083" width="8" bestFit="1" customWidth="1"/>
    <col min="3084" max="3084" width="9.875" bestFit="1" customWidth="1"/>
    <col min="3090" max="3090" width="7.625" bestFit="1" customWidth="1"/>
    <col min="3091" max="3091" width="7.75" bestFit="1" customWidth="1"/>
    <col min="3092" max="3092" width="8" bestFit="1" customWidth="1"/>
    <col min="3093" max="3093" width="9.875" bestFit="1" customWidth="1"/>
    <col min="3094" max="3094" width="9" customWidth="1"/>
    <col min="3099" max="3099" width="7.625" bestFit="1" customWidth="1"/>
    <col min="3331" max="3331" width="9.875" bestFit="1" customWidth="1"/>
    <col min="3332" max="3332" width="9" customWidth="1"/>
    <col min="3337" max="3337" width="7.625" bestFit="1" customWidth="1"/>
    <col min="3338" max="3338" width="7.75" bestFit="1" customWidth="1"/>
    <col min="3339" max="3339" width="8" bestFit="1" customWidth="1"/>
    <col min="3340" max="3340" width="9.875" bestFit="1" customWidth="1"/>
    <col min="3346" max="3346" width="7.625" bestFit="1" customWidth="1"/>
    <col min="3347" max="3347" width="7.75" bestFit="1" customWidth="1"/>
    <col min="3348" max="3348" width="8" bestFit="1" customWidth="1"/>
    <col min="3349" max="3349" width="9.875" bestFit="1" customWidth="1"/>
    <col min="3350" max="3350" width="9" customWidth="1"/>
    <col min="3355" max="3355" width="7.625" bestFit="1" customWidth="1"/>
    <col min="3587" max="3587" width="9.875" bestFit="1" customWidth="1"/>
    <col min="3588" max="3588" width="9" customWidth="1"/>
    <col min="3593" max="3593" width="7.625" bestFit="1" customWidth="1"/>
    <col min="3594" max="3594" width="7.75" bestFit="1" customWidth="1"/>
    <col min="3595" max="3595" width="8" bestFit="1" customWidth="1"/>
    <col min="3596" max="3596" width="9.875" bestFit="1" customWidth="1"/>
    <col min="3602" max="3602" width="7.625" bestFit="1" customWidth="1"/>
    <col min="3603" max="3603" width="7.75" bestFit="1" customWidth="1"/>
    <col min="3604" max="3604" width="8" bestFit="1" customWidth="1"/>
    <col min="3605" max="3605" width="9.875" bestFit="1" customWidth="1"/>
    <col min="3606" max="3606" width="9" customWidth="1"/>
    <col min="3611" max="3611" width="7.625" bestFit="1" customWidth="1"/>
    <col min="3843" max="3843" width="9.875" bestFit="1" customWidth="1"/>
    <col min="3844" max="3844" width="9" customWidth="1"/>
    <col min="3849" max="3849" width="7.625" bestFit="1" customWidth="1"/>
    <col min="3850" max="3850" width="7.75" bestFit="1" customWidth="1"/>
    <col min="3851" max="3851" width="8" bestFit="1" customWidth="1"/>
    <col min="3852" max="3852" width="9.875" bestFit="1" customWidth="1"/>
    <col min="3858" max="3858" width="7.625" bestFit="1" customWidth="1"/>
    <col min="3859" max="3859" width="7.75" bestFit="1" customWidth="1"/>
    <col min="3860" max="3860" width="8" bestFit="1" customWidth="1"/>
    <col min="3861" max="3861" width="9.875" bestFit="1" customWidth="1"/>
    <col min="3862" max="3862" width="9" customWidth="1"/>
    <col min="3867" max="3867" width="7.625" bestFit="1" customWidth="1"/>
    <col min="4099" max="4099" width="9.875" bestFit="1" customWidth="1"/>
    <col min="4100" max="4100" width="9" customWidth="1"/>
    <col min="4105" max="4105" width="7.625" bestFit="1" customWidth="1"/>
    <col min="4106" max="4106" width="7.75" bestFit="1" customWidth="1"/>
    <col min="4107" max="4107" width="8" bestFit="1" customWidth="1"/>
    <col min="4108" max="4108" width="9.875" bestFit="1" customWidth="1"/>
    <col min="4114" max="4114" width="7.625" bestFit="1" customWidth="1"/>
    <col min="4115" max="4115" width="7.75" bestFit="1" customWidth="1"/>
    <col min="4116" max="4116" width="8" bestFit="1" customWidth="1"/>
    <col min="4117" max="4117" width="9.875" bestFit="1" customWidth="1"/>
    <col min="4118" max="4118" width="9" customWidth="1"/>
    <col min="4123" max="4123" width="7.625" bestFit="1" customWidth="1"/>
    <col min="4355" max="4355" width="9.875" bestFit="1" customWidth="1"/>
    <col min="4356" max="4356" width="9" customWidth="1"/>
    <col min="4361" max="4361" width="7.625" bestFit="1" customWidth="1"/>
    <col min="4362" max="4362" width="7.75" bestFit="1" customWidth="1"/>
    <col min="4363" max="4363" width="8" bestFit="1" customWidth="1"/>
    <col min="4364" max="4364" width="9.875" bestFit="1" customWidth="1"/>
    <col min="4370" max="4370" width="7.625" bestFit="1" customWidth="1"/>
    <col min="4371" max="4371" width="7.75" bestFit="1" customWidth="1"/>
    <col min="4372" max="4372" width="8" bestFit="1" customWidth="1"/>
    <col min="4373" max="4373" width="9.875" bestFit="1" customWidth="1"/>
    <col min="4374" max="4374" width="9" customWidth="1"/>
    <col min="4379" max="4379" width="7.625" bestFit="1" customWidth="1"/>
    <col min="4611" max="4611" width="9.875" bestFit="1" customWidth="1"/>
    <col min="4612" max="4612" width="9" customWidth="1"/>
    <col min="4617" max="4617" width="7.625" bestFit="1" customWidth="1"/>
    <col min="4618" max="4618" width="7.75" bestFit="1" customWidth="1"/>
    <col min="4619" max="4619" width="8" bestFit="1" customWidth="1"/>
    <col min="4620" max="4620" width="9.875" bestFit="1" customWidth="1"/>
    <col min="4626" max="4626" width="7.625" bestFit="1" customWidth="1"/>
    <col min="4627" max="4627" width="7.75" bestFit="1" customWidth="1"/>
    <col min="4628" max="4628" width="8" bestFit="1" customWidth="1"/>
    <col min="4629" max="4629" width="9.875" bestFit="1" customWidth="1"/>
    <col min="4630" max="4630" width="9" customWidth="1"/>
    <col min="4635" max="4635" width="7.625" bestFit="1" customWidth="1"/>
    <col min="4867" max="4867" width="9.875" bestFit="1" customWidth="1"/>
    <col min="4868" max="4868" width="9" customWidth="1"/>
    <col min="4873" max="4873" width="7.625" bestFit="1" customWidth="1"/>
    <col min="4874" max="4874" width="7.75" bestFit="1" customWidth="1"/>
    <col min="4875" max="4875" width="8" bestFit="1" customWidth="1"/>
    <col min="4876" max="4876" width="9.875" bestFit="1" customWidth="1"/>
    <col min="4882" max="4882" width="7.625" bestFit="1" customWidth="1"/>
    <col min="4883" max="4883" width="7.75" bestFit="1" customWidth="1"/>
    <col min="4884" max="4884" width="8" bestFit="1" customWidth="1"/>
    <col min="4885" max="4885" width="9.875" bestFit="1" customWidth="1"/>
    <col min="4886" max="4886" width="9" customWidth="1"/>
    <col min="4891" max="4891" width="7.625" bestFit="1" customWidth="1"/>
    <col min="5123" max="5123" width="9.875" bestFit="1" customWidth="1"/>
    <col min="5124" max="5124" width="9" customWidth="1"/>
    <col min="5129" max="5129" width="7.625" bestFit="1" customWidth="1"/>
    <col min="5130" max="5130" width="7.75" bestFit="1" customWidth="1"/>
    <col min="5131" max="5131" width="8" bestFit="1" customWidth="1"/>
    <col min="5132" max="5132" width="9.875" bestFit="1" customWidth="1"/>
    <col min="5138" max="5138" width="7.625" bestFit="1" customWidth="1"/>
    <col min="5139" max="5139" width="7.75" bestFit="1" customWidth="1"/>
    <col min="5140" max="5140" width="8" bestFit="1" customWidth="1"/>
    <col min="5141" max="5141" width="9.875" bestFit="1" customWidth="1"/>
    <col min="5142" max="5142" width="9" customWidth="1"/>
    <col min="5147" max="5147" width="7.625" bestFit="1" customWidth="1"/>
    <col min="5379" max="5379" width="9.875" bestFit="1" customWidth="1"/>
    <col min="5380" max="5380" width="9" customWidth="1"/>
    <col min="5385" max="5385" width="7.625" bestFit="1" customWidth="1"/>
    <col min="5386" max="5386" width="7.75" bestFit="1" customWidth="1"/>
    <col min="5387" max="5387" width="8" bestFit="1" customWidth="1"/>
    <col min="5388" max="5388" width="9.875" bestFit="1" customWidth="1"/>
    <col min="5394" max="5394" width="7.625" bestFit="1" customWidth="1"/>
    <col min="5395" max="5395" width="7.75" bestFit="1" customWidth="1"/>
    <col min="5396" max="5396" width="8" bestFit="1" customWidth="1"/>
    <col min="5397" max="5397" width="9.875" bestFit="1" customWidth="1"/>
    <col min="5398" max="5398" width="9" customWidth="1"/>
    <col min="5403" max="5403" width="7.625" bestFit="1" customWidth="1"/>
    <col min="5635" max="5635" width="9.875" bestFit="1" customWidth="1"/>
    <col min="5636" max="5636" width="9" customWidth="1"/>
    <col min="5641" max="5641" width="7.625" bestFit="1" customWidth="1"/>
    <col min="5642" max="5642" width="7.75" bestFit="1" customWidth="1"/>
    <col min="5643" max="5643" width="8" bestFit="1" customWidth="1"/>
    <col min="5644" max="5644" width="9.875" bestFit="1" customWidth="1"/>
    <col min="5650" max="5650" width="7.625" bestFit="1" customWidth="1"/>
    <col min="5651" max="5651" width="7.75" bestFit="1" customWidth="1"/>
    <col min="5652" max="5652" width="8" bestFit="1" customWidth="1"/>
    <col min="5653" max="5653" width="9.875" bestFit="1" customWidth="1"/>
    <col min="5654" max="5654" width="9" customWidth="1"/>
    <col min="5659" max="5659" width="7.625" bestFit="1" customWidth="1"/>
    <col min="5891" max="5891" width="9.875" bestFit="1" customWidth="1"/>
    <col min="5892" max="5892" width="9" customWidth="1"/>
    <col min="5897" max="5897" width="7.625" bestFit="1" customWidth="1"/>
    <col min="5898" max="5898" width="7.75" bestFit="1" customWidth="1"/>
    <col min="5899" max="5899" width="8" bestFit="1" customWidth="1"/>
    <col min="5900" max="5900" width="9.875" bestFit="1" customWidth="1"/>
    <col min="5906" max="5906" width="7.625" bestFit="1" customWidth="1"/>
    <col min="5907" max="5907" width="7.75" bestFit="1" customWidth="1"/>
    <col min="5908" max="5908" width="8" bestFit="1" customWidth="1"/>
    <col min="5909" max="5909" width="9.875" bestFit="1" customWidth="1"/>
    <col min="5910" max="5910" width="9" customWidth="1"/>
    <col min="5915" max="5915" width="7.625" bestFit="1" customWidth="1"/>
    <col min="6147" max="6147" width="9.875" bestFit="1" customWidth="1"/>
    <col min="6148" max="6148" width="9" customWidth="1"/>
    <col min="6153" max="6153" width="7.625" bestFit="1" customWidth="1"/>
    <col min="6154" max="6154" width="7.75" bestFit="1" customWidth="1"/>
    <col min="6155" max="6155" width="8" bestFit="1" customWidth="1"/>
    <col min="6156" max="6156" width="9.875" bestFit="1" customWidth="1"/>
    <col min="6162" max="6162" width="7.625" bestFit="1" customWidth="1"/>
    <col min="6163" max="6163" width="7.75" bestFit="1" customWidth="1"/>
    <col min="6164" max="6164" width="8" bestFit="1" customWidth="1"/>
    <col min="6165" max="6165" width="9.875" bestFit="1" customWidth="1"/>
    <col min="6166" max="6166" width="9" customWidth="1"/>
    <col min="6171" max="6171" width="7.625" bestFit="1" customWidth="1"/>
    <col min="6403" max="6403" width="9.875" bestFit="1" customWidth="1"/>
    <col min="6404" max="6404" width="9" customWidth="1"/>
    <col min="6409" max="6409" width="7.625" bestFit="1" customWidth="1"/>
    <col min="6410" max="6410" width="7.75" bestFit="1" customWidth="1"/>
    <col min="6411" max="6411" width="8" bestFit="1" customWidth="1"/>
    <col min="6412" max="6412" width="9.875" bestFit="1" customWidth="1"/>
    <col min="6418" max="6418" width="7.625" bestFit="1" customWidth="1"/>
    <col min="6419" max="6419" width="7.75" bestFit="1" customWidth="1"/>
    <col min="6420" max="6420" width="8" bestFit="1" customWidth="1"/>
    <col min="6421" max="6421" width="9.875" bestFit="1" customWidth="1"/>
    <col min="6422" max="6422" width="9" customWidth="1"/>
    <col min="6427" max="6427" width="7.625" bestFit="1" customWidth="1"/>
    <col min="6659" max="6659" width="9.875" bestFit="1" customWidth="1"/>
    <col min="6660" max="6660" width="9" customWidth="1"/>
    <col min="6665" max="6665" width="7.625" bestFit="1" customWidth="1"/>
    <col min="6666" max="6666" width="7.75" bestFit="1" customWidth="1"/>
    <col min="6667" max="6667" width="8" bestFit="1" customWidth="1"/>
    <col min="6668" max="6668" width="9.875" bestFit="1" customWidth="1"/>
    <col min="6674" max="6674" width="7.625" bestFit="1" customWidth="1"/>
    <col min="6675" max="6675" width="7.75" bestFit="1" customWidth="1"/>
    <col min="6676" max="6676" width="8" bestFit="1" customWidth="1"/>
    <col min="6677" max="6677" width="9.875" bestFit="1" customWidth="1"/>
    <col min="6678" max="6678" width="9" customWidth="1"/>
    <col min="6683" max="6683" width="7.625" bestFit="1" customWidth="1"/>
    <col min="6915" max="6915" width="9.875" bestFit="1" customWidth="1"/>
    <col min="6916" max="6916" width="9" customWidth="1"/>
    <col min="6921" max="6921" width="7.625" bestFit="1" customWidth="1"/>
    <col min="6922" max="6922" width="7.75" bestFit="1" customWidth="1"/>
    <col min="6923" max="6923" width="8" bestFit="1" customWidth="1"/>
    <col min="6924" max="6924" width="9.875" bestFit="1" customWidth="1"/>
    <col min="6930" max="6930" width="7.625" bestFit="1" customWidth="1"/>
    <col min="6931" max="6931" width="7.75" bestFit="1" customWidth="1"/>
    <col min="6932" max="6932" width="8" bestFit="1" customWidth="1"/>
    <col min="6933" max="6933" width="9.875" bestFit="1" customWidth="1"/>
    <col min="6934" max="6934" width="9" customWidth="1"/>
    <col min="6939" max="6939" width="7.625" bestFit="1" customWidth="1"/>
    <col min="7171" max="7171" width="9.875" bestFit="1" customWidth="1"/>
    <col min="7172" max="7172" width="9" customWidth="1"/>
    <col min="7177" max="7177" width="7.625" bestFit="1" customWidth="1"/>
    <col min="7178" max="7178" width="7.75" bestFit="1" customWidth="1"/>
    <col min="7179" max="7179" width="8" bestFit="1" customWidth="1"/>
    <col min="7180" max="7180" width="9.875" bestFit="1" customWidth="1"/>
    <col min="7186" max="7186" width="7.625" bestFit="1" customWidth="1"/>
    <col min="7187" max="7187" width="7.75" bestFit="1" customWidth="1"/>
    <col min="7188" max="7188" width="8" bestFit="1" customWidth="1"/>
    <col min="7189" max="7189" width="9.875" bestFit="1" customWidth="1"/>
    <col min="7190" max="7190" width="9" customWidth="1"/>
    <col min="7195" max="7195" width="7.625" bestFit="1" customWidth="1"/>
    <col min="7427" max="7427" width="9.875" bestFit="1" customWidth="1"/>
    <col min="7428" max="7428" width="9" customWidth="1"/>
    <col min="7433" max="7433" width="7.625" bestFit="1" customWidth="1"/>
    <col min="7434" max="7434" width="7.75" bestFit="1" customWidth="1"/>
    <col min="7435" max="7435" width="8" bestFit="1" customWidth="1"/>
    <col min="7436" max="7436" width="9.875" bestFit="1" customWidth="1"/>
    <col min="7442" max="7442" width="7.625" bestFit="1" customWidth="1"/>
    <col min="7443" max="7443" width="7.75" bestFit="1" customWidth="1"/>
    <col min="7444" max="7444" width="8" bestFit="1" customWidth="1"/>
    <col min="7445" max="7445" width="9.875" bestFit="1" customWidth="1"/>
    <col min="7446" max="7446" width="9" customWidth="1"/>
    <col min="7451" max="7451" width="7.625" bestFit="1" customWidth="1"/>
    <col min="7683" max="7683" width="9.875" bestFit="1" customWidth="1"/>
    <col min="7684" max="7684" width="9" customWidth="1"/>
    <col min="7689" max="7689" width="7.625" bestFit="1" customWidth="1"/>
    <col min="7690" max="7690" width="7.75" bestFit="1" customWidth="1"/>
    <col min="7691" max="7691" width="8" bestFit="1" customWidth="1"/>
    <col min="7692" max="7692" width="9.875" bestFit="1" customWidth="1"/>
    <col min="7698" max="7698" width="7.625" bestFit="1" customWidth="1"/>
    <col min="7699" max="7699" width="7.75" bestFit="1" customWidth="1"/>
    <col min="7700" max="7700" width="8" bestFit="1" customWidth="1"/>
    <col min="7701" max="7701" width="9.875" bestFit="1" customWidth="1"/>
    <col min="7702" max="7702" width="9" customWidth="1"/>
    <col min="7707" max="7707" width="7.625" bestFit="1" customWidth="1"/>
    <col min="7939" max="7939" width="9.875" bestFit="1" customWidth="1"/>
    <col min="7940" max="7940" width="9" customWidth="1"/>
    <col min="7945" max="7945" width="7.625" bestFit="1" customWidth="1"/>
    <col min="7946" max="7946" width="7.75" bestFit="1" customWidth="1"/>
    <col min="7947" max="7947" width="8" bestFit="1" customWidth="1"/>
    <col min="7948" max="7948" width="9.875" bestFit="1" customWidth="1"/>
    <col min="7954" max="7954" width="7.625" bestFit="1" customWidth="1"/>
    <col min="7955" max="7955" width="7.75" bestFit="1" customWidth="1"/>
    <col min="7956" max="7956" width="8" bestFit="1" customWidth="1"/>
    <col min="7957" max="7957" width="9.875" bestFit="1" customWidth="1"/>
    <col min="7958" max="7958" width="9" customWidth="1"/>
    <col min="7963" max="7963" width="7.625" bestFit="1" customWidth="1"/>
    <col min="8195" max="8195" width="9.875" bestFit="1" customWidth="1"/>
    <col min="8196" max="8196" width="9" customWidth="1"/>
    <col min="8201" max="8201" width="7.625" bestFit="1" customWidth="1"/>
    <col min="8202" max="8202" width="7.75" bestFit="1" customWidth="1"/>
    <col min="8203" max="8203" width="8" bestFit="1" customWidth="1"/>
    <col min="8204" max="8204" width="9.875" bestFit="1" customWidth="1"/>
    <col min="8210" max="8210" width="7.625" bestFit="1" customWidth="1"/>
    <col min="8211" max="8211" width="7.75" bestFit="1" customWidth="1"/>
    <col min="8212" max="8212" width="8" bestFit="1" customWidth="1"/>
    <col min="8213" max="8213" width="9.875" bestFit="1" customWidth="1"/>
    <col min="8214" max="8214" width="9" customWidth="1"/>
    <col min="8219" max="8219" width="7.625" bestFit="1" customWidth="1"/>
    <col min="8451" max="8451" width="9.875" bestFit="1" customWidth="1"/>
    <col min="8452" max="8452" width="9" customWidth="1"/>
    <col min="8457" max="8457" width="7.625" bestFit="1" customWidth="1"/>
    <col min="8458" max="8458" width="7.75" bestFit="1" customWidth="1"/>
    <col min="8459" max="8459" width="8" bestFit="1" customWidth="1"/>
    <col min="8460" max="8460" width="9.875" bestFit="1" customWidth="1"/>
    <col min="8466" max="8466" width="7.625" bestFit="1" customWidth="1"/>
    <col min="8467" max="8467" width="7.75" bestFit="1" customWidth="1"/>
    <col min="8468" max="8468" width="8" bestFit="1" customWidth="1"/>
    <col min="8469" max="8469" width="9.875" bestFit="1" customWidth="1"/>
    <col min="8470" max="8470" width="9" customWidth="1"/>
    <col min="8475" max="8475" width="7.625" bestFit="1" customWidth="1"/>
    <col min="8707" max="8707" width="9.875" bestFit="1" customWidth="1"/>
    <col min="8708" max="8708" width="9" customWidth="1"/>
    <col min="8713" max="8713" width="7.625" bestFit="1" customWidth="1"/>
    <col min="8714" max="8714" width="7.75" bestFit="1" customWidth="1"/>
    <col min="8715" max="8715" width="8" bestFit="1" customWidth="1"/>
    <col min="8716" max="8716" width="9.875" bestFit="1" customWidth="1"/>
    <col min="8722" max="8722" width="7.625" bestFit="1" customWidth="1"/>
    <col min="8723" max="8723" width="7.75" bestFit="1" customWidth="1"/>
    <col min="8724" max="8724" width="8" bestFit="1" customWidth="1"/>
    <col min="8725" max="8725" width="9.875" bestFit="1" customWidth="1"/>
    <col min="8726" max="8726" width="9" customWidth="1"/>
    <col min="8731" max="8731" width="7.625" bestFit="1" customWidth="1"/>
    <col min="8963" max="8963" width="9.875" bestFit="1" customWidth="1"/>
    <col min="8964" max="8964" width="9" customWidth="1"/>
    <col min="8969" max="8969" width="7.625" bestFit="1" customWidth="1"/>
    <col min="8970" max="8970" width="7.75" bestFit="1" customWidth="1"/>
    <col min="8971" max="8971" width="8" bestFit="1" customWidth="1"/>
    <col min="8972" max="8972" width="9.875" bestFit="1" customWidth="1"/>
    <col min="8978" max="8978" width="7.625" bestFit="1" customWidth="1"/>
    <col min="8979" max="8979" width="7.75" bestFit="1" customWidth="1"/>
    <col min="8980" max="8980" width="8" bestFit="1" customWidth="1"/>
    <col min="8981" max="8981" width="9.875" bestFit="1" customWidth="1"/>
    <col min="8982" max="8982" width="9" customWidth="1"/>
    <col min="8987" max="8987" width="7.625" bestFit="1" customWidth="1"/>
    <col min="9219" max="9219" width="9.875" bestFit="1" customWidth="1"/>
    <col min="9220" max="9220" width="9" customWidth="1"/>
    <col min="9225" max="9225" width="7.625" bestFit="1" customWidth="1"/>
    <col min="9226" max="9226" width="7.75" bestFit="1" customWidth="1"/>
    <col min="9227" max="9227" width="8" bestFit="1" customWidth="1"/>
    <col min="9228" max="9228" width="9.875" bestFit="1" customWidth="1"/>
    <col min="9234" max="9234" width="7.625" bestFit="1" customWidth="1"/>
    <col min="9235" max="9235" width="7.75" bestFit="1" customWidth="1"/>
    <col min="9236" max="9236" width="8" bestFit="1" customWidth="1"/>
    <col min="9237" max="9237" width="9.875" bestFit="1" customWidth="1"/>
    <col min="9238" max="9238" width="9" customWidth="1"/>
    <col min="9243" max="9243" width="7.625" bestFit="1" customWidth="1"/>
    <col min="9475" max="9475" width="9.875" bestFit="1" customWidth="1"/>
    <col min="9476" max="9476" width="9" customWidth="1"/>
    <col min="9481" max="9481" width="7.625" bestFit="1" customWidth="1"/>
    <col min="9482" max="9482" width="7.75" bestFit="1" customWidth="1"/>
    <col min="9483" max="9483" width="8" bestFit="1" customWidth="1"/>
    <col min="9484" max="9484" width="9.875" bestFit="1" customWidth="1"/>
    <col min="9490" max="9490" width="7.625" bestFit="1" customWidth="1"/>
    <col min="9491" max="9491" width="7.75" bestFit="1" customWidth="1"/>
    <col min="9492" max="9492" width="8" bestFit="1" customWidth="1"/>
    <col min="9493" max="9493" width="9.875" bestFit="1" customWidth="1"/>
    <col min="9494" max="9494" width="9" customWidth="1"/>
    <col min="9499" max="9499" width="7.625" bestFit="1" customWidth="1"/>
    <col min="9731" max="9731" width="9.875" bestFit="1" customWidth="1"/>
    <col min="9732" max="9732" width="9" customWidth="1"/>
    <col min="9737" max="9737" width="7.625" bestFit="1" customWidth="1"/>
    <col min="9738" max="9738" width="7.75" bestFit="1" customWidth="1"/>
    <col min="9739" max="9739" width="8" bestFit="1" customWidth="1"/>
    <col min="9740" max="9740" width="9.875" bestFit="1" customWidth="1"/>
    <col min="9746" max="9746" width="7.625" bestFit="1" customWidth="1"/>
    <col min="9747" max="9747" width="7.75" bestFit="1" customWidth="1"/>
    <col min="9748" max="9748" width="8" bestFit="1" customWidth="1"/>
    <col min="9749" max="9749" width="9.875" bestFit="1" customWidth="1"/>
    <col min="9750" max="9750" width="9" customWidth="1"/>
    <col min="9755" max="9755" width="7.625" bestFit="1" customWidth="1"/>
    <col min="9987" max="9987" width="9.875" bestFit="1" customWidth="1"/>
    <col min="9988" max="9988" width="9" customWidth="1"/>
    <col min="9993" max="9993" width="7.625" bestFit="1" customWidth="1"/>
    <col min="9994" max="9994" width="7.75" bestFit="1" customWidth="1"/>
    <col min="9995" max="9995" width="8" bestFit="1" customWidth="1"/>
    <col min="9996" max="9996" width="9.875" bestFit="1" customWidth="1"/>
    <col min="10002" max="10002" width="7.625" bestFit="1" customWidth="1"/>
    <col min="10003" max="10003" width="7.75" bestFit="1" customWidth="1"/>
    <col min="10004" max="10004" width="8" bestFit="1" customWidth="1"/>
    <col min="10005" max="10005" width="9.875" bestFit="1" customWidth="1"/>
    <col min="10006" max="10006" width="9" customWidth="1"/>
    <col min="10011" max="10011" width="7.625" bestFit="1" customWidth="1"/>
    <col min="10243" max="10243" width="9.875" bestFit="1" customWidth="1"/>
    <col min="10244" max="10244" width="9" customWidth="1"/>
    <col min="10249" max="10249" width="7.625" bestFit="1" customWidth="1"/>
    <col min="10250" max="10250" width="7.75" bestFit="1" customWidth="1"/>
    <col min="10251" max="10251" width="8" bestFit="1" customWidth="1"/>
    <col min="10252" max="10252" width="9.875" bestFit="1" customWidth="1"/>
    <col min="10258" max="10258" width="7.625" bestFit="1" customWidth="1"/>
    <col min="10259" max="10259" width="7.75" bestFit="1" customWidth="1"/>
    <col min="10260" max="10260" width="8" bestFit="1" customWidth="1"/>
    <col min="10261" max="10261" width="9.875" bestFit="1" customWidth="1"/>
    <col min="10262" max="10262" width="9" customWidth="1"/>
    <col min="10267" max="10267" width="7.625" bestFit="1" customWidth="1"/>
    <col min="10499" max="10499" width="9.875" bestFit="1" customWidth="1"/>
    <col min="10500" max="10500" width="9" customWidth="1"/>
    <col min="10505" max="10505" width="7.625" bestFit="1" customWidth="1"/>
    <col min="10506" max="10506" width="7.75" bestFit="1" customWidth="1"/>
    <col min="10507" max="10507" width="8" bestFit="1" customWidth="1"/>
    <col min="10508" max="10508" width="9.875" bestFit="1" customWidth="1"/>
    <col min="10514" max="10514" width="7.625" bestFit="1" customWidth="1"/>
    <col min="10515" max="10515" width="7.75" bestFit="1" customWidth="1"/>
    <col min="10516" max="10516" width="8" bestFit="1" customWidth="1"/>
    <col min="10517" max="10517" width="9.875" bestFit="1" customWidth="1"/>
    <col min="10518" max="10518" width="9" customWidth="1"/>
    <col min="10523" max="10523" width="7.625" bestFit="1" customWidth="1"/>
    <col min="10755" max="10755" width="9.875" bestFit="1" customWidth="1"/>
    <col min="10756" max="10756" width="9" customWidth="1"/>
    <col min="10761" max="10761" width="7.625" bestFit="1" customWidth="1"/>
    <col min="10762" max="10762" width="7.75" bestFit="1" customWidth="1"/>
    <col min="10763" max="10763" width="8" bestFit="1" customWidth="1"/>
    <col min="10764" max="10764" width="9.875" bestFit="1" customWidth="1"/>
    <col min="10770" max="10770" width="7.625" bestFit="1" customWidth="1"/>
    <col min="10771" max="10771" width="7.75" bestFit="1" customWidth="1"/>
    <col min="10772" max="10772" width="8" bestFit="1" customWidth="1"/>
    <col min="10773" max="10773" width="9.875" bestFit="1" customWidth="1"/>
    <col min="10774" max="10774" width="9" customWidth="1"/>
    <col min="10779" max="10779" width="7.625" bestFit="1" customWidth="1"/>
    <col min="11011" max="11011" width="9.875" bestFit="1" customWidth="1"/>
    <col min="11012" max="11012" width="9" customWidth="1"/>
    <col min="11017" max="11017" width="7.625" bestFit="1" customWidth="1"/>
    <col min="11018" max="11018" width="7.75" bestFit="1" customWidth="1"/>
    <col min="11019" max="11019" width="8" bestFit="1" customWidth="1"/>
    <col min="11020" max="11020" width="9.875" bestFit="1" customWidth="1"/>
    <col min="11026" max="11026" width="7.625" bestFit="1" customWidth="1"/>
    <col min="11027" max="11027" width="7.75" bestFit="1" customWidth="1"/>
    <col min="11028" max="11028" width="8" bestFit="1" customWidth="1"/>
    <col min="11029" max="11029" width="9.875" bestFit="1" customWidth="1"/>
    <col min="11030" max="11030" width="9" customWidth="1"/>
    <col min="11035" max="11035" width="7.625" bestFit="1" customWidth="1"/>
    <col min="11267" max="11267" width="9.875" bestFit="1" customWidth="1"/>
    <col min="11268" max="11268" width="9" customWidth="1"/>
    <col min="11273" max="11273" width="7.625" bestFit="1" customWidth="1"/>
    <col min="11274" max="11274" width="7.75" bestFit="1" customWidth="1"/>
    <col min="11275" max="11275" width="8" bestFit="1" customWidth="1"/>
    <col min="11276" max="11276" width="9.875" bestFit="1" customWidth="1"/>
    <col min="11282" max="11282" width="7.625" bestFit="1" customWidth="1"/>
    <col min="11283" max="11283" width="7.75" bestFit="1" customWidth="1"/>
    <col min="11284" max="11284" width="8" bestFit="1" customWidth="1"/>
    <col min="11285" max="11285" width="9.875" bestFit="1" customWidth="1"/>
    <col min="11286" max="11286" width="9" customWidth="1"/>
    <col min="11291" max="11291" width="7.625" bestFit="1" customWidth="1"/>
    <col min="11523" max="11523" width="9.875" bestFit="1" customWidth="1"/>
    <col min="11524" max="11524" width="9" customWidth="1"/>
    <col min="11529" max="11529" width="7.625" bestFit="1" customWidth="1"/>
    <col min="11530" max="11530" width="7.75" bestFit="1" customWidth="1"/>
    <col min="11531" max="11531" width="8" bestFit="1" customWidth="1"/>
    <col min="11532" max="11532" width="9.875" bestFit="1" customWidth="1"/>
    <col min="11538" max="11538" width="7.625" bestFit="1" customWidth="1"/>
    <col min="11539" max="11539" width="7.75" bestFit="1" customWidth="1"/>
    <col min="11540" max="11540" width="8" bestFit="1" customWidth="1"/>
    <col min="11541" max="11541" width="9.875" bestFit="1" customWidth="1"/>
    <col min="11542" max="11542" width="9" customWidth="1"/>
    <col min="11547" max="11547" width="7.625" bestFit="1" customWidth="1"/>
    <col min="11779" max="11779" width="9.875" bestFit="1" customWidth="1"/>
    <col min="11780" max="11780" width="9" customWidth="1"/>
    <col min="11785" max="11785" width="7.625" bestFit="1" customWidth="1"/>
    <col min="11786" max="11786" width="7.75" bestFit="1" customWidth="1"/>
    <col min="11787" max="11787" width="8" bestFit="1" customWidth="1"/>
    <col min="11788" max="11788" width="9.875" bestFit="1" customWidth="1"/>
    <col min="11794" max="11794" width="7.625" bestFit="1" customWidth="1"/>
    <col min="11795" max="11795" width="7.75" bestFit="1" customWidth="1"/>
    <col min="11796" max="11796" width="8" bestFit="1" customWidth="1"/>
    <col min="11797" max="11797" width="9.875" bestFit="1" customWidth="1"/>
    <col min="11798" max="11798" width="9" customWidth="1"/>
    <col min="11803" max="11803" width="7.625" bestFit="1" customWidth="1"/>
    <col min="12035" max="12035" width="9.875" bestFit="1" customWidth="1"/>
    <col min="12036" max="12036" width="9" customWidth="1"/>
    <col min="12041" max="12041" width="7.625" bestFit="1" customWidth="1"/>
    <col min="12042" max="12042" width="7.75" bestFit="1" customWidth="1"/>
    <col min="12043" max="12043" width="8" bestFit="1" customWidth="1"/>
    <col min="12044" max="12044" width="9.875" bestFit="1" customWidth="1"/>
    <col min="12050" max="12050" width="7.625" bestFit="1" customWidth="1"/>
    <col min="12051" max="12051" width="7.75" bestFit="1" customWidth="1"/>
    <col min="12052" max="12052" width="8" bestFit="1" customWidth="1"/>
    <col min="12053" max="12053" width="9.875" bestFit="1" customWidth="1"/>
    <col min="12054" max="12054" width="9" customWidth="1"/>
    <col min="12059" max="12059" width="7.625" bestFit="1" customWidth="1"/>
    <col min="12291" max="12291" width="9.875" bestFit="1" customWidth="1"/>
    <col min="12292" max="12292" width="9" customWidth="1"/>
    <col min="12297" max="12297" width="7.625" bestFit="1" customWidth="1"/>
    <col min="12298" max="12298" width="7.75" bestFit="1" customWidth="1"/>
    <col min="12299" max="12299" width="8" bestFit="1" customWidth="1"/>
    <col min="12300" max="12300" width="9.875" bestFit="1" customWidth="1"/>
    <col min="12306" max="12306" width="7.625" bestFit="1" customWidth="1"/>
    <col min="12307" max="12307" width="7.75" bestFit="1" customWidth="1"/>
    <col min="12308" max="12308" width="8" bestFit="1" customWidth="1"/>
    <col min="12309" max="12309" width="9.875" bestFit="1" customWidth="1"/>
    <col min="12310" max="12310" width="9" customWidth="1"/>
    <col min="12315" max="12315" width="7.625" bestFit="1" customWidth="1"/>
    <col min="12547" max="12547" width="9.875" bestFit="1" customWidth="1"/>
    <col min="12548" max="12548" width="9" customWidth="1"/>
    <col min="12553" max="12553" width="7.625" bestFit="1" customWidth="1"/>
    <col min="12554" max="12554" width="7.75" bestFit="1" customWidth="1"/>
    <col min="12555" max="12555" width="8" bestFit="1" customWidth="1"/>
    <col min="12556" max="12556" width="9.875" bestFit="1" customWidth="1"/>
    <col min="12562" max="12562" width="7.625" bestFit="1" customWidth="1"/>
    <col min="12563" max="12563" width="7.75" bestFit="1" customWidth="1"/>
    <col min="12564" max="12564" width="8" bestFit="1" customWidth="1"/>
    <col min="12565" max="12565" width="9.875" bestFit="1" customWidth="1"/>
    <col min="12566" max="12566" width="9" customWidth="1"/>
    <col min="12571" max="12571" width="7.625" bestFit="1" customWidth="1"/>
    <col min="12803" max="12803" width="9.875" bestFit="1" customWidth="1"/>
    <col min="12804" max="12804" width="9" customWidth="1"/>
    <col min="12809" max="12809" width="7.625" bestFit="1" customWidth="1"/>
    <col min="12810" max="12810" width="7.75" bestFit="1" customWidth="1"/>
    <col min="12811" max="12811" width="8" bestFit="1" customWidth="1"/>
    <col min="12812" max="12812" width="9.875" bestFit="1" customWidth="1"/>
    <col min="12818" max="12818" width="7.625" bestFit="1" customWidth="1"/>
    <col min="12819" max="12819" width="7.75" bestFit="1" customWidth="1"/>
    <col min="12820" max="12820" width="8" bestFit="1" customWidth="1"/>
    <col min="12821" max="12821" width="9.875" bestFit="1" customWidth="1"/>
    <col min="12822" max="12822" width="9" customWidth="1"/>
    <col min="12827" max="12827" width="7.625" bestFit="1" customWidth="1"/>
    <col min="13059" max="13059" width="9.875" bestFit="1" customWidth="1"/>
    <col min="13060" max="13060" width="9" customWidth="1"/>
    <col min="13065" max="13065" width="7.625" bestFit="1" customWidth="1"/>
    <col min="13066" max="13066" width="7.75" bestFit="1" customWidth="1"/>
    <col min="13067" max="13067" width="8" bestFit="1" customWidth="1"/>
    <col min="13068" max="13068" width="9.875" bestFit="1" customWidth="1"/>
    <col min="13074" max="13074" width="7.625" bestFit="1" customWidth="1"/>
    <col min="13075" max="13075" width="7.75" bestFit="1" customWidth="1"/>
    <col min="13076" max="13076" width="8" bestFit="1" customWidth="1"/>
    <col min="13077" max="13077" width="9.875" bestFit="1" customWidth="1"/>
    <col min="13078" max="13078" width="9" customWidth="1"/>
    <col min="13083" max="13083" width="7.625" bestFit="1" customWidth="1"/>
    <col min="13315" max="13315" width="9.875" bestFit="1" customWidth="1"/>
    <col min="13316" max="13316" width="9" customWidth="1"/>
    <col min="13321" max="13321" width="7.625" bestFit="1" customWidth="1"/>
    <col min="13322" max="13322" width="7.75" bestFit="1" customWidth="1"/>
    <col min="13323" max="13323" width="8" bestFit="1" customWidth="1"/>
    <col min="13324" max="13324" width="9.875" bestFit="1" customWidth="1"/>
    <col min="13330" max="13330" width="7.625" bestFit="1" customWidth="1"/>
    <col min="13331" max="13331" width="7.75" bestFit="1" customWidth="1"/>
    <col min="13332" max="13332" width="8" bestFit="1" customWidth="1"/>
    <col min="13333" max="13333" width="9.875" bestFit="1" customWidth="1"/>
    <col min="13334" max="13334" width="9" customWidth="1"/>
    <col min="13339" max="13339" width="7.625" bestFit="1" customWidth="1"/>
    <col min="13571" max="13571" width="9.875" bestFit="1" customWidth="1"/>
    <col min="13572" max="13572" width="9" customWidth="1"/>
    <col min="13577" max="13577" width="7.625" bestFit="1" customWidth="1"/>
    <col min="13578" max="13578" width="7.75" bestFit="1" customWidth="1"/>
    <col min="13579" max="13579" width="8" bestFit="1" customWidth="1"/>
    <col min="13580" max="13580" width="9.875" bestFit="1" customWidth="1"/>
    <col min="13586" max="13586" width="7.625" bestFit="1" customWidth="1"/>
    <col min="13587" max="13587" width="7.75" bestFit="1" customWidth="1"/>
    <col min="13588" max="13588" width="8" bestFit="1" customWidth="1"/>
    <col min="13589" max="13589" width="9.875" bestFit="1" customWidth="1"/>
    <col min="13590" max="13590" width="9" customWidth="1"/>
    <col min="13595" max="13595" width="7.625" bestFit="1" customWidth="1"/>
    <col min="13827" max="13827" width="9.875" bestFit="1" customWidth="1"/>
    <col min="13828" max="13828" width="9" customWidth="1"/>
    <col min="13833" max="13833" width="7.625" bestFit="1" customWidth="1"/>
    <col min="13834" max="13834" width="7.75" bestFit="1" customWidth="1"/>
    <col min="13835" max="13835" width="8" bestFit="1" customWidth="1"/>
    <col min="13836" max="13836" width="9.875" bestFit="1" customWidth="1"/>
    <col min="13842" max="13842" width="7.625" bestFit="1" customWidth="1"/>
    <col min="13843" max="13843" width="7.75" bestFit="1" customWidth="1"/>
    <col min="13844" max="13844" width="8" bestFit="1" customWidth="1"/>
    <col min="13845" max="13845" width="9.875" bestFit="1" customWidth="1"/>
    <col min="13846" max="13846" width="9" customWidth="1"/>
    <col min="13851" max="13851" width="7.625" bestFit="1" customWidth="1"/>
    <col min="14083" max="14083" width="9.875" bestFit="1" customWidth="1"/>
    <col min="14084" max="14084" width="9" customWidth="1"/>
    <col min="14089" max="14089" width="7.625" bestFit="1" customWidth="1"/>
    <col min="14090" max="14090" width="7.75" bestFit="1" customWidth="1"/>
    <col min="14091" max="14091" width="8" bestFit="1" customWidth="1"/>
    <col min="14092" max="14092" width="9.875" bestFit="1" customWidth="1"/>
    <col min="14098" max="14098" width="7.625" bestFit="1" customWidth="1"/>
    <col min="14099" max="14099" width="7.75" bestFit="1" customWidth="1"/>
    <col min="14100" max="14100" width="8" bestFit="1" customWidth="1"/>
    <col min="14101" max="14101" width="9.875" bestFit="1" customWidth="1"/>
    <col min="14102" max="14102" width="9" customWidth="1"/>
    <col min="14107" max="14107" width="7.625" bestFit="1" customWidth="1"/>
    <col min="14339" max="14339" width="9.875" bestFit="1" customWidth="1"/>
    <col min="14340" max="14340" width="9" customWidth="1"/>
    <col min="14345" max="14345" width="7.625" bestFit="1" customWidth="1"/>
    <col min="14346" max="14346" width="7.75" bestFit="1" customWidth="1"/>
    <col min="14347" max="14347" width="8" bestFit="1" customWidth="1"/>
    <col min="14348" max="14348" width="9.875" bestFit="1" customWidth="1"/>
    <col min="14354" max="14354" width="7.625" bestFit="1" customWidth="1"/>
    <col min="14355" max="14355" width="7.75" bestFit="1" customWidth="1"/>
    <col min="14356" max="14356" width="8" bestFit="1" customWidth="1"/>
    <col min="14357" max="14357" width="9.875" bestFit="1" customWidth="1"/>
    <col min="14358" max="14358" width="9" customWidth="1"/>
    <col min="14363" max="14363" width="7.625" bestFit="1" customWidth="1"/>
    <col min="14595" max="14595" width="9.875" bestFit="1" customWidth="1"/>
    <col min="14596" max="14596" width="9" customWidth="1"/>
    <col min="14601" max="14601" width="7.625" bestFit="1" customWidth="1"/>
    <col min="14602" max="14602" width="7.75" bestFit="1" customWidth="1"/>
    <col min="14603" max="14603" width="8" bestFit="1" customWidth="1"/>
    <col min="14604" max="14604" width="9.875" bestFit="1" customWidth="1"/>
    <col min="14610" max="14610" width="7.625" bestFit="1" customWidth="1"/>
    <col min="14611" max="14611" width="7.75" bestFit="1" customWidth="1"/>
    <col min="14612" max="14612" width="8" bestFit="1" customWidth="1"/>
    <col min="14613" max="14613" width="9.875" bestFit="1" customWidth="1"/>
    <col min="14614" max="14614" width="9" customWidth="1"/>
    <col min="14619" max="14619" width="7.625" bestFit="1" customWidth="1"/>
    <col min="14851" max="14851" width="9.875" bestFit="1" customWidth="1"/>
    <col min="14852" max="14852" width="9" customWidth="1"/>
    <col min="14857" max="14857" width="7.625" bestFit="1" customWidth="1"/>
    <col min="14858" max="14858" width="7.75" bestFit="1" customWidth="1"/>
    <col min="14859" max="14859" width="8" bestFit="1" customWidth="1"/>
    <col min="14860" max="14860" width="9.875" bestFit="1" customWidth="1"/>
    <col min="14866" max="14866" width="7.625" bestFit="1" customWidth="1"/>
    <col min="14867" max="14867" width="7.75" bestFit="1" customWidth="1"/>
    <col min="14868" max="14868" width="8" bestFit="1" customWidth="1"/>
    <col min="14869" max="14869" width="9.875" bestFit="1" customWidth="1"/>
    <col min="14870" max="14870" width="9" customWidth="1"/>
    <col min="14875" max="14875" width="7.625" bestFit="1" customWidth="1"/>
    <col min="15107" max="15107" width="9.875" bestFit="1" customWidth="1"/>
    <col min="15108" max="15108" width="9" customWidth="1"/>
    <col min="15113" max="15113" width="7.625" bestFit="1" customWidth="1"/>
    <col min="15114" max="15114" width="7.75" bestFit="1" customWidth="1"/>
    <col min="15115" max="15115" width="8" bestFit="1" customWidth="1"/>
    <col min="15116" max="15116" width="9.875" bestFit="1" customWidth="1"/>
    <col min="15122" max="15122" width="7.625" bestFit="1" customWidth="1"/>
    <col min="15123" max="15123" width="7.75" bestFit="1" customWidth="1"/>
    <col min="15124" max="15124" width="8" bestFit="1" customWidth="1"/>
    <col min="15125" max="15125" width="9.875" bestFit="1" customWidth="1"/>
    <col min="15126" max="15126" width="9" customWidth="1"/>
    <col min="15131" max="15131" width="7.625" bestFit="1" customWidth="1"/>
    <col min="15363" max="15363" width="9.875" bestFit="1" customWidth="1"/>
    <col min="15364" max="15364" width="9" customWidth="1"/>
    <col min="15369" max="15369" width="7.625" bestFit="1" customWidth="1"/>
    <col min="15370" max="15370" width="7.75" bestFit="1" customWidth="1"/>
    <col min="15371" max="15371" width="8" bestFit="1" customWidth="1"/>
    <col min="15372" max="15372" width="9.875" bestFit="1" customWidth="1"/>
    <col min="15378" max="15378" width="7.625" bestFit="1" customWidth="1"/>
    <col min="15379" max="15379" width="7.75" bestFit="1" customWidth="1"/>
    <col min="15380" max="15380" width="8" bestFit="1" customWidth="1"/>
    <col min="15381" max="15381" width="9.875" bestFit="1" customWidth="1"/>
    <col min="15382" max="15382" width="9" customWidth="1"/>
    <col min="15387" max="15387" width="7.625" bestFit="1" customWidth="1"/>
    <col min="15619" max="15619" width="9.875" bestFit="1" customWidth="1"/>
    <col min="15620" max="15620" width="9" customWidth="1"/>
    <col min="15625" max="15625" width="7.625" bestFit="1" customWidth="1"/>
    <col min="15626" max="15626" width="7.75" bestFit="1" customWidth="1"/>
    <col min="15627" max="15627" width="8" bestFit="1" customWidth="1"/>
    <col min="15628" max="15628" width="9.875" bestFit="1" customWidth="1"/>
    <col min="15634" max="15634" width="7.625" bestFit="1" customWidth="1"/>
    <col min="15635" max="15635" width="7.75" bestFit="1" customWidth="1"/>
    <col min="15636" max="15636" width="8" bestFit="1" customWidth="1"/>
    <col min="15637" max="15637" width="9.875" bestFit="1" customWidth="1"/>
    <col min="15638" max="15638" width="9" customWidth="1"/>
    <col min="15643" max="15643" width="7.625" bestFit="1" customWidth="1"/>
    <col min="15875" max="15875" width="9.875" bestFit="1" customWidth="1"/>
    <col min="15876" max="15876" width="9" customWidth="1"/>
    <col min="15881" max="15881" width="7.625" bestFit="1" customWidth="1"/>
    <col min="15882" max="15882" width="7.75" bestFit="1" customWidth="1"/>
    <col min="15883" max="15883" width="8" bestFit="1" customWidth="1"/>
    <col min="15884" max="15884" width="9.875" bestFit="1" customWidth="1"/>
    <col min="15890" max="15890" width="7.625" bestFit="1" customWidth="1"/>
    <col min="15891" max="15891" width="7.75" bestFit="1" customWidth="1"/>
    <col min="15892" max="15892" width="8" bestFit="1" customWidth="1"/>
    <col min="15893" max="15893" width="9.875" bestFit="1" customWidth="1"/>
    <col min="15894" max="15894" width="9" customWidth="1"/>
    <col min="15899" max="15899" width="7.625" bestFit="1" customWidth="1"/>
    <col min="16131" max="16131" width="9.875" bestFit="1" customWidth="1"/>
    <col min="16132" max="16132" width="9" customWidth="1"/>
    <col min="16137" max="16137" width="7.625" bestFit="1" customWidth="1"/>
    <col min="16138" max="16138" width="7.75" bestFit="1" customWidth="1"/>
    <col min="16139" max="16139" width="8" bestFit="1" customWidth="1"/>
    <col min="16140" max="16140" width="9.875" bestFit="1" customWidth="1"/>
    <col min="16146" max="16146" width="7.625" bestFit="1" customWidth="1"/>
    <col min="16147" max="16147" width="7.75" bestFit="1" customWidth="1"/>
    <col min="16148" max="16148" width="8" bestFit="1" customWidth="1"/>
    <col min="16149" max="16149" width="9.875" bestFit="1" customWidth="1"/>
    <col min="16150" max="16150" width="9" customWidth="1"/>
    <col min="16155" max="16155" width="7.625" bestFit="1" customWidth="1"/>
  </cols>
  <sheetData>
    <row r="1" spans="1:27" ht="35.25">
      <c r="A1" s="1" t="s">
        <v>102</v>
      </c>
      <c r="B1" s="78" t="s">
        <v>103</v>
      </c>
      <c r="C1" s="78"/>
      <c r="D1" s="78"/>
      <c r="E1" s="78"/>
      <c r="F1" s="78"/>
      <c r="G1" s="78"/>
      <c r="H1" s="78"/>
      <c r="I1" s="78"/>
      <c r="J1" s="78"/>
      <c r="K1" s="78"/>
      <c r="L1" s="91" t="s">
        <v>104</v>
      </c>
      <c r="M1" s="91"/>
      <c r="N1" s="91"/>
      <c r="O1" s="91"/>
      <c r="P1" s="91"/>
      <c r="Q1" s="91"/>
      <c r="R1" s="91"/>
      <c r="S1" s="91"/>
      <c r="T1" s="91"/>
      <c r="U1" s="91"/>
      <c r="V1" s="91"/>
      <c r="W1" s="2"/>
      <c r="X1" s="2"/>
      <c r="Y1" s="2"/>
      <c r="Z1" s="2"/>
      <c r="AA1" s="2"/>
    </row>
    <row r="2" spans="1:27" ht="14.25">
      <c r="A2" s="3" t="s">
        <v>23</v>
      </c>
      <c r="B2" s="79" t="s">
        <v>24</v>
      </c>
      <c r="C2" s="80"/>
      <c r="D2" s="80"/>
      <c r="E2" s="80"/>
      <c r="F2" s="80"/>
      <c r="G2" s="80"/>
      <c r="H2" s="80"/>
      <c r="I2" s="80"/>
      <c r="J2" s="80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ht="14.25">
      <c r="A3" s="3" t="s">
        <v>0</v>
      </c>
      <c r="B3" s="79" t="s">
        <v>25</v>
      </c>
      <c r="C3" s="80"/>
      <c r="D3" s="80"/>
      <c r="E3" s="80"/>
      <c r="F3" s="80"/>
      <c r="G3" s="80"/>
      <c r="H3" s="80"/>
      <c r="I3" s="80"/>
      <c r="J3" s="80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 ht="14.25" customHeight="1">
      <c r="A4" s="19" t="s">
        <v>167</v>
      </c>
      <c r="B4" s="5" t="s">
        <v>26</v>
      </c>
      <c r="C4" s="5" t="s">
        <v>27</v>
      </c>
      <c r="D4" s="5" t="s">
        <v>28</v>
      </c>
      <c r="E4" s="5" t="s">
        <v>56</v>
      </c>
      <c r="F4" s="5" t="s">
        <v>57</v>
      </c>
      <c r="G4" s="21" t="s">
        <v>3</v>
      </c>
      <c r="H4" s="41" t="s">
        <v>4</v>
      </c>
      <c r="I4" s="47" t="s">
        <v>29</v>
      </c>
      <c r="J4" s="19" t="s">
        <v>167</v>
      </c>
      <c r="K4" s="20" t="s">
        <v>26</v>
      </c>
      <c r="L4" s="20" t="s">
        <v>27</v>
      </c>
      <c r="M4" s="20" t="s">
        <v>28</v>
      </c>
      <c r="N4" s="20" t="s">
        <v>56</v>
      </c>
      <c r="O4" s="20" t="s">
        <v>57</v>
      </c>
      <c r="P4" s="21" t="s">
        <v>3</v>
      </c>
      <c r="Q4" s="41" t="s">
        <v>4</v>
      </c>
      <c r="R4" s="41" t="s">
        <v>29</v>
      </c>
      <c r="S4" s="19" t="s">
        <v>167</v>
      </c>
      <c r="T4" s="5" t="s">
        <v>26</v>
      </c>
      <c r="U4" s="5" t="s">
        <v>27</v>
      </c>
      <c r="V4" s="5" t="s">
        <v>28</v>
      </c>
      <c r="W4" s="5" t="s">
        <v>56</v>
      </c>
      <c r="X4" s="5" t="s">
        <v>57</v>
      </c>
      <c r="Y4" s="21" t="s">
        <v>3</v>
      </c>
      <c r="Z4" s="41" t="s">
        <v>4</v>
      </c>
      <c r="AA4" s="47" t="s">
        <v>29</v>
      </c>
    </row>
    <row r="5" spans="1:27" ht="15">
      <c r="A5" s="7" t="s">
        <v>32</v>
      </c>
      <c r="B5" s="8">
        <v>23790</v>
      </c>
      <c r="C5" s="8">
        <v>710</v>
      </c>
      <c r="D5" s="4">
        <v>10</v>
      </c>
      <c r="E5" s="8" t="s">
        <v>10</v>
      </c>
      <c r="F5" s="50">
        <v>1</v>
      </c>
      <c r="G5" s="24" t="s">
        <v>15</v>
      </c>
      <c r="H5" s="25" t="s">
        <v>6</v>
      </c>
      <c r="I5" s="48"/>
      <c r="J5" s="7" t="s">
        <v>32</v>
      </c>
      <c r="K5" s="8">
        <v>23790</v>
      </c>
      <c r="L5" s="8">
        <v>710</v>
      </c>
      <c r="M5" s="23">
        <v>10</v>
      </c>
      <c r="N5" s="28" t="s">
        <v>10</v>
      </c>
      <c r="O5" s="29">
        <v>1</v>
      </c>
      <c r="P5" s="24" t="s">
        <v>31</v>
      </c>
      <c r="Q5" s="25" t="s">
        <v>7</v>
      </c>
      <c r="R5" s="41"/>
      <c r="S5" s="7" t="s">
        <v>32</v>
      </c>
      <c r="T5" s="8">
        <v>23790</v>
      </c>
      <c r="U5" s="8">
        <v>710</v>
      </c>
      <c r="V5" s="4">
        <v>10</v>
      </c>
      <c r="W5" s="8" t="s">
        <v>10</v>
      </c>
      <c r="X5" s="50">
        <v>50</v>
      </c>
      <c r="Y5" s="24" t="s">
        <v>30</v>
      </c>
      <c r="Z5" s="25" t="s">
        <v>6</v>
      </c>
      <c r="AA5" s="48"/>
    </row>
    <row r="6" spans="1:27" ht="14.25">
      <c r="A6" s="52" t="s">
        <v>16</v>
      </c>
      <c r="B6" s="53"/>
      <c r="C6" s="6" t="s">
        <v>17</v>
      </c>
      <c r="D6" s="6" t="s">
        <v>33</v>
      </c>
      <c r="E6" s="83" t="s">
        <v>34</v>
      </c>
      <c r="F6" s="85"/>
      <c r="G6" s="84"/>
      <c r="H6" s="26" t="s">
        <v>5</v>
      </c>
      <c r="I6" s="2"/>
      <c r="J6" s="42" t="s">
        <v>16</v>
      </c>
      <c r="K6" s="43"/>
      <c r="L6" s="18" t="s">
        <v>17</v>
      </c>
      <c r="M6" s="18" t="s">
        <v>33</v>
      </c>
      <c r="N6" s="83" t="s">
        <v>34</v>
      </c>
      <c r="O6" s="85"/>
      <c r="P6" s="84"/>
      <c r="Q6" s="26" t="s">
        <v>5</v>
      </c>
      <c r="R6" s="19"/>
      <c r="S6" s="52" t="s">
        <v>16</v>
      </c>
      <c r="T6" s="53"/>
      <c r="U6" s="6" t="s">
        <v>17</v>
      </c>
      <c r="V6" s="6" t="s">
        <v>33</v>
      </c>
      <c r="W6" s="83" t="s">
        <v>34</v>
      </c>
      <c r="X6" s="85"/>
      <c r="Y6" s="84"/>
      <c r="Z6" s="26" t="s">
        <v>5</v>
      </c>
      <c r="AA6" s="2"/>
    </row>
    <row r="7" spans="1:27" ht="15">
      <c r="A7" s="54">
        <f>((C5-(INT((D5*5)/2)-0.5)*0.18)-0.2)*2</f>
        <v>1410.78</v>
      </c>
      <c r="B7" s="54">
        <f>((C5-(INT((D5*5)/2)-0.5)*0.18)+0.2)*2</f>
        <v>1411.5800000000002</v>
      </c>
      <c r="C7" s="10" t="s">
        <v>9</v>
      </c>
      <c r="D7" s="10" t="s">
        <v>9</v>
      </c>
      <c r="E7" s="87" t="s">
        <v>35</v>
      </c>
      <c r="F7" s="88"/>
      <c r="G7" s="89"/>
      <c r="H7" s="75"/>
      <c r="I7" s="55" t="s">
        <v>36</v>
      </c>
      <c r="J7" s="54">
        <f>((L5+(INT((M5*5)/2)-0.5)*0.18)-0.2)*2</f>
        <v>1428.4199999999998</v>
      </c>
      <c r="K7" s="54">
        <f>((L5+(INT((M5*5)/2)-0.5)*0.18)+0.2)*2</f>
        <v>1429.22</v>
      </c>
      <c r="L7" s="10" t="s">
        <v>9</v>
      </c>
      <c r="M7" s="10" t="s">
        <v>9</v>
      </c>
      <c r="N7" s="87" t="s">
        <v>35</v>
      </c>
      <c r="O7" s="88"/>
      <c r="P7" s="89"/>
      <c r="Q7" s="75"/>
      <c r="R7" s="55" t="s">
        <v>36</v>
      </c>
      <c r="S7" s="54">
        <f>(U5-V5/2)*2</f>
        <v>1410</v>
      </c>
      <c r="T7" s="54">
        <f>(U5+V5/2)*2</f>
        <v>1430</v>
      </c>
      <c r="U7" s="10" t="s">
        <v>9</v>
      </c>
      <c r="V7" s="10" t="s">
        <v>9</v>
      </c>
      <c r="W7" s="87" t="s">
        <v>35</v>
      </c>
      <c r="X7" s="88"/>
      <c r="Y7" s="89"/>
      <c r="Z7" s="75"/>
      <c r="AA7" s="55" t="s">
        <v>36</v>
      </c>
    </row>
    <row r="8" spans="1:27" ht="15">
      <c r="A8" s="54">
        <f>((C5-(INT((D5*5)/2)-0.5)*0.18)-0.2)*3</f>
        <v>2116.17</v>
      </c>
      <c r="B8" s="54">
        <f>((C5-(INT((D5*5)/2)-0.5)*0.18)+0.2)*3</f>
        <v>2117.3700000000003</v>
      </c>
      <c r="C8" s="10" t="s">
        <v>9</v>
      </c>
      <c r="D8" s="10" t="s">
        <v>9</v>
      </c>
      <c r="E8" s="87" t="s">
        <v>35</v>
      </c>
      <c r="F8" s="88"/>
      <c r="G8" s="89"/>
      <c r="H8" s="75"/>
      <c r="I8" s="55" t="s">
        <v>37</v>
      </c>
      <c r="J8" s="54">
        <f>((L5+(INT((M5*5)/2)-0.5)*0.18)-0.2)*3</f>
        <v>2142.6299999999997</v>
      </c>
      <c r="K8" s="54">
        <f>((L5+(INT((M5*5)/2)-0.5)*0.18)+0.2)*3</f>
        <v>2143.83</v>
      </c>
      <c r="L8" s="10" t="s">
        <v>9</v>
      </c>
      <c r="M8" s="10" t="s">
        <v>9</v>
      </c>
      <c r="N8" s="87" t="s">
        <v>35</v>
      </c>
      <c r="O8" s="88"/>
      <c r="P8" s="89"/>
      <c r="Q8" s="75"/>
      <c r="R8" s="55" t="s">
        <v>37</v>
      </c>
      <c r="S8" s="54">
        <f>(U5-V5/2)*3</f>
        <v>2115</v>
      </c>
      <c r="T8" s="54">
        <f>(U5+V5/2)*3</f>
        <v>2145</v>
      </c>
      <c r="U8" s="10" t="s">
        <v>9</v>
      </c>
      <c r="V8" s="10" t="s">
        <v>9</v>
      </c>
      <c r="W8" s="87" t="s">
        <v>35</v>
      </c>
      <c r="X8" s="88"/>
      <c r="Y8" s="89"/>
      <c r="Z8" s="75"/>
      <c r="AA8" s="55" t="s">
        <v>37</v>
      </c>
    </row>
    <row r="9" spans="1:27" ht="15">
      <c r="A9" s="54">
        <f>((C5-(INT((D5*5)/2)-0.5)*0.18)-0.2)*4</f>
        <v>2821.56</v>
      </c>
      <c r="B9" s="54">
        <f>((C5-(INT((D5*5)/2)-0.5)*0.18)+0.2)*4</f>
        <v>2823.1600000000003</v>
      </c>
      <c r="C9" s="10" t="s">
        <v>9</v>
      </c>
      <c r="D9" s="10" t="s">
        <v>9</v>
      </c>
      <c r="E9" s="87" t="s">
        <v>39</v>
      </c>
      <c r="F9" s="88"/>
      <c r="G9" s="89"/>
      <c r="H9" s="75"/>
      <c r="I9" s="55" t="s">
        <v>38</v>
      </c>
      <c r="J9" s="54">
        <f>((L5+(INT((M5*5)/2)-0.5)*0.18)-0.2)*4</f>
        <v>2856.8399999999997</v>
      </c>
      <c r="K9" s="54">
        <f>((L5+(INT((M5*5)/2)-0.5)*0.18)+0.2)*4</f>
        <v>2858.44</v>
      </c>
      <c r="L9" s="10" t="s">
        <v>9</v>
      </c>
      <c r="M9" s="10" t="s">
        <v>9</v>
      </c>
      <c r="N9" s="87" t="s">
        <v>39</v>
      </c>
      <c r="O9" s="88"/>
      <c r="P9" s="89"/>
      <c r="Q9" s="75"/>
      <c r="R9" s="55" t="s">
        <v>38</v>
      </c>
      <c r="S9" s="54">
        <f>(U5-V5/2)*4</f>
        <v>2820</v>
      </c>
      <c r="T9" s="54">
        <f>(U5+V5/2)*4</f>
        <v>2860</v>
      </c>
      <c r="U9" s="10" t="s">
        <v>9</v>
      </c>
      <c r="V9" s="10" t="s">
        <v>9</v>
      </c>
      <c r="W9" s="87" t="s">
        <v>39</v>
      </c>
      <c r="X9" s="88"/>
      <c r="Y9" s="89"/>
      <c r="Z9" s="75"/>
      <c r="AA9" s="55" t="s">
        <v>38</v>
      </c>
    </row>
    <row r="10" spans="1:27" ht="15">
      <c r="A10" s="54">
        <f>((C5-(INT((D5*5)/2)-0.5)*0.18)-0.2)*5</f>
        <v>3526.95</v>
      </c>
      <c r="B10" s="54">
        <f>((C5-(INT((D5*5)/2)-0.5)*0.18)+0.2)*5</f>
        <v>3528.9500000000003</v>
      </c>
      <c r="C10" s="10" t="s">
        <v>9</v>
      </c>
      <c r="D10" s="10" t="s">
        <v>9</v>
      </c>
      <c r="E10" s="87" t="s">
        <v>39</v>
      </c>
      <c r="F10" s="88"/>
      <c r="G10" s="89"/>
      <c r="H10" s="75"/>
      <c r="I10" s="55" t="s">
        <v>40</v>
      </c>
      <c r="J10" s="54">
        <f>((L5+(INT((M5*5)/2)-0.5)*0.18)-0.2)*5</f>
        <v>3571.0499999999997</v>
      </c>
      <c r="K10" s="54">
        <f>((L5+(INT((M5*5)/2)-0.5)*0.18)+0.2)*5</f>
        <v>3573.05</v>
      </c>
      <c r="L10" s="10" t="s">
        <v>9</v>
      </c>
      <c r="M10" s="10" t="s">
        <v>9</v>
      </c>
      <c r="N10" s="87" t="s">
        <v>39</v>
      </c>
      <c r="O10" s="88"/>
      <c r="P10" s="89"/>
      <c r="Q10" s="75"/>
      <c r="R10" s="55" t="s">
        <v>40</v>
      </c>
      <c r="S10" s="54">
        <f>(U5-V5/2)*5</f>
        <v>3525</v>
      </c>
      <c r="T10" s="54">
        <f>(U5+V5/2)*5</f>
        <v>3575</v>
      </c>
      <c r="U10" s="10" t="s">
        <v>9</v>
      </c>
      <c r="V10" s="10" t="s">
        <v>9</v>
      </c>
      <c r="W10" s="87" t="s">
        <v>39</v>
      </c>
      <c r="X10" s="88"/>
      <c r="Y10" s="89"/>
      <c r="Z10" s="75"/>
      <c r="AA10" s="55" t="s">
        <v>40</v>
      </c>
    </row>
    <row r="11" spans="1:27" ht="15">
      <c r="A11" s="54">
        <f>((C5-(INT((D5*5)/2)-0.5)*0.18)-0.2)*6</f>
        <v>4232.34</v>
      </c>
      <c r="B11" s="54">
        <f>((C5-(INT((D5*5)/2)-0.5)*0.18)+0.2)*6</f>
        <v>4234.7400000000007</v>
      </c>
      <c r="C11" s="10" t="s">
        <v>9</v>
      </c>
      <c r="D11" s="10" t="s">
        <v>9</v>
      </c>
      <c r="E11" s="87" t="s">
        <v>39</v>
      </c>
      <c r="F11" s="88"/>
      <c r="G11" s="89"/>
      <c r="H11" s="75"/>
      <c r="I11" s="55" t="s">
        <v>41</v>
      </c>
      <c r="J11" s="54">
        <f>((L5+(INT((M5*5)/2)-0.5)*0.18)-0.2)*6</f>
        <v>4285.2599999999993</v>
      </c>
      <c r="K11" s="54">
        <f>((L5+(INT((M5*5)/2)-0.5)*0.18)+0.2)*6</f>
        <v>4287.66</v>
      </c>
      <c r="L11" s="10" t="s">
        <v>9</v>
      </c>
      <c r="M11" s="10" t="s">
        <v>9</v>
      </c>
      <c r="N11" s="87" t="s">
        <v>39</v>
      </c>
      <c r="O11" s="88"/>
      <c r="P11" s="89"/>
      <c r="Q11" s="75"/>
      <c r="R11" s="55" t="s">
        <v>41</v>
      </c>
      <c r="S11" s="54">
        <f>(U5-V5/2)*6</f>
        <v>4230</v>
      </c>
      <c r="T11" s="54">
        <f>(U5+V5/2)*6</f>
        <v>4290</v>
      </c>
      <c r="U11" s="10" t="s">
        <v>9</v>
      </c>
      <c r="V11" s="10" t="s">
        <v>9</v>
      </c>
      <c r="W11" s="87" t="s">
        <v>39</v>
      </c>
      <c r="X11" s="88"/>
      <c r="Y11" s="89"/>
      <c r="Z11" s="75"/>
      <c r="AA11" s="55" t="s">
        <v>41</v>
      </c>
    </row>
    <row r="12" spans="1:27" ht="15">
      <c r="A12" s="54">
        <f>((C5-(INT((D5*5)/2)-0.5)*0.18)-0.2)*7</f>
        <v>4937.7299999999996</v>
      </c>
      <c r="B12" s="54">
        <f>((C5-(INT((D5*5)/2)-0.5)*0.18)+0.2)*7</f>
        <v>4940.5300000000007</v>
      </c>
      <c r="C12" s="10" t="s">
        <v>9</v>
      </c>
      <c r="D12" s="10" t="s">
        <v>9</v>
      </c>
      <c r="E12" s="87" t="s">
        <v>39</v>
      </c>
      <c r="F12" s="88"/>
      <c r="G12" s="89"/>
      <c r="H12" s="75"/>
      <c r="I12" s="55" t="s">
        <v>65</v>
      </c>
      <c r="J12" s="54">
        <f>((L5+(INT((M5*5)/2)-0.5)*0.18)-0.2)*7</f>
        <v>4999.4699999999993</v>
      </c>
      <c r="K12" s="54">
        <f>((L5+(INT((M5*5)/2)-0.5)*0.18)+0.2)*7</f>
        <v>5002.2700000000004</v>
      </c>
      <c r="L12" s="10" t="s">
        <v>9</v>
      </c>
      <c r="M12" s="10" t="s">
        <v>9</v>
      </c>
      <c r="N12" s="87" t="s">
        <v>39</v>
      </c>
      <c r="O12" s="88"/>
      <c r="P12" s="89"/>
      <c r="Q12" s="75"/>
      <c r="R12" s="55" t="s">
        <v>65</v>
      </c>
      <c r="S12" s="54">
        <f>(U5-V5/2)*7</f>
        <v>4935</v>
      </c>
      <c r="T12" s="54">
        <f>(U5+V5/2)*7</f>
        <v>5005</v>
      </c>
      <c r="U12" s="10" t="s">
        <v>9</v>
      </c>
      <c r="V12" s="10" t="s">
        <v>9</v>
      </c>
      <c r="W12" s="87" t="s">
        <v>39</v>
      </c>
      <c r="X12" s="88"/>
      <c r="Y12" s="89"/>
      <c r="Z12" s="75"/>
      <c r="AA12" s="55" t="s">
        <v>65</v>
      </c>
    </row>
    <row r="13" spans="1:27" ht="15">
      <c r="A13" s="54">
        <f>((C5-(INT((D5*5)/2)-0.5)*0.18)-0.2)*8</f>
        <v>5643.12</v>
      </c>
      <c r="B13" s="54">
        <f>((C5-(INT((D5*5)/2)-0.5)*0.18)+0.2)*8</f>
        <v>5646.3200000000006</v>
      </c>
      <c r="C13" s="10" t="s">
        <v>9</v>
      </c>
      <c r="D13" s="10" t="s">
        <v>9</v>
      </c>
      <c r="E13" s="87" t="s">
        <v>39</v>
      </c>
      <c r="F13" s="88"/>
      <c r="G13" s="89"/>
      <c r="H13" s="75"/>
      <c r="I13" s="55" t="s">
        <v>68</v>
      </c>
      <c r="J13" s="54">
        <f>((L5+(INT((M5*5)/2)-0.5)*0.18)-0.2)*8</f>
        <v>5713.6799999999994</v>
      </c>
      <c r="K13" s="54">
        <f>((L5+(INT((M5*5)/2)-0.5)*0.18)+0.2)*8</f>
        <v>5716.88</v>
      </c>
      <c r="L13" s="10" t="s">
        <v>9</v>
      </c>
      <c r="M13" s="10" t="s">
        <v>9</v>
      </c>
      <c r="N13" s="87" t="s">
        <v>39</v>
      </c>
      <c r="O13" s="88"/>
      <c r="P13" s="89"/>
      <c r="Q13" s="75"/>
      <c r="R13" s="55" t="s">
        <v>68</v>
      </c>
      <c r="S13" s="54">
        <f>(U5-V5/2)*8</f>
        <v>5640</v>
      </c>
      <c r="T13" s="54">
        <f>(U5+V5/2)*8</f>
        <v>5720</v>
      </c>
      <c r="U13" s="10" t="s">
        <v>9</v>
      </c>
      <c r="V13" s="10" t="s">
        <v>9</v>
      </c>
      <c r="W13" s="87" t="s">
        <v>39</v>
      </c>
      <c r="X13" s="88"/>
      <c r="Y13" s="89"/>
      <c r="Z13" s="75"/>
      <c r="AA13" s="55" t="s">
        <v>68</v>
      </c>
    </row>
    <row r="14" spans="1:27" ht="15">
      <c r="A14" s="54">
        <f>((C5-(INT((D5*5)/2)-0.5)*0.18)-0.2)*9</f>
        <v>6348.51</v>
      </c>
      <c r="B14" s="54">
        <f>((C5-(INT((D5*5)/2)-0.5)*0.18)+0.2)*9</f>
        <v>6352.1100000000006</v>
      </c>
      <c r="C14" s="10" t="s">
        <v>9</v>
      </c>
      <c r="D14" s="10" t="s">
        <v>9</v>
      </c>
      <c r="E14" s="87" t="s">
        <v>39</v>
      </c>
      <c r="F14" s="88"/>
      <c r="G14" s="89"/>
      <c r="H14" s="75"/>
      <c r="I14" s="55" t="s">
        <v>71</v>
      </c>
      <c r="J14" s="54">
        <f>((L5+(INT((M5*5)/2)-0.5)*0.18)-0.2)*9</f>
        <v>6427.8899999999994</v>
      </c>
      <c r="K14" s="54">
        <f>((L5+(INT((M5*5)/2)-0.5)*0.18)+0.2)*9</f>
        <v>6431.49</v>
      </c>
      <c r="L14" s="10" t="s">
        <v>9</v>
      </c>
      <c r="M14" s="10" t="s">
        <v>9</v>
      </c>
      <c r="N14" s="87" t="s">
        <v>39</v>
      </c>
      <c r="O14" s="88"/>
      <c r="P14" s="89"/>
      <c r="Q14" s="75"/>
      <c r="R14" s="55" t="s">
        <v>71</v>
      </c>
      <c r="S14" s="54">
        <f>(U5-V5/2)*9</f>
        <v>6345</v>
      </c>
      <c r="T14" s="54">
        <f>(U5+V5/2)*9</f>
        <v>6435</v>
      </c>
      <c r="U14" s="10" t="s">
        <v>9</v>
      </c>
      <c r="V14" s="10" t="s">
        <v>9</v>
      </c>
      <c r="W14" s="87" t="s">
        <v>39</v>
      </c>
      <c r="X14" s="88"/>
      <c r="Y14" s="89"/>
      <c r="Z14" s="75"/>
      <c r="AA14" s="55" t="s">
        <v>71</v>
      </c>
    </row>
    <row r="15" spans="1:27" ht="15">
      <c r="A15" s="54">
        <f>((C5-(INT((D5*5)/2)-0.5)*0.18)-0.2)*10</f>
        <v>7053.9</v>
      </c>
      <c r="B15" s="54">
        <f>((C5-(INT((D5*5)/2)-0.5)*0.18)+0.2)*10</f>
        <v>7057.9000000000005</v>
      </c>
      <c r="C15" s="10" t="s">
        <v>9</v>
      </c>
      <c r="D15" s="10" t="s">
        <v>9</v>
      </c>
      <c r="E15" s="87" t="s">
        <v>39</v>
      </c>
      <c r="F15" s="88"/>
      <c r="G15" s="89"/>
      <c r="H15" s="75"/>
      <c r="I15" s="55" t="s">
        <v>74</v>
      </c>
      <c r="J15" s="54">
        <f>((L5+(INT((M5*5)/2)-0.5)*0.18)-0.2)*10</f>
        <v>7142.0999999999995</v>
      </c>
      <c r="K15" s="54">
        <f>((L5+(INT((M5*5)/2)-0.5)*0.18)+0.2)*10</f>
        <v>7146.1</v>
      </c>
      <c r="L15" s="10" t="s">
        <v>9</v>
      </c>
      <c r="M15" s="10" t="s">
        <v>9</v>
      </c>
      <c r="N15" s="87" t="s">
        <v>39</v>
      </c>
      <c r="O15" s="88"/>
      <c r="P15" s="89"/>
      <c r="Q15" s="75"/>
      <c r="R15" s="55" t="s">
        <v>74</v>
      </c>
      <c r="S15" s="54">
        <f>(U5-V5/2)*10</f>
        <v>7050</v>
      </c>
      <c r="T15" s="54">
        <f>(U5+V5/2)*10</f>
        <v>7150</v>
      </c>
      <c r="U15" s="10" t="s">
        <v>9</v>
      </c>
      <c r="V15" s="10" t="s">
        <v>9</v>
      </c>
      <c r="W15" s="87" t="s">
        <v>39</v>
      </c>
      <c r="X15" s="88"/>
      <c r="Y15" s="89"/>
      <c r="Z15" s="75"/>
      <c r="AA15" s="55" t="s">
        <v>74</v>
      </c>
    </row>
    <row r="16" spans="1:27" ht="15">
      <c r="A16" s="54">
        <f>((C5-(INT((D5*5)/2)-0.5)*0.18)-0.2)*11</f>
        <v>7759.29</v>
      </c>
      <c r="B16" s="54">
        <f>((C5-(INT((D5*5)/2)-0.5)*0.18)+0.2)*11</f>
        <v>7763.6900000000005</v>
      </c>
      <c r="C16" s="10" t="s">
        <v>9</v>
      </c>
      <c r="D16" s="10" t="s">
        <v>9</v>
      </c>
      <c r="E16" s="87" t="s">
        <v>39</v>
      </c>
      <c r="F16" s="88"/>
      <c r="G16" s="89"/>
      <c r="H16" s="75"/>
      <c r="I16" s="55" t="s">
        <v>77</v>
      </c>
      <c r="J16" s="54">
        <f>((L5+(INT((M5*5)/2)-0.5)*0.18)-0.2)*11</f>
        <v>7856.3099999999995</v>
      </c>
      <c r="K16" s="54">
        <f>((L5+(INT((M5*5)/2)-0.5)*0.18)+0.2)*11</f>
        <v>7860.71</v>
      </c>
      <c r="L16" s="10" t="s">
        <v>9</v>
      </c>
      <c r="M16" s="10" t="s">
        <v>9</v>
      </c>
      <c r="N16" s="87" t="s">
        <v>39</v>
      </c>
      <c r="O16" s="88"/>
      <c r="P16" s="89"/>
      <c r="Q16" s="75"/>
      <c r="R16" s="55" t="s">
        <v>77</v>
      </c>
      <c r="S16" s="54">
        <f>(U5-V5/2)*11</f>
        <v>7755</v>
      </c>
      <c r="T16" s="54">
        <f>(U5+V5/2)*11</f>
        <v>7865</v>
      </c>
      <c r="U16" s="10" t="s">
        <v>9</v>
      </c>
      <c r="V16" s="10" t="s">
        <v>9</v>
      </c>
      <c r="W16" s="87" t="s">
        <v>39</v>
      </c>
      <c r="X16" s="88"/>
      <c r="Y16" s="89"/>
      <c r="Z16" s="75"/>
      <c r="AA16" s="55" t="s">
        <v>77</v>
      </c>
    </row>
    <row r="17" spans="1:27" ht="15">
      <c r="A17" s="54">
        <f>((C5-(INT((D5*5)/2)-0.5)*0.18)-0.2)*12</f>
        <v>8464.68</v>
      </c>
      <c r="B17" s="54">
        <f>((C5-(INT((D5*5)/2)-0.5)*0.18)+0.2)*12</f>
        <v>8469.4800000000014</v>
      </c>
      <c r="C17" s="10" t="s">
        <v>9</v>
      </c>
      <c r="D17" s="10" t="s">
        <v>9</v>
      </c>
      <c r="E17" s="87" t="s">
        <v>39</v>
      </c>
      <c r="F17" s="88"/>
      <c r="G17" s="89"/>
      <c r="H17" s="75"/>
      <c r="I17" s="55" t="s">
        <v>80</v>
      </c>
      <c r="J17" s="54">
        <f>((L5+(INT((M5*5)/2)-0.5)*0.18)-0.2)*12</f>
        <v>8570.5199999999986</v>
      </c>
      <c r="K17" s="54">
        <f>((L5+(INT((M5*5)/2)-0.5)*0.18)+0.2)*12</f>
        <v>8575.32</v>
      </c>
      <c r="L17" s="10" t="s">
        <v>9</v>
      </c>
      <c r="M17" s="10" t="s">
        <v>9</v>
      </c>
      <c r="N17" s="87" t="s">
        <v>39</v>
      </c>
      <c r="O17" s="88"/>
      <c r="P17" s="89"/>
      <c r="Q17" s="75"/>
      <c r="R17" s="55" t="s">
        <v>80</v>
      </c>
      <c r="S17" s="54">
        <f>(U5-V5/2)*12</f>
        <v>8460</v>
      </c>
      <c r="T17" s="54">
        <f>(U5+V5/2)*12</f>
        <v>8580</v>
      </c>
      <c r="U17" s="10" t="s">
        <v>9</v>
      </c>
      <c r="V17" s="10" t="s">
        <v>9</v>
      </c>
      <c r="W17" s="87" t="s">
        <v>39</v>
      </c>
      <c r="X17" s="88"/>
      <c r="Y17" s="89"/>
      <c r="Z17" s="75"/>
      <c r="AA17" s="55" t="s">
        <v>80</v>
      </c>
    </row>
    <row r="18" spans="1:27" ht="15">
      <c r="A18" s="54">
        <f>((C5-(INT((D5*5)/2)-0.5)*0.18)-0.2)*13</f>
        <v>9170.07</v>
      </c>
      <c r="B18" s="54">
        <f>((C5-(INT((D5*5)/2)-0.5)*0.18)+0.2)*13</f>
        <v>9175.27</v>
      </c>
      <c r="C18" s="10" t="s">
        <v>9</v>
      </c>
      <c r="D18" s="10" t="s">
        <v>9</v>
      </c>
      <c r="E18" s="87" t="s">
        <v>39</v>
      </c>
      <c r="F18" s="88"/>
      <c r="G18" s="89"/>
      <c r="H18" s="75"/>
      <c r="I18" s="55" t="s">
        <v>83</v>
      </c>
      <c r="J18" s="54">
        <f>((L5+(INT((M5*5)/2)-0.5)*0.18)-0.2)*13</f>
        <v>9284.73</v>
      </c>
      <c r="K18" s="54">
        <f>((L5+(INT((M5*5)/2)-0.5)*0.18)+0.2)*13</f>
        <v>9289.93</v>
      </c>
      <c r="L18" s="10" t="s">
        <v>9</v>
      </c>
      <c r="M18" s="10" t="s">
        <v>9</v>
      </c>
      <c r="N18" s="87" t="s">
        <v>39</v>
      </c>
      <c r="O18" s="88"/>
      <c r="P18" s="89"/>
      <c r="Q18" s="75"/>
      <c r="R18" s="55" t="s">
        <v>83</v>
      </c>
      <c r="S18" s="54">
        <f>(U5-V5/2)*13</f>
        <v>9165</v>
      </c>
      <c r="T18" s="54">
        <f>(U5+V5/2)*13</f>
        <v>9295</v>
      </c>
      <c r="U18" s="10" t="s">
        <v>9</v>
      </c>
      <c r="V18" s="10" t="s">
        <v>9</v>
      </c>
      <c r="W18" s="87" t="s">
        <v>39</v>
      </c>
      <c r="X18" s="88"/>
      <c r="Y18" s="89"/>
      <c r="Z18" s="75"/>
      <c r="AA18" s="55" t="s">
        <v>83</v>
      </c>
    </row>
    <row r="19" spans="1:27" ht="15">
      <c r="A19" s="54">
        <f>((C5-(INT((D5*5)/2)-0.5)*0.18)-0.2)*14</f>
        <v>9875.4599999999991</v>
      </c>
      <c r="B19" s="54">
        <f>((C5-(INT((D5*5)/2)-0.5)*0.18)+0.2)*14</f>
        <v>9881.0600000000013</v>
      </c>
      <c r="C19" s="10" t="s">
        <v>9</v>
      </c>
      <c r="D19" s="10" t="s">
        <v>9</v>
      </c>
      <c r="E19" s="87" t="s">
        <v>39</v>
      </c>
      <c r="F19" s="88"/>
      <c r="G19" s="89"/>
      <c r="H19" s="75"/>
      <c r="I19" s="55" t="s">
        <v>86</v>
      </c>
      <c r="J19" s="54">
        <f>((L5+(INT((M5*5)/2)-0.5)*0.18)-0.2)*14</f>
        <v>9998.9399999999987</v>
      </c>
      <c r="K19" s="54">
        <f>((L5+(INT((M5*5)/2)-0.5)*0.18)+0.2)*14</f>
        <v>10004.540000000001</v>
      </c>
      <c r="L19" s="10" t="s">
        <v>9</v>
      </c>
      <c r="M19" s="10" t="s">
        <v>9</v>
      </c>
      <c r="N19" s="87" t="s">
        <v>39</v>
      </c>
      <c r="O19" s="88"/>
      <c r="P19" s="89"/>
      <c r="Q19" s="75"/>
      <c r="R19" s="55" t="s">
        <v>86</v>
      </c>
      <c r="S19" s="54">
        <f>(U5-V5/2)*14</f>
        <v>9870</v>
      </c>
      <c r="T19" s="54">
        <f>(U5+V5/2)*14</f>
        <v>10010</v>
      </c>
      <c r="U19" s="10" t="s">
        <v>9</v>
      </c>
      <c r="V19" s="10" t="s">
        <v>9</v>
      </c>
      <c r="W19" s="87" t="s">
        <v>39</v>
      </c>
      <c r="X19" s="88"/>
      <c r="Y19" s="89"/>
      <c r="Z19" s="75"/>
      <c r="AA19" s="55" t="s">
        <v>86</v>
      </c>
    </row>
    <row r="20" spans="1:27" ht="15">
      <c r="A20" s="54">
        <f>((C5-(INT((D5*5)/2)-0.5)*0.18)-0.2)*15</f>
        <v>10580.85</v>
      </c>
      <c r="B20" s="54">
        <f>((C5-(INT((D5*5)/2)-0.5)*0.18)+0.2)*15</f>
        <v>10586.85</v>
      </c>
      <c r="C20" s="10" t="s">
        <v>9</v>
      </c>
      <c r="D20" s="10" t="s">
        <v>9</v>
      </c>
      <c r="E20" s="87" t="s">
        <v>39</v>
      </c>
      <c r="F20" s="88"/>
      <c r="G20" s="89"/>
      <c r="H20" s="75"/>
      <c r="I20" s="55" t="s">
        <v>90</v>
      </c>
      <c r="J20" s="54">
        <f>((L5+(INT((M5*5)/2)-0.5)*0.18)-0.2)*15</f>
        <v>10713.15</v>
      </c>
      <c r="K20" s="54">
        <f>((L5+(INT((M5*5)/2)-0.5)*0.18)+0.2)*15</f>
        <v>10719.15</v>
      </c>
      <c r="L20" s="10" t="s">
        <v>9</v>
      </c>
      <c r="M20" s="10" t="s">
        <v>9</v>
      </c>
      <c r="N20" s="87" t="s">
        <v>39</v>
      </c>
      <c r="O20" s="88"/>
      <c r="P20" s="89"/>
      <c r="Q20" s="75"/>
      <c r="R20" s="55" t="s">
        <v>90</v>
      </c>
      <c r="S20" s="54">
        <f>(U5-V5/2)*15</f>
        <v>10575</v>
      </c>
      <c r="T20" s="54">
        <f>(U5+V5/2)*15</f>
        <v>10725</v>
      </c>
      <c r="U20" s="10" t="s">
        <v>9</v>
      </c>
      <c r="V20" s="10" t="s">
        <v>9</v>
      </c>
      <c r="W20" s="87" t="s">
        <v>39</v>
      </c>
      <c r="X20" s="88"/>
      <c r="Y20" s="89"/>
      <c r="Z20" s="75"/>
      <c r="AA20" s="55" t="s">
        <v>90</v>
      </c>
    </row>
    <row r="21" spans="1:27" ht="15">
      <c r="A21" s="54">
        <f>((C5-(INT((D5*5)/2)-0.5)*0.18)-0.2)*16</f>
        <v>11286.24</v>
      </c>
      <c r="B21" s="54">
        <f>((C5-(INT((D5*5)/2)-0.5)*0.18)+0.2)*16</f>
        <v>11292.640000000001</v>
      </c>
      <c r="C21" s="10" t="s">
        <v>9</v>
      </c>
      <c r="D21" s="10" t="s">
        <v>9</v>
      </c>
      <c r="E21" s="87" t="s">
        <v>64</v>
      </c>
      <c r="F21" s="88"/>
      <c r="G21" s="89"/>
      <c r="H21" s="75"/>
      <c r="I21" s="55" t="s">
        <v>93</v>
      </c>
      <c r="J21" s="54">
        <f>((L5+(INT((M5*5)/2)-0.5)*0.18)-0.2)*16</f>
        <v>11427.359999999999</v>
      </c>
      <c r="K21" s="54">
        <f>((L5+(INT((M5*5)/2)-0.5)*0.18)+0.2)*16</f>
        <v>11433.76</v>
      </c>
      <c r="L21" s="10" t="s">
        <v>9</v>
      </c>
      <c r="M21" s="10" t="s">
        <v>9</v>
      </c>
      <c r="N21" s="87" t="s">
        <v>64</v>
      </c>
      <c r="O21" s="88"/>
      <c r="P21" s="89"/>
      <c r="Q21" s="75"/>
      <c r="R21" s="55" t="s">
        <v>93</v>
      </c>
      <c r="S21" s="54">
        <f>(U5-V5/2)*16</f>
        <v>11280</v>
      </c>
      <c r="T21" s="54">
        <f>(U5+V5/2)*16</f>
        <v>11440</v>
      </c>
      <c r="U21" s="10" t="s">
        <v>9</v>
      </c>
      <c r="V21" s="10" t="s">
        <v>9</v>
      </c>
      <c r="W21" s="87" t="s">
        <v>64</v>
      </c>
      <c r="X21" s="88"/>
      <c r="Y21" s="89"/>
      <c r="Z21" s="75"/>
      <c r="AA21" s="55" t="s">
        <v>93</v>
      </c>
    </row>
    <row r="22" spans="1:27" ht="15">
      <c r="A22" s="54">
        <f>((C5-(INT((D5*5)/2)-0.5)*0.18)-0.2)*17</f>
        <v>11991.63</v>
      </c>
      <c r="B22" s="54">
        <f>((C5-(INT((D5*5)/2)-0.5)*0.18)+0.2)*17</f>
        <v>11998.430000000002</v>
      </c>
      <c r="C22" s="10" t="s">
        <v>9</v>
      </c>
      <c r="D22" s="10" t="s">
        <v>9</v>
      </c>
      <c r="E22" s="87" t="s">
        <v>67</v>
      </c>
      <c r="F22" s="88"/>
      <c r="G22" s="89"/>
      <c r="H22" s="75"/>
      <c r="I22" s="55" t="s">
        <v>96</v>
      </c>
      <c r="J22" s="54">
        <f>((L5+(INT((M5*5)/2)-0.5)*0.18)-0.2)*17</f>
        <v>12141.569999999998</v>
      </c>
      <c r="K22" s="54">
        <f>((L5+(INT((M5*5)/2)-0.5)*0.18)+0.2)*17</f>
        <v>12148.37</v>
      </c>
      <c r="L22" s="10" t="s">
        <v>9</v>
      </c>
      <c r="M22" s="10" t="s">
        <v>9</v>
      </c>
      <c r="N22" s="87" t="s">
        <v>67</v>
      </c>
      <c r="O22" s="88"/>
      <c r="P22" s="89"/>
      <c r="Q22" s="75">
        <v>-68.447999999999993</v>
      </c>
      <c r="R22" s="55" t="s">
        <v>96</v>
      </c>
      <c r="S22" s="54">
        <f>(U5-V5/2)*17</f>
        <v>11985</v>
      </c>
      <c r="T22" s="54">
        <f>(U5+V5/2)*17</f>
        <v>12155</v>
      </c>
      <c r="U22" s="10" t="s">
        <v>9</v>
      </c>
      <c r="V22" s="10" t="s">
        <v>9</v>
      </c>
      <c r="W22" s="87" t="s">
        <v>67</v>
      </c>
      <c r="X22" s="88"/>
      <c r="Y22" s="89"/>
      <c r="Z22" s="75"/>
      <c r="AA22" s="55" t="s">
        <v>96</v>
      </c>
    </row>
  </sheetData>
  <mergeCells count="55">
    <mergeCell ref="E22:G22"/>
    <mergeCell ref="N22:P22"/>
    <mergeCell ref="W22:Y22"/>
    <mergeCell ref="E21:G21"/>
    <mergeCell ref="N21:P21"/>
    <mergeCell ref="W21:Y21"/>
    <mergeCell ref="E20:G20"/>
    <mergeCell ref="N20:P20"/>
    <mergeCell ref="W20:Y20"/>
    <mergeCell ref="E19:G19"/>
    <mergeCell ref="N19:P19"/>
    <mergeCell ref="W19:Y19"/>
    <mergeCell ref="E18:G18"/>
    <mergeCell ref="N18:P18"/>
    <mergeCell ref="W18:Y18"/>
    <mergeCell ref="E17:G17"/>
    <mergeCell ref="N17:P17"/>
    <mergeCell ref="W17:Y17"/>
    <mergeCell ref="E16:G16"/>
    <mergeCell ref="N16:P16"/>
    <mergeCell ref="W16:Y16"/>
    <mergeCell ref="E15:G15"/>
    <mergeCell ref="N15:P15"/>
    <mergeCell ref="W15:Y15"/>
    <mergeCell ref="E14:G14"/>
    <mergeCell ref="N14:P14"/>
    <mergeCell ref="W14:Y14"/>
    <mergeCell ref="E13:G13"/>
    <mergeCell ref="N13:P13"/>
    <mergeCell ref="W13:Y13"/>
    <mergeCell ref="E12:G12"/>
    <mergeCell ref="N12:P12"/>
    <mergeCell ref="W12:Y12"/>
    <mergeCell ref="E11:G11"/>
    <mergeCell ref="N11:P11"/>
    <mergeCell ref="W11:Y11"/>
    <mergeCell ref="E10:G10"/>
    <mergeCell ref="N10:P10"/>
    <mergeCell ref="W10:Y10"/>
    <mergeCell ref="E9:G9"/>
    <mergeCell ref="N9:P9"/>
    <mergeCell ref="W9:Y9"/>
    <mergeCell ref="E8:G8"/>
    <mergeCell ref="N8:P8"/>
    <mergeCell ref="W8:Y8"/>
    <mergeCell ref="E7:G7"/>
    <mergeCell ref="N7:P7"/>
    <mergeCell ref="W7:Y7"/>
    <mergeCell ref="E6:G6"/>
    <mergeCell ref="N6:P6"/>
    <mergeCell ref="W6:Y6"/>
    <mergeCell ref="B1:K1"/>
    <mergeCell ref="B2:J2"/>
    <mergeCell ref="B3:J3"/>
    <mergeCell ref="L1:V1"/>
  </mergeCells>
  <phoneticPr fontId="18" type="noConversion"/>
  <conditionalFormatting sqref="Q7">
    <cfRule type="containsBlanks" priority="70" stopIfTrue="1">
      <formula>LEN(TRIM(Q7))=0</formula>
    </cfRule>
    <cfRule type="cellIs" dxfId="1729" priority="71" stopIfTrue="1" operator="greaterThan">
      <formula>-30</formula>
    </cfRule>
    <cfRule type="cellIs" dxfId="1728" priority="72" stopIfTrue="1" operator="between">
      <formula>-33</formula>
      <formula>-30</formula>
    </cfRule>
  </conditionalFormatting>
  <conditionalFormatting sqref="Q8">
    <cfRule type="containsBlanks" priority="67" stopIfTrue="1">
      <formula>LEN(TRIM(Q8))=0</formula>
    </cfRule>
    <cfRule type="cellIs" dxfId="1727" priority="68" stopIfTrue="1" operator="greaterThan">
      <formula>-30</formula>
    </cfRule>
    <cfRule type="cellIs" dxfId="1726" priority="69" stopIfTrue="1" operator="between">
      <formula>-33</formula>
      <formula>-30</formula>
    </cfRule>
  </conditionalFormatting>
  <conditionalFormatting sqref="Q9">
    <cfRule type="containsBlanks" priority="64" stopIfTrue="1">
      <formula>LEN(TRIM(Q9))=0</formula>
    </cfRule>
    <cfRule type="cellIs" dxfId="1725" priority="65" stopIfTrue="1" operator="greaterThan">
      <formula>-30</formula>
    </cfRule>
    <cfRule type="cellIs" dxfId="1724" priority="66" stopIfTrue="1" operator="between">
      <formula>-33</formula>
      <formula>-30</formula>
    </cfRule>
  </conditionalFormatting>
  <conditionalFormatting sqref="Q7">
    <cfRule type="containsBlanks" priority="52" stopIfTrue="1">
      <formula>LEN(TRIM(Q7))=0</formula>
    </cfRule>
    <cfRule type="cellIs" dxfId="1723" priority="53" stopIfTrue="1" operator="greaterThan">
      <formula>-30</formula>
    </cfRule>
    <cfRule type="cellIs" dxfId="1722" priority="54" stopIfTrue="1" operator="between">
      <formula>-33</formula>
      <formula>-30</formula>
    </cfRule>
  </conditionalFormatting>
  <conditionalFormatting sqref="Q8">
    <cfRule type="containsBlanks" priority="49" stopIfTrue="1">
      <formula>LEN(TRIM(Q8))=0</formula>
    </cfRule>
    <cfRule type="cellIs" dxfId="1721" priority="50" stopIfTrue="1" operator="greaterThan">
      <formula>-30</formula>
    </cfRule>
    <cfRule type="cellIs" dxfId="1720" priority="51" stopIfTrue="1" operator="between">
      <formula>-33</formula>
      <formula>-30</formula>
    </cfRule>
  </conditionalFormatting>
  <conditionalFormatting sqref="Q9">
    <cfRule type="containsBlanks" priority="46" stopIfTrue="1">
      <formula>LEN(TRIM(Q9))=0</formula>
    </cfRule>
    <cfRule type="cellIs" dxfId="1719" priority="47" stopIfTrue="1" operator="greaterThan">
      <formula>-30</formula>
    </cfRule>
    <cfRule type="cellIs" dxfId="1718" priority="48" stopIfTrue="1" operator="between">
      <formula>-33</formula>
      <formula>-30</formula>
    </cfRule>
  </conditionalFormatting>
  <conditionalFormatting sqref="Z7">
    <cfRule type="containsBlanks" priority="43" stopIfTrue="1">
      <formula>LEN(TRIM(Z7))=0</formula>
    </cfRule>
    <cfRule type="cellIs" dxfId="1717" priority="44" stopIfTrue="1" operator="greaterThan">
      <formula>-30</formula>
    </cfRule>
    <cfRule type="cellIs" dxfId="1716" priority="45" stopIfTrue="1" operator="between">
      <formula>-33</formula>
      <formula>-30</formula>
    </cfRule>
  </conditionalFormatting>
  <conditionalFormatting sqref="Z8">
    <cfRule type="containsBlanks" priority="40" stopIfTrue="1">
      <formula>LEN(TRIM(Z8))=0</formula>
    </cfRule>
    <cfRule type="cellIs" dxfId="1715" priority="41" stopIfTrue="1" operator="greaterThan">
      <formula>-30</formula>
    </cfRule>
    <cfRule type="cellIs" dxfId="1714" priority="42" stopIfTrue="1" operator="between">
      <formula>-33</formula>
      <formula>-30</formula>
    </cfRule>
  </conditionalFormatting>
  <conditionalFormatting sqref="Z9">
    <cfRule type="containsBlanks" priority="37" stopIfTrue="1">
      <formula>LEN(TRIM(Z9))=0</formula>
    </cfRule>
    <cfRule type="cellIs" dxfId="1713" priority="38" stopIfTrue="1" operator="greaterThan">
      <formula>-30</formula>
    </cfRule>
    <cfRule type="cellIs" dxfId="1712" priority="39" stopIfTrue="1" operator="between">
      <formula>-33</formula>
      <formula>-30</formula>
    </cfRule>
  </conditionalFormatting>
  <conditionalFormatting sqref="Q10">
    <cfRule type="containsBlanks" priority="28" stopIfTrue="1">
      <formula>LEN(TRIM(Q10))=0</formula>
    </cfRule>
    <cfRule type="cellIs" dxfId="1711" priority="29" stopIfTrue="1" operator="greaterThan">
      <formula>-30</formula>
    </cfRule>
    <cfRule type="cellIs" dxfId="1710" priority="30" stopIfTrue="1" operator="between">
      <formula>-33</formula>
      <formula>-30</formula>
    </cfRule>
  </conditionalFormatting>
  <conditionalFormatting sqref="H12:H22">
    <cfRule type="containsBlanks" priority="31" stopIfTrue="1">
      <formula>LEN(TRIM(H12))=0</formula>
    </cfRule>
    <cfRule type="cellIs" dxfId="1709" priority="32" stopIfTrue="1" operator="greaterThan">
      <formula>-30</formula>
    </cfRule>
    <cfRule type="cellIs" dxfId="1708" priority="33" stopIfTrue="1" operator="between">
      <formula>-33</formula>
      <formula>-30</formula>
    </cfRule>
  </conditionalFormatting>
  <conditionalFormatting sqref="Q11:Q22">
    <cfRule type="containsBlanks" priority="25" stopIfTrue="1">
      <formula>LEN(TRIM(Q11))=0</formula>
    </cfRule>
    <cfRule type="cellIs" dxfId="1707" priority="26" stopIfTrue="1" operator="greaterThan">
      <formula>-30</formula>
    </cfRule>
    <cfRule type="cellIs" dxfId="1706" priority="27" stopIfTrue="1" operator="between">
      <formula>-33</formula>
      <formula>-30</formula>
    </cfRule>
  </conditionalFormatting>
  <conditionalFormatting sqref="Q10">
    <cfRule type="containsBlanks" priority="16" stopIfTrue="1">
      <formula>LEN(TRIM(Q10))=0</formula>
    </cfRule>
    <cfRule type="cellIs" dxfId="1705" priority="17" stopIfTrue="1" operator="greaterThan">
      <formula>-30</formula>
    </cfRule>
    <cfRule type="cellIs" dxfId="1704" priority="18" stopIfTrue="1" operator="between">
      <formula>-33</formula>
      <formula>-30</formula>
    </cfRule>
  </conditionalFormatting>
  <conditionalFormatting sqref="H12:H22">
    <cfRule type="containsBlanks" priority="19" stopIfTrue="1">
      <formula>LEN(TRIM(H12))=0</formula>
    </cfRule>
    <cfRule type="cellIs" dxfId="1703" priority="20" stopIfTrue="1" operator="greaterThan">
      <formula>-30</formula>
    </cfRule>
    <cfRule type="cellIs" dxfId="1702" priority="21" stopIfTrue="1" operator="between">
      <formula>-33</formula>
      <formula>-30</formula>
    </cfRule>
  </conditionalFormatting>
  <conditionalFormatting sqref="Q11:Q22">
    <cfRule type="containsBlanks" priority="13" stopIfTrue="1">
      <formula>LEN(TRIM(Q11))=0</formula>
    </cfRule>
    <cfRule type="cellIs" dxfId="1701" priority="14" stopIfTrue="1" operator="greaterThan">
      <formula>-30</formula>
    </cfRule>
    <cfRule type="cellIs" dxfId="1700" priority="15" stopIfTrue="1" operator="between">
      <formula>-33</formula>
      <formula>-30</formula>
    </cfRule>
  </conditionalFormatting>
  <conditionalFormatting sqref="Z10">
    <cfRule type="containsBlanks" priority="10" stopIfTrue="1">
      <formula>LEN(TRIM(Z10))=0</formula>
    </cfRule>
    <cfRule type="cellIs" dxfId="1699" priority="11" stopIfTrue="1" operator="greaterThan">
      <formula>-30</formula>
    </cfRule>
    <cfRule type="cellIs" dxfId="1698" priority="12" stopIfTrue="1" operator="between">
      <formula>-33</formula>
      <formula>-30</formula>
    </cfRule>
  </conditionalFormatting>
  <conditionalFormatting sqref="Z11:Z22">
    <cfRule type="containsBlanks" priority="7" stopIfTrue="1">
      <formula>LEN(TRIM(Z11))=0</formula>
    </cfRule>
    <cfRule type="cellIs" dxfId="1697" priority="8" stopIfTrue="1" operator="greaterThan">
      <formula>-30</formula>
    </cfRule>
    <cfRule type="cellIs" dxfId="1696" priority="9" stopIfTrue="1" operator="between">
      <formula>-33</formula>
      <formula>-30</formula>
    </cfRule>
  </conditionalFormatting>
  <conditionalFormatting sqref="H7:H11">
    <cfRule type="containsBlanks" priority="4" stopIfTrue="1">
      <formula>LEN(TRIM(H7))=0</formula>
    </cfRule>
    <cfRule type="cellIs" dxfId="1695" priority="5" stopIfTrue="1" operator="greaterThan">
      <formula>-30</formula>
    </cfRule>
    <cfRule type="cellIs" dxfId="1694" priority="6" stopIfTrue="1" operator="between">
      <formula>-33</formula>
      <formula>-30</formula>
    </cfRule>
  </conditionalFormatting>
  <conditionalFormatting sqref="H7:H11">
    <cfRule type="containsBlanks" priority="1" stopIfTrue="1">
      <formula>LEN(TRIM(H7))=0</formula>
    </cfRule>
    <cfRule type="cellIs" dxfId="1693" priority="2" stopIfTrue="1" operator="greaterThan">
      <formula>-30</formula>
    </cfRule>
    <cfRule type="cellIs" dxfId="1692" priority="3" stopIfTrue="1" operator="between">
      <formula>-33</formula>
      <formula>-30</formula>
    </cfRule>
  </conditionalFormatting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BJ22"/>
  <sheetViews>
    <sheetView topLeftCell="W1" zoomScale="70" zoomScaleNormal="70" workbookViewId="0">
      <selection activeCell="AI8" sqref="AI8:AI22"/>
    </sheetView>
  </sheetViews>
  <sheetFormatPr defaultRowHeight="13.5"/>
  <sheetData>
    <row r="1" spans="1:62" s="2" customFormat="1" ht="35.25" customHeight="1">
      <c r="A1" s="1" t="s">
        <v>141</v>
      </c>
      <c r="B1" s="78" t="s">
        <v>99</v>
      </c>
      <c r="C1" s="78"/>
      <c r="D1" s="78"/>
      <c r="E1" s="78"/>
      <c r="F1" s="78"/>
      <c r="G1" s="78"/>
      <c r="H1" s="78"/>
      <c r="I1" s="78"/>
      <c r="J1" s="78"/>
      <c r="K1" s="91" t="s">
        <v>100</v>
      </c>
      <c r="L1" s="91"/>
      <c r="M1" s="91"/>
      <c r="N1" s="91"/>
      <c r="O1" s="91"/>
      <c r="P1" s="91"/>
      <c r="Q1" s="91"/>
      <c r="R1" s="91"/>
      <c r="S1" s="91"/>
      <c r="T1" s="91"/>
      <c r="U1" s="91"/>
    </row>
    <row r="2" spans="1:62" ht="14.25">
      <c r="A2" s="3" t="s">
        <v>23</v>
      </c>
      <c r="B2" s="79" t="s">
        <v>24</v>
      </c>
      <c r="C2" s="80"/>
      <c r="D2" s="80"/>
      <c r="E2" s="80"/>
      <c r="F2" s="80"/>
      <c r="G2" s="80"/>
      <c r="H2" s="80"/>
    </row>
    <row r="3" spans="1:62" ht="14.25">
      <c r="A3" s="3" t="s">
        <v>0</v>
      </c>
      <c r="B3" s="79" t="s">
        <v>25</v>
      </c>
      <c r="C3" s="80"/>
      <c r="D3" s="80"/>
      <c r="E3" s="80"/>
      <c r="F3" s="80"/>
      <c r="G3" s="80"/>
      <c r="H3" s="80"/>
    </row>
    <row r="4" spans="1:62" ht="14.25">
      <c r="A4" s="9" t="s">
        <v>101</v>
      </c>
      <c r="B4" s="67" t="s">
        <v>55</v>
      </c>
      <c r="C4" s="68"/>
      <c r="D4" s="68"/>
      <c r="E4" s="68"/>
      <c r="F4" s="68"/>
      <c r="G4" s="68"/>
      <c r="H4" s="68"/>
    </row>
    <row r="5" spans="1:62" ht="14.25" customHeight="1">
      <c r="A5" s="19" t="s">
        <v>167</v>
      </c>
      <c r="B5" s="5" t="s">
        <v>142</v>
      </c>
      <c r="C5" s="5" t="s">
        <v>143</v>
      </c>
      <c r="D5" s="5" t="s">
        <v>144</v>
      </c>
      <c r="E5" s="20" t="s">
        <v>145</v>
      </c>
      <c r="F5" s="20" t="s">
        <v>146</v>
      </c>
      <c r="G5" s="21" t="s">
        <v>3</v>
      </c>
      <c r="H5" s="69" t="s">
        <v>4</v>
      </c>
      <c r="I5" s="92" t="s">
        <v>147</v>
      </c>
      <c r="J5" s="19" t="s">
        <v>167</v>
      </c>
      <c r="K5" s="5" t="s">
        <v>142</v>
      </c>
      <c r="L5" s="5" t="s">
        <v>143</v>
      </c>
      <c r="M5" s="5" t="s">
        <v>144</v>
      </c>
      <c r="N5" s="20" t="s">
        <v>145</v>
      </c>
      <c r="O5" s="20" t="s">
        <v>146</v>
      </c>
      <c r="P5" s="21" t="s">
        <v>3</v>
      </c>
      <c r="Q5" s="69" t="s">
        <v>4</v>
      </c>
      <c r="R5" s="92" t="s">
        <v>147</v>
      </c>
      <c r="S5" s="19" t="s">
        <v>167</v>
      </c>
      <c r="T5" s="5" t="s">
        <v>142</v>
      </c>
      <c r="U5" s="5" t="s">
        <v>143</v>
      </c>
      <c r="V5" s="5" t="s">
        <v>144</v>
      </c>
      <c r="W5" s="20" t="s">
        <v>145</v>
      </c>
      <c r="X5" s="20" t="s">
        <v>146</v>
      </c>
      <c r="Y5" s="21" t="s">
        <v>3</v>
      </c>
      <c r="Z5" s="69" t="s">
        <v>4</v>
      </c>
      <c r="AA5" s="92" t="s">
        <v>147</v>
      </c>
      <c r="AB5" s="19" t="s">
        <v>167</v>
      </c>
      <c r="AC5" s="5" t="s">
        <v>142</v>
      </c>
      <c r="AD5" s="5" t="s">
        <v>143</v>
      </c>
      <c r="AE5" s="5" t="s">
        <v>144</v>
      </c>
      <c r="AF5" s="20" t="s">
        <v>145</v>
      </c>
      <c r="AG5" s="20" t="s">
        <v>146</v>
      </c>
      <c r="AH5" s="21" t="s">
        <v>3</v>
      </c>
      <c r="AI5" s="69" t="s">
        <v>4</v>
      </c>
      <c r="AJ5" s="92" t="s">
        <v>147</v>
      </c>
      <c r="AK5" s="19" t="s">
        <v>167</v>
      </c>
      <c r="AL5" s="5" t="s">
        <v>142</v>
      </c>
      <c r="AM5" s="5" t="s">
        <v>143</v>
      </c>
      <c r="AN5" s="5" t="s">
        <v>144</v>
      </c>
      <c r="AO5" s="20" t="s">
        <v>145</v>
      </c>
      <c r="AP5" s="20" t="s">
        <v>146</v>
      </c>
      <c r="AQ5" s="21" t="s">
        <v>3</v>
      </c>
      <c r="AR5" s="69" t="s">
        <v>4</v>
      </c>
      <c r="AS5" s="92" t="s">
        <v>147</v>
      </c>
      <c r="AT5" s="19" t="s">
        <v>167</v>
      </c>
      <c r="AU5" s="5" t="s">
        <v>142</v>
      </c>
      <c r="AV5" s="5" t="s">
        <v>143</v>
      </c>
      <c r="AW5" s="5" t="s">
        <v>144</v>
      </c>
      <c r="AX5" s="20" t="s">
        <v>145</v>
      </c>
      <c r="AY5" s="20" t="s">
        <v>146</v>
      </c>
      <c r="AZ5" s="21" t="s">
        <v>3</v>
      </c>
      <c r="BA5" s="69" t="s">
        <v>4</v>
      </c>
      <c r="BB5" s="92" t="s">
        <v>147</v>
      </c>
      <c r="BC5" s="19" t="s">
        <v>167</v>
      </c>
      <c r="BD5" s="5" t="s">
        <v>142</v>
      </c>
      <c r="BE5" s="5" t="s">
        <v>143</v>
      </c>
      <c r="BF5" s="5" t="s">
        <v>144</v>
      </c>
      <c r="BG5" s="20" t="s">
        <v>145</v>
      </c>
      <c r="BH5" s="20" t="s">
        <v>146</v>
      </c>
      <c r="BI5" s="21" t="s">
        <v>3</v>
      </c>
      <c r="BJ5" s="69" t="s">
        <v>4</v>
      </c>
    </row>
    <row r="6" spans="1:62" ht="15">
      <c r="A6" s="7" t="s">
        <v>148</v>
      </c>
      <c r="B6" s="70">
        <v>24025</v>
      </c>
      <c r="C6" s="70">
        <v>832.5</v>
      </c>
      <c r="D6" s="4">
        <v>5</v>
      </c>
      <c r="E6" s="28" t="s">
        <v>10</v>
      </c>
      <c r="F6" s="29">
        <v>1</v>
      </c>
      <c r="G6" s="24" t="s">
        <v>149</v>
      </c>
      <c r="H6" s="25" t="s">
        <v>6</v>
      </c>
      <c r="I6" s="93"/>
      <c r="J6" s="7" t="s">
        <v>148</v>
      </c>
      <c r="K6" s="70">
        <v>24075</v>
      </c>
      <c r="L6" s="70">
        <v>837.5</v>
      </c>
      <c r="M6" s="4">
        <v>5</v>
      </c>
      <c r="N6" s="28" t="s">
        <v>10</v>
      </c>
      <c r="O6" s="29">
        <v>1</v>
      </c>
      <c r="P6" s="24" t="s">
        <v>149</v>
      </c>
      <c r="Q6" s="25" t="s">
        <v>6</v>
      </c>
      <c r="R6" s="93"/>
      <c r="S6" s="24" t="s">
        <v>117</v>
      </c>
      <c r="T6" s="70">
        <v>24125</v>
      </c>
      <c r="U6" s="70">
        <v>842.5</v>
      </c>
      <c r="V6" s="4">
        <v>5</v>
      </c>
      <c r="W6" s="28" t="s">
        <v>10</v>
      </c>
      <c r="X6" s="29">
        <v>1</v>
      </c>
      <c r="Y6" s="24" t="s">
        <v>117</v>
      </c>
      <c r="Z6" s="25" t="s">
        <v>6</v>
      </c>
      <c r="AA6" s="93"/>
      <c r="AB6" s="7" t="s">
        <v>148</v>
      </c>
      <c r="AC6" s="70">
        <v>24025</v>
      </c>
      <c r="AD6" s="70">
        <v>832.5</v>
      </c>
      <c r="AE6" s="4">
        <v>5</v>
      </c>
      <c r="AF6" s="28" t="s">
        <v>10</v>
      </c>
      <c r="AG6" s="29">
        <v>25</v>
      </c>
      <c r="AH6" s="24" t="s">
        <v>149</v>
      </c>
      <c r="AI6" s="25" t="s">
        <v>6</v>
      </c>
      <c r="AJ6" s="93"/>
      <c r="AK6" s="7" t="s">
        <v>148</v>
      </c>
      <c r="AL6" s="70">
        <v>24075</v>
      </c>
      <c r="AM6" s="70">
        <v>837.5</v>
      </c>
      <c r="AN6" s="4">
        <v>5</v>
      </c>
      <c r="AO6" s="28" t="s">
        <v>10</v>
      </c>
      <c r="AP6" s="29">
        <v>25</v>
      </c>
      <c r="AQ6" s="24" t="s">
        <v>149</v>
      </c>
      <c r="AR6" s="25" t="s">
        <v>6</v>
      </c>
      <c r="AS6" s="93"/>
      <c r="AT6" s="24" t="s">
        <v>117</v>
      </c>
      <c r="AU6" s="70">
        <v>24125</v>
      </c>
      <c r="AV6" s="70">
        <v>842.5</v>
      </c>
      <c r="AW6" s="4">
        <v>5</v>
      </c>
      <c r="AX6" s="28" t="s">
        <v>10</v>
      </c>
      <c r="AY6" s="29">
        <v>25</v>
      </c>
      <c r="AZ6" s="24" t="s">
        <v>117</v>
      </c>
      <c r="BA6" s="25" t="s">
        <v>6</v>
      </c>
      <c r="BB6" s="93"/>
      <c r="BC6" s="7" t="s">
        <v>148</v>
      </c>
      <c r="BD6" s="70">
        <v>24075</v>
      </c>
      <c r="BE6" s="70">
        <v>837.5</v>
      </c>
      <c r="BF6" s="4">
        <v>15</v>
      </c>
      <c r="BG6" s="28" t="s">
        <v>10</v>
      </c>
      <c r="BH6" s="29">
        <v>75</v>
      </c>
      <c r="BI6" s="24" t="s">
        <v>149</v>
      </c>
      <c r="BJ6" s="25" t="s">
        <v>6</v>
      </c>
    </row>
    <row r="7" spans="1:62" ht="14.25">
      <c r="A7" s="83" t="s">
        <v>16</v>
      </c>
      <c r="B7" s="84"/>
      <c r="C7" s="6" t="s">
        <v>17</v>
      </c>
      <c r="D7" s="6" t="s">
        <v>33</v>
      </c>
      <c r="E7" s="83" t="s">
        <v>34</v>
      </c>
      <c r="F7" s="85"/>
      <c r="G7" s="84"/>
      <c r="H7" s="26" t="s">
        <v>5</v>
      </c>
      <c r="I7" s="71"/>
      <c r="J7" s="83" t="s">
        <v>16</v>
      </c>
      <c r="K7" s="84"/>
      <c r="L7" s="6" t="s">
        <v>17</v>
      </c>
      <c r="M7" s="6" t="s">
        <v>33</v>
      </c>
      <c r="N7" s="83" t="s">
        <v>34</v>
      </c>
      <c r="O7" s="85"/>
      <c r="P7" s="84"/>
      <c r="Q7" s="26" t="s">
        <v>5</v>
      </c>
      <c r="R7" s="71"/>
      <c r="S7" s="83" t="s">
        <v>16</v>
      </c>
      <c r="T7" s="84"/>
      <c r="U7" s="6" t="s">
        <v>17</v>
      </c>
      <c r="V7" s="6" t="s">
        <v>33</v>
      </c>
      <c r="W7" s="83" t="s">
        <v>34</v>
      </c>
      <c r="X7" s="85"/>
      <c r="Y7" s="84"/>
      <c r="Z7" s="26" t="s">
        <v>5</v>
      </c>
      <c r="AA7" s="71"/>
      <c r="AB7" s="83" t="s">
        <v>16</v>
      </c>
      <c r="AC7" s="84"/>
      <c r="AD7" s="6" t="s">
        <v>17</v>
      </c>
      <c r="AE7" s="6" t="s">
        <v>33</v>
      </c>
      <c r="AF7" s="83" t="s">
        <v>34</v>
      </c>
      <c r="AG7" s="85"/>
      <c r="AH7" s="84"/>
      <c r="AI7" s="26" t="s">
        <v>5</v>
      </c>
      <c r="AJ7" s="71"/>
      <c r="AK7" s="83" t="s">
        <v>16</v>
      </c>
      <c r="AL7" s="84"/>
      <c r="AM7" s="6" t="s">
        <v>17</v>
      </c>
      <c r="AN7" s="6" t="s">
        <v>33</v>
      </c>
      <c r="AO7" s="83" t="s">
        <v>34</v>
      </c>
      <c r="AP7" s="85"/>
      <c r="AQ7" s="84"/>
      <c r="AR7" s="26" t="s">
        <v>5</v>
      </c>
      <c r="AS7" s="71"/>
      <c r="AT7" s="83" t="s">
        <v>16</v>
      </c>
      <c r="AU7" s="84"/>
      <c r="AV7" s="6" t="s">
        <v>17</v>
      </c>
      <c r="AW7" s="6" t="s">
        <v>33</v>
      </c>
      <c r="AX7" s="83" t="s">
        <v>34</v>
      </c>
      <c r="AY7" s="85"/>
      <c r="AZ7" s="84"/>
      <c r="BA7" s="26" t="s">
        <v>5</v>
      </c>
      <c r="BB7" s="71"/>
      <c r="BC7" s="83" t="s">
        <v>16</v>
      </c>
      <c r="BD7" s="84"/>
      <c r="BE7" s="6" t="s">
        <v>17</v>
      </c>
      <c r="BF7" s="6" t="s">
        <v>33</v>
      </c>
      <c r="BG7" s="83" t="s">
        <v>34</v>
      </c>
      <c r="BH7" s="85"/>
      <c r="BI7" s="84"/>
      <c r="BJ7" s="26" t="s">
        <v>5</v>
      </c>
    </row>
    <row r="8" spans="1:62" ht="15">
      <c r="A8" s="54">
        <f>((C6-2.5*0.18)-0.2)*2</f>
        <v>1663.6999999999998</v>
      </c>
      <c r="B8" s="54">
        <f>((C6-2.5*0.18)+0.2)*2</f>
        <v>1664.5</v>
      </c>
      <c r="C8" s="10" t="s">
        <v>9</v>
      </c>
      <c r="D8" s="10" t="s">
        <v>9</v>
      </c>
      <c r="E8" s="87" t="s">
        <v>35</v>
      </c>
      <c r="F8" s="88"/>
      <c r="G8" s="89"/>
      <c r="H8" s="75"/>
      <c r="I8" s="55" t="s">
        <v>36</v>
      </c>
      <c r="J8" s="54">
        <f>((L6-2.5*0.18)-0.2)*2</f>
        <v>1673.6999999999998</v>
      </c>
      <c r="K8" s="54">
        <f>((L6-2.5*0.18)+0.2)*2</f>
        <v>1674.5</v>
      </c>
      <c r="L8" s="10" t="s">
        <v>9</v>
      </c>
      <c r="M8" s="10" t="s">
        <v>9</v>
      </c>
      <c r="N8" s="87" t="s">
        <v>35</v>
      </c>
      <c r="O8" s="88"/>
      <c r="P8" s="89"/>
      <c r="Q8" s="75"/>
      <c r="R8" s="55" t="s">
        <v>36</v>
      </c>
      <c r="S8" s="54">
        <f>((U6-INT((V6*5)/2)*0.18)-0.2)*2</f>
        <v>1680.28</v>
      </c>
      <c r="T8" s="54">
        <f>((U6-INT((V6*5)/2)*0.18)+0.2)*2</f>
        <v>1681.0800000000002</v>
      </c>
      <c r="U8" s="10" t="s">
        <v>9</v>
      </c>
      <c r="V8" s="10" t="s">
        <v>9</v>
      </c>
      <c r="W8" s="87" t="s">
        <v>35</v>
      </c>
      <c r="X8" s="88"/>
      <c r="Y8" s="89"/>
      <c r="Z8" s="75"/>
      <c r="AA8" s="55" t="s">
        <v>36</v>
      </c>
      <c r="AB8" s="54">
        <f>((AD6-INT((AE6*5)/2)*0.18)-0.2)*2</f>
        <v>1660.28</v>
      </c>
      <c r="AC8" s="54">
        <f>((AD6-INT((AE6*5)/2)*0.18)+0.2)*2</f>
        <v>1661.0800000000002</v>
      </c>
      <c r="AD8" s="10" t="s">
        <v>9</v>
      </c>
      <c r="AE8" s="10" t="s">
        <v>9</v>
      </c>
      <c r="AF8" s="87" t="s">
        <v>35</v>
      </c>
      <c r="AG8" s="88"/>
      <c r="AH8" s="89"/>
      <c r="AI8" s="75"/>
      <c r="AJ8" s="55" t="s">
        <v>36</v>
      </c>
      <c r="AK8" s="54">
        <f>((AM6+INT((AN6*5)/2)*0.18)-0.2)*2</f>
        <v>1678.9199999999998</v>
      </c>
      <c r="AL8" s="54">
        <f>((AM6+INT((AN6*5)/2)*0.18)+0.2)*2</f>
        <v>1679.72</v>
      </c>
      <c r="AM8" s="10" t="s">
        <v>9</v>
      </c>
      <c r="AN8" s="10" t="s">
        <v>9</v>
      </c>
      <c r="AO8" s="87" t="s">
        <v>35</v>
      </c>
      <c r="AP8" s="88"/>
      <c r="AQ8" s="89"/>
      <c r="AR8" s="75"/>
      <c r="AS8" s="55" t="s">
        <v>36</v>
      </c>
      <c r="AT8" s="54">
        <f>(AV6-AW6/2)*2</f>
        <v>1680</v>
      </c>
      <c r="AU8" s="54">
        <f>(AV6+AW6/2)*2</f>
        <v>1690</v>
      </c>
      <c r="AV8" s="10" t="s">
        <v>9</v>
      </c>
      <c r="AW8" s="10" t="s">
        <v>9</v>
      </c>
      <c r="AX8" s="87" t="s">
        <v>35</v>
      </c>
      <c r="AY8" s="88"/>
      <c r="AZ8" s="89"/>
      <c r="BA8" s="75"/>
      <c r="BB8" s="55" t="s">
        <v>36</v>
      </c>
      <c r="BC8" s="54">
        <f>(BE6-BF6/2)*2</f>
        <v>1660</v>
      </c>
      <c r="BD8" s="54">
        <f>(BE6+BF6/2)*2</f>
        <v>1690</v>
      </c>
      <c r="BE8" s="10" t="s">
        <v>9</v>
      </c>
      <c r="BF8" s="10" t="s">
        <v>9</v>
      </c>
      <c r="BG8" s="87" t="s">
        <v>35</v>
      </c>
      <c r="BH8" s="88"/>
      <c r="BI8" s="89"/>
      <c r="BJ8" s="75"/>
    </row>
    <row r="9" spans="1:62" ht="15">
      <c r="A9" s="54">
        <f>((C6-2.5*0.18)-0.2)*3</f>
        <v>2495.5499999999997</v>
      </c>
      <c r="B9" s="54">
        <f>((C6-2.5*0.18)+0.2)*2</f>
        <v>1664.5</v>
      </c>
      <c r="C9" s="10" t="s">
        <v>9</v>
      </c>
      <c r="D9" s="10" t="s">
        <v>9</v>
      </c>
      <c r="E9" s="87" t="s">
        <v>35</v>
      </c>
      <c r="F9" s="88"/>
      <c r="G9" s="89"/>
      <c r="H9" s="75"/>
      <c r="I9" s="55" t="s">
        <v>37</v>
      </c>
      <c r="J9" s="54">
        <f>((L6-2.5*0.18)-0.2)*3</f>
        <v>2510.5499999999997</v>
      </c>
      <c r="K9" s="54">
        <f>((L6-2.5*0.18)+0.2)*2</f>
        <v>1674.5</v>
      </c>
      <c r="L9" s="10" t="s">
        <v>9</v>
      </c>
      <c r="M9" s="10" t="s">
        <v>9</v>
      </c>
      <c r="N9" s="87" t="s">
        <v>35</v>
      </c>
      <c r="O9" s="88"/>
      <c r="P9" s="89"/>
      <c r="Q9" s="75"/>
      <c r="R9" s="55" t="s">
        <v>37</v>
      </c>
      <c r="S9" s="54">
        <f>((U6-INT((V6*5)/2)*0.18)-0.2)*3</f>
        <v>2520.42</v>
      </c>
      <c r="T9" s="54">
        <f>((U6-INT((V6*5)/2)*0.18)+0.2)*3</f>
        <v>2521.6200000000003</v>
      </c>
      <c r="U9" s="10" t="s">
        <v>9</v>
      </c>
      <c r="V9" s="10" t="s">
        <v>9</v>
      </c>
      <c r="W9" s="87" t="s">
        <v>35</v>
      </c>
      <c r="X9" s="88"/>
      <c r="Y9" s="89"/>
      <c r="Z9" s="75"/>
      <c r="AA9" s="55" t="s">
        <v>37</v>
      </c>
      <c r="AB9" s="54">
        <f>((AD6-INT((AE6*5)/2)*0.18)-0.2)*3</f>
        <v>2490.42</v>
      </c>
      <c r="AC9" s="54">
        <f>((AD6-INT((AE6*5)/2)*0.18)+0.2)*3</f>
        <v>2491.6200000000003</v>
      </c>
      <c r="AD9" s="10" t="s">
        <v>9</v>
      </c>
      <c r="AE9" s="10" t="s">
        <v>9</v>
      </c>
      <c r="AF9" s="87" t="s">
        <v>35</v>
      </c>
      <c r="AG9" s="88"/>
      <c r="AH9" s="89"/>
      <c r="AI9" s="75"/>
      <c r="AJ9" s="55" t="s">
        <v>37</v>
      </c>
      <c r="AK9" s="54">
        <f>((AM6+INT((AN6*5)/2)*0.18)-0.2)*3</f>
        <v>2518.3799999999997</v>
      </c>
      <c r="AL9" s="54">
        <f>((AM6+INT((AN6*5)/2)*0.18)+0.2)*3</f>
        <v>2519.58</v>
      </c>
      <c r="AM9" s="10" t="s">
        <v>9</v>
      </c>
      <c r="AN9" s="10" t="s">
        <v>9</v>
      </c>
      <c r="AO9" s="87" t="s">
        <v>35</v>
      </c>
      <c r="AP9" s="88"/>
      <c r="AQ9" s="89"/>
      <c r="AR9" s="75"/>
      <c r="AS9" s="55" t="s">
        <v>37</v>
      </c>
      <c r="AT9" s="54">
        <f>(AV6-AW6/2)*3</f>
        <v>2520</v>
      </c>
      <c r="AU9" s="54">
        <f>(AV6+AW6/2)*3</f>
        <v>2535</v>
      </c>
      <c r="AV9" s="10" t="s">
        <v>9</v>
      </c>
      <c r="AW9" s="10" t="s">
        <v>9</v>
      </c>
      <c r="AX9" s="87" t="s">
        <v>35</v>
      </c>
      <c r="AY9" s="88"/>
      <c r="AZ9" s="89"/>
      <c r="BA9" s="75"/>
      <c r="BB9" s="55" t="s">
        <v>37</v>
      </c>
      <c r="BC9" s="54">
        <f>(BE6-BF6/2)*3</f>
        <v>2490</v>
      </c>
      <c r="BD9" s="54">
        <f>(BE6+BF6/2)*3</f>
        <v>2535</v>
      </c>
      <c r="BE9" s="10" t="s">
        <v>9</v>
      </c>
      <c r="BF9" s="10" t="s">
        <v>9</v>
      </c>
      <c r="BG9" s="87" t="s">
        <v>35</v>
      </c>
      <c r="BH9" s="88"/>
      <c r="BI9" s="89"/>
      <c r="BJ9" s="75"/>
    </row>
    <row r="10" spans="1:62" ht="15">
      <c r="A10" s="54">
        <f>((C6-2.5*0.18)-0.2)*4</f>
        <v>3327.3999999999996</v>
      </c>
      <c r="B10" s="54">
        <f>((C6-2.5*0.18)+0.2)*4</f>
        <v>3329</v>
      </c>
      <c r="C10" s="10" t="s">
        <v>9</v>
      </c>
      <c r="D10" s="10" t="s">
        <v>9</v>
      </c>
      <c r="E10" s="90" t="s">
        <v>35</v>
      </c>
      <c r="F10" s="90"/>
      <c r="G10" s="90"/>
      <c r="H10" s="75"/>
      <c r="I10" s="55" t="s">
        <v>38</v>
      </c>
      <c r="J10" s="54">
        <f>((L6-2.5*0.18)-0.2)*4</f>
        <v>3347.3999999999996</v>
      </c>
      <c r="K10" s="54">
        <f>((L6-2.5*0.18)+0.2)*4</f>
        <v>3349</v>
      </c>
      <c r="L10" s="10" t="s">
        <v>9</v>
      </c>
      <c r="M10" s="10" t="s">
        <v>9</v>
      </c>
      <c r="N10" s="90" t="s">
        <v>35</v>
      </c>
      <c r="O10" s="90"/>
      <c r="P10" s="90"/>
      <c r="Q10" s="75"/>
      <c r="R10" s="55" t="s">
        <v>38</v>
      </c>
      <c r="S10" s="54">
        <f>((U6-INT((V6*5)/2)*0.18)-0.2)*4</f>
        <v>3360.56</v>
      </c>
      <c r="T10" s="54">
        <f>((U6-INT((V6*5)/2)*0.18)+0.2)*4</f>
        <v>3362.1600000000003</v>
      </c>
      <c r="U10" s="10" t="s">
        <v>9</v>
      </c>
      <c r="V10" s="10" t="s">
        <v>9</v>
      </c>
      <c r="W10" s="90" t="s">
        <v>35</v>
      </c>
      <c r="X10" s="90"/>
      <c r="Y10" s="90"/>
      <c r="Z10" s="75"/>
      <c r="AA10" s="55" t="s">
        <v>38</v>
      </c>
      <c r="AB10" s="54">
        <f>((AD6-INT((AE6*5)/2)*0.18)-0.2)*4</f>
        <v>3320.56</v>
      </c>
      <c r="AC10" s="54">
        <f>((AD6-INT((AE6*5)/2)*0.18)+0.2)*4</f>
        <v>3322.1600000000003</v>
      </c>
      <c r="AD10" s="10" t="s">
        <v>9</v>
      </c>
      <c r="AE10" s="10" t="s">
        <v>9</v>
      </c>
      <c r="AF10" s="90" t="s">
        <v>35</v>
      </c>
      <c r="AG10" s="90"/>
      <c r="AH10" s="90"/>
      <c r="AI10" s="75"/>
      <c r="AJ10" s="55" t="s">
        <v>38</v>
      </c>
      <c r="AK10" s="54">
        <f>((AM6+INT((AN6*5)/2)*0.18)-0.2)*4</f>
        <v>3357.8399999999997</v>
      </c>
      <c r="AL10" s="54">
        <f>((AM6+INT((AN6*5)/2)*0.18)+0.2)*4</f>
        <v>3359.44</v>
      </c>
      <c r="AM10" s="10" t="s">
        <v>9</v>
      </c>
      <c r="AN10" s="10" t="s">
        <v>9</v>
      </c>
      <c r="AO10" s="87" t="s">
        <v>39</v>
      </c>
      <c r="AP10" s="88"/>
      <c r="AQ10" s="89"/>
      <c r="AR10" s="75"/>
      <c r="AS10" s="55" t="s">
        <v>38</v>
      </c>
      <c r="AT10" s="54">
        <f>(AV6-AW6/2)*4</f>
        <v>3360</v>
      </c>
      <c r="AU10" s="54">
        <f>(AV6+AW6/2)*4</f>
        <v>3380</v>
      </c>
      <c r="AV10" s="10" t="s">
        <v>9</v>
      </c>
      <c r="AW10" s="10" t="s">
        <v>9</v>
      </c>
      <c r="AX10" s="87" t="s">
        <v>39</v>
      </c>
      <c r="AY10" s="88"/>
      <c r="AZ10" s="89"/>
      <c r="BA10" s="75"/>
      <c r="BB10" s="55" t="s">
        <v>38</v>
      </c>
      <c r="BC10" s="54">
        <f>(BE6-BF6/2)*4</f>
        <v>3320</v>
      </c>
      <c r="BD10" s="54">
        <f>(BE6+BF6/2)*4</f>
        <v>3380</v>
      </c>
      <c r="BE10" s="10" t="s">
        <v>9</v>
      </c>
      <c r="BF10" s="10" t="s">
        <v>9</v>
      </c>
      <c r="BG10" s="87" t="s">
        <v>39</v>
      </c>
      <c r="BH10" s="88"/>
      <c r="BI10" s="89"/>
      <c r="BJ10" s="75"/>
    </row>
    <row r="11" spans="1:62" ht="15">
      <c r="A11" s="54">
        <f>((C6-2.5*0.18)-0.2)*5</f>
        <v>4159.25</v>
      </c>
      <c r="B11" s="54">
        <f>((C6-2.5*0.18)+0.2)*5</f>
        <v>4161.25</v>
      </c>
      <c r="C11" s="10" t="s">
        <v>9</v>
      </c>
      <c r="D11" s="10" t="s">
        <v>9</v>
      </c>
      <c r="E11" s="87" t="s">
        <v>35</v>
      </c>
      <c r="F11" s="88"/>
      <c r="G11" s="89"/>
      <c r="H11" s="75"/>
      <c r="I11" s="55" t="s">
        <v>40</v>
      </c>
      <c r="J11" s="54">
        <f>((L6-2.5*0.18)-0.2)*5</f>
        <v>4184.25</v>
      </c>
      <c r="K11" s="54">
        <f>((L6-2.5*0.18)+0.2)*5</f>
        <v>4186.25</v>
      </c>
      <c r="L11" s="10" t="s">
        <v>9</v>
      </c>
      <c r="M11" s="10" t="s">
        <v>9</v>
      </c>
      <c r="N11" s="87" t="s">
        <v>35</v>
      </c>
      <c r="O11" s="88"/>
      <c r="P11" s="89"/>
      <c r="Q11" s="75"/>
      <c r="R11" s="55" t="s">
        <v>40</v>
      </c>
      <c r="S11" s="54">
        <f>((U6-INT((V6*5)/2)*0.18)-0.2)*5</f>
        <v>4200.7</v>
      </c>
      <c r="T11" s="54">
        <f>((U6-INT((V6*5)/2)*0.18)+0.2)*5</f>
        <v>4202.7000000000007</v>
      </c>
      <c r="U11" s="10" t="s">
        <v>9</v>
      </c>
      <c r="V11" s="10" t="s">
        <v>9</v>
      </c>
      <c r="W11" s="87" t="s">
        <v>35</v>
      </c>
      <c r="X11" s="88"/>
      <c r="Y11" s="89"/>
      <c r="Z11" s="75"/>
      <c r="AA11" s="55" t="s">
        <v>40</v>
      </c>
      <c r="AB11" s="54">
        <f>((AD6-INT((AE6*5)/2)*0.18)-0.2)*5</f>
        <v>4150.7</v>
      </c>
      <c r="AC11" s="54">
        <f>((AD6-INT((AE6*5)/2)*0.18)+0.2)*5</f>
        <v>4152.7000000000007</v>
      </c>
      <c r="AD11" s="10" t="s">
        <v>9</v>
      </c>
      <c r="AE11" s="10" t="s">
        <v>9</v>
      </c>
      <c r="AF11" s="87" t="s">
        <v>35</v>
      </c>
      <c r="AG11" s="88"/>
      <c r="AH11" s="89"/>
      <c r="AI11" s="75"/>
      <c r="AJ11" s="55" t="s">
        <v>40</v>
      </c>
      <c r="AK11" s="54">
        <f>((AM6+INT((AN6*5)/2)*0.18)-0.2)*5</f>
        <v>4197.2999999999993</v>
      </c>
      <c r="AL11" s="54">
        <f>((AM6+INT((AN6*5)/2)*0.18)+0.2)*5</f>
        <v>4199.3</v>
      </c>
      <c r="AM11" s="10" t="s">
        <v>9</v>
      </c>
      <c r="AN11" s="10" t="s">
        <v>9</v>
      </c>
      <c r="AO11" s="87" t="s">
        <v>39</v>
      </c>
      <c r="AP11" s="88"/>
      <c r="AQ11" s="89"/>
      <c r="AR11" s="75"/>
      <c r="AS11" s="55" t="s">
        <v>40</v>
      </c>
      <c r="AT11" s="54">
        <f>(AV6-AW6/2)*5</f>
        <v>4200</v>
      </c>
      <c r="AU11" s="54">
        <f>(AV6+AW6/2)*5</f>
        <v>4225</v>
      </c>
      <c r="AV11" s="10" t="s">
        <v>9</v>
      </c>
      <c r="AW11" s="10" t="s">
        <v>9</v>
      </c>
      <c r="AX11" s="87" t="s">
        <v>39</v>
      </c>
      <c r="AY11" s="88"/>
      <c r="AZ11" s="89"/>
      <c r="BA11" s="75"/>
      <c r="BB11" s="55" t="s">
        <v>40</v>
      </c>
      <c r="BC11" s="54">
        <f>(BE6-BF6/2)*5</f>
        <v>4150</v>
      </c>
      <c r="BD11" s="54">
        <f>(BE6+BF6/2)*5</f>
        <v>4225</v>
      </c>
      <c r="BE11" s="10" t="s">
        <v>9</v>
      </c>
      <c r="BF11" s="10" t="s">
        <v>9</v>
      </c>
      <c r="BG11" s="87" t="s">
        <v>39</v>
      </c>
      <c r="BH11" s="88"/>
      <c r="BI11" s="89"/>
      <c r="BJ11" s="75"/>
    </row>
    <row r="12" spans="1:62" ht="15">
      <c r="A12" s="54">
        <f>((C6-2.5*0.18)-0.2)*6</f>
        <v>4991.0999999999995</v>
      </c>
      <c r="B12" s="54">
        <f>((C6-2.5*0.18)+0.2)*6</f>
        <v>4993.5</v>
      </c>
      <c r="C12" s="10" t="s">
        <v>9</v>
      </c>
      <c r="D12" s="10" t="s">
        <v>9</v>
      </c>
      <c r="E12" s="90" t="s">
        <v>35</v>
      </c>
      <c r="F12" s="90"/>
      <c r="G12" s="90"/>
      <c r="H12" s="75"/>
      <c r="I12" s="55" t="s">
        <v>41</v>
      </c>
      <c r="J12" s="54">
        <f>((L6-2.5*0.18)-0.2)*6</f>
        <v>5021.0999999999995</v>
      </c>
      <c r="K12" s="54">
        <f>((L6-2.5*0.18)+0.2)*6</f>
        <v>5023.5</v>
      </c>
      <c r="L12" s="10" t="s">
        <v>9</v>
      </c>
      <c r="M12" s="10" t="s">
        <v>9</v>
      </c>
      <c r="N12" s="90" t="s">
        <v>35</v>
      </c>
      <c r="O12" s="90"/>
      <c r="P12" s="90"/>
      <c r="Q12" s="75"/>
      <c r="R12" s="55" t="s">
        <v>41</v>
      </c>
      <c r="S12" s="54">
        <f>((U6-INT((V6*5)/2)*0.18)-0.2)*6</f>
        <v>5040.84</v>
      </c>
      <c r="T12" s="54">
        <f>((U6-INT((V6*5)/2)*0.18)+0.2)*6</f>
        <v>5043.2400000000007</v>
      </c>
      <c r="U12" s="10" t="s">
        <v>9</v>
      </c>
      <c r="V12" s="10" t="s">
        <v>9</v>
      </c>
      <c r="W12" s="90" t="s">
        <v>35</v>
      </c>
      <c r="X12" s="90"/>
      <c r="Y12" s="90"/>
      <c r="Z12" s="75"/>
      <c r="AA12" s="55" t="s">
        <v>41</v>
      </c>
      <c r="AB12" s="54">
        <f>((AD6-INT((AE6*5)/2)*0.18)-0.2)*6</f>
        <v>4980.84</v>
      </c>
      <c r="AC12" s="54">
        <f>((AD6-INT((AE6*5)/2)*0.18)+0.2)*6</f>
        <v>4983.2400000000007</v>
      </c>
      <c r="AD12" s="10" t="s">
        <v>9</v>
      </c>
      <c r="AE12" s="10" t="s">
        <v>9</v>
      </c>
      <c r="AF12" s="90" t="s">
        <v>35</v>
      </c>
      <c r="AG12" s="90"/>
      <c r="AH12" s="90"/>
      <c r="AI12" s="75"/>
      <c r="AJ12" s="55" t="s">
        <v>41</v>
      </c>
      <c r="AK12" s="54">
        <f>((AM6+INT((AN6*5)/2)*0.18)-0.2)*6</f>
        <v>5036.7599999999993</v>
      </c>
      <c r="AL12" s="54">
        <f>((AM6+INT((AN6*5)/2)*0.18)+0.2)*6</f>
        <v>5039.16</v>
      </c>
      <c r="AM12" s="10" t="s">
        <v>9</v>
      </c>
      <c r="AN12" s="10" t="s">
        <v>9</v>
      </c>
      <c r="AO12" s="87" t="s">
        <v>39</v>
      </c>
      <c r="AP12" s="88"/>
      <c r="AQ12" s="89"/>
      <c r="AR12" s="75"/>
      <c r="AS12" s="55" t="s">
        <v>41</v>
      </c>
      <c r="AT12" s="54">
        <f>(AV6-AW6/2)*6</f>
        <v>5040</v>
      </c>
      <c r="AU12" s="54">
        <f>(AV6+AW6/2)*6</f>
        <v>5070</v>
      </c>
      <c r="AV12" s="10" t="s">
        <v>9</v>
      </c>
      <c r="AW12" s="10" t="s">
        <v>9</v>
      </c>
      <c r="AX12" s="87" t="s">
        <v>39</v>
      </c>
      <c r="AY12" s="88"/>
      <c r="AZ12" s="89"/>
      <c r="BA12" s="75"/>
      <c r="BB12" s="55" t="s">
        <v>41</v>
      </c>
      <c r="BC12" s="54">
        <f>(BE6-BF6/2)*6</f>
        <v>4980</v>
      </c>
      <c r="BD12" s="54">
        <f>(BE6+BF6/2)*6</f>
        <v>5070</v>
      </c>
      <c r="BE12" s="10" t="s">
        <v>9</v>
      </c>
      <c r="BF12" s="10" t="s">
        <v>9</v>
      </c>
      <c r="BG12" s="87" t="s">
        <v>39</v>
      </c>
      <c r="BH12" s="88"/>
      <c r="BI12" s="89"/>
      <c r="BJ12" s="75"/>
    </row>
    <row r="13" spans="1:62" ht="15">
      <c r="A13" s="54">
        <f>((C6-2.5*0.18)-0.2)*7</f>
        <v>5822.9499999999989</v>
      </c>
      <c r="B13" s="54">
        <f>((C6-2.5*0.18)+0.2)*7</f>
        <v>5825.75</v>
      </c>
      <c r="C13" s="10" t="s">
        <v>9</v>
      </c>
      <c r="D13" s="10" t="s">
        <v>9</v>
      </c>
      <c r="E13" s="90" t="s">
        <v>35</v>
      </c>
      <c r="F13" s="90"/>
      <c r="G13" s="90"/>
      <c r="H13" s="75"/>
      <c r="I13" s="55" t="s">
        <v>62</v>
      </c>
      <c r="J13" s="54">
        <f>((L6-2.5*0.18)-0.2)*7</f>
        <v>5857.9499999999989</v>
      </c>
      <c r="K13" s="54">
        <f>((L6-2.5*0.18)+0.2)*7</f>
        <v>5860.75</v>
      </c>
      <c r="L13" s="10" t="s">
        <v>63</v>
      </c>
      <c r="M13" s="10" t="s">
        <v>9</v>
      </c>
      <c r="N13" s="87" t="s">
        <v>39</v>
      </c>
      <c r="O13" s="88"/>
      <c r="P13" s="89"/>
      <c r="Q13" s="75"/>
      <c r="R13" s="55" t="s">
        <v>62</v>
      </c>
      <c r="S13" s="54">
        <f>((U6-INT((V6*5)/2)*0.18)-0.2)*7</f>
        <v>5880.98</v>
      </c>
      <c r="T13" s="54">
        <f>((U6-INT((V6*5)/2)*0.18)+0.2)*7</f>
        <v>5883.7800000000007</v>
      </c>
      <c r="U13" s="10" t="s">
        <v>63</v>
      </c>
      <c r="V13" s="10" t="s">
        <v>9</v>
      </c>
      <c r="W13" s="87" t="s">
        <v>39</v>
      </c>
      <c r="X13" s="88"/>
      <c r="Y13" s="89"/>
      <c r="Z13" s="75"/>
      <c r="AA13" s="55" t="s">
        <v>62</v>
      </c>
      <c r="AB13" s="54">
        <f>((AD6-INT((AE6*5)/2)*0.18)-0.2)*7</f>
        <v>5810.98</v>
      </c>
      <c r="AC13" s="54">
        <f>((AD6-INT((AE6*5)/2)*0.18)+0.2)*7</f>
        <v>5813.7800000000007</v>
      </c>
      <c r="AD13" s="10" t="s">
        <v>9</v>
      </c>
      <c r="AE13" s="10" t="s">
        <v>9</v>
      </c>
      <c r="AF13" s="90" t="s">
        <v>39</v>
      </c>
      <c r="AG13" s="90"/>
      <c r="AH13" s="90"/>
      <c r="AI13" s="75"/>
      <c r="AJ13" s="55" t="s">
        <v>65</v>
      </c>
      <c r="AK13" s="54">
        <f>((AM6+INT((AN6*5)/2)*0.18)-0.2)*7</f>
        <v>5876.2199999999993</v>
      </c>
      <c r="AL13" s="54">
        <f>((AM6+INT((AN6*5)/2)*0.18)+0.2)*7</f>
        <v>5879.02</v>
      </c>
      <c r="AM13" s="10" t="s">
        <v>9</v>
      </c>
      <c r="AN13" s="10" t="s">
        <v>9</v>
      </c>
      <c r="AO13" s="87" t="s">
        <v>39</v>
      </c>
      <c r="AP13" s="88"/>
      <c r="AQ13" s="89"/>
      <c r="AR13" s="75"/>
      <c r="AS13" s="55" t="s">
        <v>65</v>
      </c>
      <c r="AT13" s="54">
        <f>(AV6-AW6/2)*7</f>
        <v>5880</v>
      </c>
      <c r="AU13" s="54">
        <f>(AV6+AW6/2)*7</f>
        <v>5915</v>
      </c>
      <c r="AV13" s="10" t="s">
        <v>9</v>
      </c>
      <c r="AW13" s="10" t="s">
        <v>9</v>
      </c>
      <c r="AX13" s="87" t="s">
        <v>39</v>
      </c>
      <c r="AY13" s="88"/>
      <c r="AZ13" s="89"/>
      <c r="BA13" s="75"/>
      <c r="BB13" s="55" t="s">
        <v>65</v>
      </c>
      <c r="BC13" s="54">
        <f>(BE6-BF6/2)*7</f>
        <v>5810</v>
      </c>
      <c r="BD13" s="54">
        <f>(BE6+BF6/2)*7</f>
        <v>5915</v>
      </c>
      <c r="BE13" s="10" t="s">
        <v>9</v>
      </c>
      <c r="BF13" s="10" t="s">
        <v>9</v>
      </c>
      <c r="BG13" s="87" t="s">
        <v>39</v>
      </c>
      <c r="BH13" s="88"/>
      <c r="BI13" s="89"/>
      <c r="BJ13" s="75"/>
    </row>
    <row r="14" spans="1:62" ht="15">
      <c r="A14" s="54">
        <f>((C6-2.5*0.18)-0.2)*8</f>
        <v>6654.7999999999993</v>
      </c>
      <c r="B14" s="54">
        <f>((C6-2.5*0.18)+0.2)*8</f>
        <v>6658</v>
      </c>
      <c r="C14" s="10" t="s">
        <v>9</v>
      </c>
      <c r="D14" s="10" t="s">
        <v>9</v>
      </c>
      <c r="E14" s="90" t="s">
        <v>35</v>
      </c>
      <c r="F14" s="90"/>
      <c r="G14" s="90"/>
      <c r="H14" s="75"/>
      <c r="I14" s="55" t="s">
        <v>66</v>
      </c>
      <c r="J14" s="54">
        <f>((L6-2.5*0.18)-0.2)*8</f>
        <v>6694.7999999999993</v>
      </c>
      <c r="K14" s="54">
        <f>((L6-2.5*0.18)+0.2)*8</f>
        <v>6698</v>
      </c>
      <c r="L14" s="10" t="s">
        <v>9</v>
      </c>
      <c r="M14" s="10" t="s">
        <v>9</v>
      </c>
      <c r="N14" s="87" t="s">
        <v>39</v>
      </c>
      <c r="O14" s="88"/>
      <c r="P14" s="89"/>
      <c r="Q14" s="75"/>
      <c r="R14" s="55" t="s">
        <v>66</v>
      </c>
      <c r="S14" s="54">
        <f>((U6-INT((V6*5)/2)*0.18)-0.2)*8</f>
        <v>6721.12</v>
      </c>
      <c r="T14" s="54">
        <f>((U6-INT((V6*5)/2)*0.18)+0.2)*8</f>
        <v>6724.3200000000006</v>
      </c>
      <c r="U14" s="10" t="s">
        <v>9</v>
      </c>
      <c r="V14" s="10" t="s">
        <v>9</v>
      </c>
      <c r="W14" s="87" t="s">
        <v>39</v>
      </c>
      <c r="X14" s="88"/>
      <c r="Y14" s="89"/>
      <c r="Z14" s="75"/>
      <c r="AA14" s="55" t="s">
        <v>66</v>
      </c>
      <c r="AB14" s="54">
        <f>((AD6-INT((AE6*5)/2)*0.18)-0.2)*8</f>
        <v>6641.12</v>
      </c>
      <c r="AC14" s="54">
        <f>((AD6-INT((AE6*5)/2)*0.18)+0.2)*8</f>
        <v>6644.3200000000006</v>
      </c>
      <c r="AD14" s="10" t="s">
        <v>9</v>
      </c>
      <c r="AE14" s="10" t="s">
        <v>9</v>
      </c>
      <c r="AF14" s="87" t="s">
        <v>39</v>
      </c>
      <c r="AG14" s="88"/>
      <c r="AH14" s="89"/>
      <c r="AI14" s="75"/>
      <c r="AJ14" s="55" t="s">
        <v>68</v>
      </c>
      <c r="AK14" s="54">
        <f>((AM6+INT((AN6*5)/2)*0.18)-0.2)*8</f>
        <v>6715.6799999999994</v>
      </c>
      <c r="AL14" s="54">
        <f>((AM6+INT((AN6*5)/2)*0.18)+0.2)*8</f>
        <v>6718.88</v>
      </c>
      <c r="AM14" s="10" t="s">
        <v>9</v>
      </c>
      <c r="AN14" s="10" t="s">
        <v>9</v>
      </c>
      <c r="AO14" s="87" t="s">
        <v>39</v>
      </c>
      <c r="AP14" s="88"/>
      <c r="AQ14" s="89"/>
      <c r="AR14" s="75"/>
      <c r="AS14" s="55" t="s">
        <v>68</v>
      </c>
      <c r="AT14" s="54">
        <f>(AV6-AW6/2)*8</f>
        <v>6720</v>
      </c>
      <c r="AU14" s="54">
        <f>(AV6+AW6/2)*8</f>
        <v>6760</v>
      </c>
      <c r="AV14" s="10" t="s">
        <v>9</v>
      </c>
      <c r="AW14" s="10" t="s">
        <v>9</v>
      </c>
      <c r="AX14" s="87" t="s">
        <v>39</v>
      </c>
      <c r="AY14" s="88"/>
      <c r="AZ14" s="89"/>
      <c r="BA14" s="75"/>
      <c r="BB14" s="55" t="s">
        <v>68</v>
      </c>
      <c r="BC14" s="54">
        <f>(BE6-BF6/2)*8</f>
        <v>6640</v>
      </c>
      <c r="BD14" s="54">
        <f>(BE6+BF6/2)*8</f>
        <v>6760</v>
      </c>
      <c r="BE14" s="10" t="s">
        <v>9</v>
      </c>
      <c r="BF14" s="10" t="s">
        <v>9</v>
      </c>
      <c r="BG14" s="87" t="s">
        <v>39</v>
      </c>
      <c r="BH14" s="88"/>
      <c r="BI14" s="89"/>
      <c r="BJ14" s="75"/>
    </row>
    <row r="15" spans="1:62" ht="15">
      <c r="A15" s="54">
        <f>((C6-2.5*0.18)-0.2)*9</f>
        <v>7486.65</v>
      </c>
      <c r="B15" s="54">
        <f>((C6-2.5*0.18)+0.2)*9</f>
        <v>7490.25</v>
      </c>
      <c r="C15" s="10" t="s">
        <v>9</v>
      </c>
      <c r="D15" s="10" t="s">
        <v>9</v>
      </c>
      <c r="E15" s="90" t="s">
        <v>35</v>
      </c>
      <c r="F15" s="90"/>
      <c r="G15" s="90"/>
      <c r="H15" s="75"/>
      <c r="I15" s="55" t="s">
        <v>69</v>
      </c>
      <c r="J15" s="54">
        <f>((L6-2.5*0.18)-0.2)*9</f>
        <v>7531.65</v>
      </c>
      <c r="K15" s="54">
        <f>((L6-2.5*0.18)+0.2)*9</f>
        <v>7535.25</v>
      </c>
      <c r="L15" s="10" t="s">
        <v>9</v>
      </c>
      <c r="M15" s="10" t="s">
        <v>9</v>
      </c>
      <c r="N15" s="87" t="s">
        <v>39</v>
      </c>
      <c r="O15" s="88"/>
      <c r="P15" s="89"/>
      <c r="Q15" s="75"/>
      <c r="R15" s="55" t="s">
        <v>69</v>
      </c>
      <c r="S15" s="54">
        <f>((U6-INT((V6*5)/2)*0.18)-0.2)*9</f>
        <v>7561.26</v>
      </c>
      <c r="T15" s="54">
        <f>((U6-INT((V6*5)/2)*0.18)+0.2)*9</f>
        <v>7564.8600000000006</v>
      </c>
      <c r="U15" s="10" t="s">
        <v>9</v>
      </c>
      <c r="V15" s="10" t="s">
        <v>9</v>
      </c>
      <c r="W15" s="87" t="s">
        <v>39</v>
      </c>
      <c r="X15" s="88"/>
      <c r="Y15" s="89"/>
      <c r="Z15" s="75"/>
      <c r="AA15" s="55" t="s">
        <v>69</v>
      </c>
      <c r="AB15" s="54">
        <f>((AD6-INT((AE6*5)/2)*0.18)-0.2)*9</f>
        <v>7471.26</v>
      </c>
      <c r="AC15" s="54">
        <f>((AD6-INT((AE6*5)/2)*0.18)+0.2)*9</f>
        <v>7474.8600000000006</v>
      </c>
      <c r="AD15" s="10" t="s">
        <v>9</v>
      </c>
      <c r="AE15" s="10" t="s">
        <v>9</v>
      </c>
      <c r="AF15" s="90" t="s">
        <v>39</v>
      </c>
      <c r="AG15" s="90"/>
      <c r="AH15" s="90"/>
      <c r="AI15" s="75"/>
      <c r="AJ15" s="55" t="s">
        <v>71</v>
      </c>
      <c r="AK15" s="54">
        <f>((AM6+INT((AN6*5)/2)*0.18)-0.2)*9</f>
        <v>7555.1399999999994</v>
      </c>
      <c r="AL15" s="54">
        <f>((AM6+INT((AN6*5)/2)*0.18)+0.2)*9</f>
        <v>7558.74</v>
      </c>
      <c r="AM15" s="10" t="s">
        <v>9</v>
      </c>
      <c r="AN15" s="10" t="s">
        <v>9</v>
      </c>
      <c r="AO15" s="87" t="s">
        <v>39</v>
      </c>
      <c r="AP15" s="88"/>
      <c r="AQ15" s="89"/>
      <c r="AR15" s="75"/>
      <c r="AS15" s="55" t="s">
        <v>71</v>
      </c>
      <c r="AT15" s="54">
        <f>(AV6-AW6/2)*9</f>
        <v>7560</v>
      </c>
      <c r="AU15" s="54">
        <f>(AV6+AW6/2)*9</f>
        <v>7605</v>
      </c>
      <c r="AV15" s="10" t="s">
        <v>9</v>
      </c>
      <c r="AW15" s="10" t="s">
        <v>9</v>
      </c>
      <c r="AX15" s="87" t="s">
        <v>39</v>
      </c>
      <c r="AY15" s="88"/>
      <c r="AZ15" s="89"/>
      <c r="BA15" s="75"/>
      <c r="BB15" s="55" t="s">
        <v>71</v>
      </c>
      <c r="BC15" s="54">
        <f>(BE6-BF6/2)*9</f>
        <v>7470</v>
      </c>
      <c r="BD15" s="54">
        <f>(BE6+BF6/2)*9</f>
        <v>7605</v>
      </c>
      <c r="BE15" s="10" t="s">
        <v>9</v>
      </c>
      <c r="BF15" s="10" t="s">
        <v>9</v>
      </c>
      <c r="BG15" s="87" t="s">
        <v>39</v>
      </c>
      <c r="BH15" s="88"/>
      <c r="BI15" s="89"/>
      <c r="BJ15" s="75"/>
    </row>
    <row r="16" spans="1:62" ht="15">
      <c r="A16" s="54">
        <f>((C6-2.5*0.18)-0.2)*10</f>
        <v>8318.5</v>
      </c>
      <c r="B16" s="54">
        <f>((C6-2.5*0.18)+0.2)*10</f>
        <v>8322.5</v>
      </c>
      <c r="C16" s="10" t="s">
        <v>9</v>
      </c>
      <c r="D16" s="10" t="s">
        <v>9</v>
      </c>
      <c r="E16" s="90" t="s">
        <v>35</v>
      </c>
      <c r="F16" s="90"/>
      <c r="G16" s="90"/>
      <c r="H16" s="75"/>
      <c r="I16" s="55" t="s">
        <v>72</v>
      </c>
      <c r="J16" s="54">
        <f>((L6-2.5*0.18)-0.2)*10</f>
        <v>8368.5</v>
      </c>
      <c r="K16" s="54">
        <f>((L6-2.5*0.18)+0.2)*10</f>
        <v>8372.5</v>
      </c>
      <c r="L16" s="10" t="s">
        <v>9</v>
      </c>
      <c r="M16" s="10" t="s">
        <v>9</v>
      </c>
      <c r="N16" s="87" t="s">
        <v>39</v>
      </c>
      <c r="O16" s="88"/>
      <c r="P16" s="89"/>
      <c r="Q16" s="75"/>
      <c r="R16" s="55" t="s">
        <v>72</v>
      </c>
      <c r="S16" s="54">
        <f>((U6-INT((V6*5)/2)*0.18)-0.2)*10</f>
        <v>8401.4</v>
      </c>
      <c r="T16" s="54">
        <f>((U6-INT((V6*5)/2)*0.18)+0.2)*10</f>
        <v>8405.4000000000015</v>
      </c>
      <c r="U16" s="10" t="s">
        <v>9</v>
      </c>
      <c r="V16" s="10" t="s">
        <v>9</v>
      </c>
      <c r="W16" s="87" t="s">
        <v>39</v>
      </c>
      <c r="X16" s="88"/>
      <c r="Y16" s="89"/>
      <c r="Z16" s="75"/>
      <c r="AA16" s="55" t="s">
        <v>72</v>
      </c>
      <c r="AB16" s="54">
        <f>((AD6-INT((AE6*5)/2)*0.18)-0.2)*10</f>
        <v>8301.4</v>
      </c>
      <c r="AC16" s="54">
        <f>((AD6-INT((AE6*5)/2)*0.18)+0.2)*10</f>
        <v>8305.4000000000015</v>
      </c>
      <c r="AD16" s="10" t="s">
        <v>9</v>
      </c>
      <c r="AE16" s="10" t="s">
        <v>9</v>
      </c>
      <c r="AF16" s="90" t="s">
        <v>39</v>
      </c>
      <c r="AG16" s="90"/>
      <c r="AH16" s="90"/>
      <c r="AI16" s="75"/>
      <c r="AJ16" s="55" t="s">
        <v>74</v>
      </c>
      <c r="AK16" s="54">
        <f>((AM6+INT((AN6*5)/2)*0.18)-0.2)*10</f>
        <v>8394.5999999999985</v>
      </c>
      <c r="AL16" s="54">
        <f>((AM6+INT((AN6*5)/2)*0.18)+0.2)*10</f>
        <v>8398.6</v>
      </c>
      <c r="AM16" s="10" t="s">
        <v>9</v>
      </c>
      <c r="AN16" s="10" t="s">
        <v>9</v>
      </c>
      <c r="AO16" s="87" t="s">
        <v>39</v>
      </c>
      <c r="AP16" s="88"/>
      <c r="AQ16" s="89"/>
      <c r="AR16" s="75"/>
      <c r="AS16" s="55" t="s">
        <v>74</v>
      </c>
      <c r="AT16" s="54">
        <f>(AV6-AW6/2)*10</f>
        <v>8400</v>
      </c>
      <c r="AU16" s="54">
        <f>(AV6+AW6/2)*10</f>
        <v>8450</v>
      </c>
      <c r="AV16" s="10" t="s">
        <v>9</v>
      </c>
      <c r="AW16" s="10" t="s">
        <v>9</v>
      </c>
      <c r="AX16" s="87" t="s">
        <v>39</v>
      </c>
      <c r="AY16" s="88"/>
      <c r="AZ16" s="89"/>
      <c r="BA16" s="75"/>
      <c r="BB16" s="55" t="s">
        <v>74</v>
      </c>
      <c r="BC16" s="54">
        <f>(BE6-BF6/2)*10</f>
        <v>8300</v>
      </c>
      <c r="BD16" s="54">
        <f>(BE6+BF6/2)*10</f>
        <v>8450</v>
      </c>
      <c r="BE16" s="10" t="s">
        <v>9</v>
      </c>
      <c r="BF16" s="10" t="s">
        <v>9</v>
      </c>
      <c r="BG16" s="87" t="s">
        <v>39</v>
      </c>
      <c r="BH16" s="88"/>
      <c r="BI16" s="89"/>
      <c r="BJ16" s="75"/>
    </row>
    <row r="17" spans="1:62" ht="15">
      <c r="A17" s="54">
        <f>((C6-2.5*0.18)-0.2)*11</f>
        <v>9150.3499999999985</v>
      </c>
      <c r="B17" s="54">
        <f>((C6-2.5*0.18)+0.2)*11</f>
        <v>9154.75</v>
      </c>
      <c r="C17" s="10" t="s">
        <v>9</v>
      </c>
      <c r="D17" s="10" t="s">
        <v>9</v>
      </c>
      <c r="E17" s="90" t="s">
        <v>35</v>
      </c>
      <c r="F17" s="90"/>
      <c r="G17" s="90"/>
      <c r="H17" s="75"/>
      <c r="I17" s="55" t="s">
        <v>75</v>
      </c>
      <c r="J17" s="54">
        <f>((L6-2.5*0.18)-0.2)*11</f>
        <v>9205.3499999999985</v>
      </c>
      <c r="K17" s="54">
        <f>((L6-2.5*0.18)+0.2)*11</f>
        <v>9209.75</v>
      </c>
      <c r="L17" s="10" t="s">
        <v>9</v>
      </c>
      <c r="M17" s="10" t="s">
        <v>9</v>
      </c>
      <c r="N17" s="87" t="s">
        <v>39</v>
      </c>
      <c r="O17" s="88"/>
      <c r="P17" s="89"/>
      <c r="Q17" s="75"/>
      <c r="R17" s="55" t="s">
        <v>75</v>
      </c>
      <c r="S17" s="54">
        <f>((U6-INT((V6*5)/2)*0.18)-0.2)*11</f>
        <v>9241.5399999999991</v>
      </c>
      <c r="T17" s="54">
        <f>((U6-INT((V6*5)/2)*0.18)+0.2)*12</f>
        <v>10086.480000000001</v>
      </c>
      <c r="U17" s="10" t="s">
        <v>9</v>
      </c>
      <c r="V17" s="10" t="s">
        <v>9</v>
      </c>
      <c r="W17" s="87" t="s">
        <v>39</v>
      </c>
      <c r="X17" s="88"/>
      <c r="Y17" s="89"/>
      <c r="Z17" s="75"/>
      <c r="AA17" s="55" t="s">
        <v>75</v>
      </c>
      <c r="AB17" s="54">
        <f>((AD6-INT((AE6*5)/2)*0.18)-0.2)*11</f>
        <v>9131.5399999999991</v>
      </c>
      <c r="AC17" s="54">
        <f>((AD6-INT((AE6*5)/2)*0.18)+0.2)*11</f>
        <v>9135.94</v>
      </c>
      <c r="AD17" s="10" t="s">
        <v>9</v>
      </c>
      <c r="AE17" s="10" t="s">
        <v>9</v>
      </c>
      <c r="AF17" s="87" t="s">
        <v>39</v>
      </c>
      <c r="AG17" s="88"/>
      <c r="AH17" s="89"/>
      <c r="AI17" s="75"/>
      <c r="AJ17" s="55" t="s">
        <v>77</v>
      </c>
      <c r="AK17" s="54">
        <f>((AM6+INT((AN6*5)/2)*0.18)-0.2)*11</f>
        <v>9234.06</v>
      </c>
      <c r="AL17" s="54">
        <f>((AM6+INT((AN6*5)/2)*0.18)+0.2)*11</f>
        <v>9238.4600000000009</v>
      </c>
      <c r="AM17" s="10" t="s">
        <v>9</v>
      </c>
      <c r="AN17" s="10" t="s">
        <v>9</v>
      </c>
      <c r="AO17" s="87" t="s">
        <v>39</v>
      </c>
      <c r="AP17" s="88"/>
      <c r="AQ17" s="89"/>
      <c r="AR17" s="75"/>
      <c r="AS17" s="55" t="s">
        <v>77</v>
      </c>
      <c r="AT17" s="54">
        <f>(AV6-AW6/2)*11</f>
        <v>9240</v>
      </c>
      <c r="AU17" s="54">
        <f>(AV6+AW6/2)*11</f>
        <v>9295</v>
      </c>
      <c r="AV17" s="10" t="s">
        <v>9</v>
      </c>
      <c r="AW17" s="10" t="s">
        <v>9</v>
      </c>
      <c r="AX17" s="87" t="s">
        <v>39</v>
      </c>
      <c r="AY17" s="88"/>
      <c r="AZ17" s="89"/>
      <c r="BA17" s="75"/>
      <c r="BB17" s="55" t="s">
        <v>77</v>
      </c>
      <c r="BC17" s="54">
        <f>(BE6-BF6/2)*11</f>
        <v>9130</v>
      </c>
      <c r="BD17" s="54">
        <f>(BE6+BF6/2)*11</f>
        <v>9295</v>
      </c>
      <c r="BE17" s="10" t="s">
        <v>9</v>
      </c>
      <c r="BF17" s="10" t="s">
        <v>9</v>
      </c>
      <c r="BG17" s="87" t="s">
        <v>39</v>
      </c>
      <c r="BH17" s="88"/>
      <c r="BI17" s="89"/>
      <c r="BJ17" s="75"/>
    </row>
    <row r="18" spans="1:62" ht="15">
      <c r="A18" s="54">
        <f>((C6-2.5*0.18)-0.2)*12</f>
        <v>9982.1999999999989</v>
      </c>
      <c r="B18" s="54">
        <f>((C6-2.5*0.18)+0.2)*12</f>
        <v>9987</v>
      </c>
      <c r="C18" s="10" t="s">
        <v>9</v>
      </c>
      <c r="D18" s="10" t="s">
        <v>9</v>
      </c>
      <c r="E18" s="90" t="s">
        <v>35</v>
      </c>
      <c r="F18" s="90"/>
      <c r="G18" s="90"/>
      <c r="H18" s="75"/>
      <c r="I18" s="55" t="s">
        <v>78</v>
      </c>
      <c r="J18" s="54">
        <f>((L6-2.5*0.18)-0.2)*12</f>
        <v>10042.199999999999</v>
      </c>
      <c r="K18" s="54">
        <f>((L6-2.5*0.18)+0.2)*12</f>
        <v>10047</v>
      </c>
      <c r="L18" s="10" t="s">
        <v>9</v>
      </c>
      <c r="M18" s="10" t="s">
        <v>9</v>
      </c>
      <c r="N18" s="87" t="s">
        <v>39</v>
      </c>
      <c r="O18" s="88"/>
      <c r="P18" s="89"/>
      <c r="Q18" s="75"/>
      <c r="R18" s="55" t="s">
        <v>78</v>
      </c>
      <c r="S18" s="54">
        <f>((U6-INT((V6*5)/2)*0.18)-0.2)*13</f>
        <v>10921.82</v>
      </c>
      <c r="T18" s="54">
        <f>((U6-INT((V6*5)/2)*0.18)+0.2)*14</f>
        <v>11767.560000000001</v>
      </c>
      <c r="U18" s="10" t="s">
        <v>9</v>
      </c>
      <c r="V18" s="10" t="s">
        <v>9</v>
      </c>
      <c r="W18" s="87" t="s">
        <v>39</v>
      </c>
      <c r="X18" s="88"/>
      <c r="Y18" s="89"/>
      <c r="Z18" s="75"/>
      <c r="AA18" s="55" t="s">
        <v>78</v>
      </c>
      <c r="AB18" s="54">
        <f>((AD6-INT((AE6*5)/2)*0.18)-0.2)*12</f>
        <v>9961.68</v>
      </c>
      <c r="AC18" s="54">
        <f>((AD6-INT((AE6*5)/2)*0.18)+0.2)*12</f>
        <v>9966.4800000000014</v>
      </c>
      <c r="AD18" s="10" t="s">
        <v>9</v>
      </c>
      <c r="AE18" s="10" t="s">
        <v>9</v>
      </c>
      <c r="AF18" s="90" t="s">
        <v>39</v>
      </c>
      <c r="AG18" s="90"/>
      <c r="AH18" s="90"/>
      <c r="AI18" s="75"/>
      <c r="AJ18" s="55" t="s">
        <v>80</v>
      </c>
      <c r="AK18" s="54">
        <f>((AM6+INT((AN6*5)/2)*0.18)-0.2)*12</f>
        <v>10073.519999999999</v>
      </c>
      <c r="AL18" s="54">
        <f>((AM6+INT((AN6*5)/2)*0.18)+0.2)*12</f>
        <v>10078.32</v>
      </c>
      <c r="AM18" s="10" t="s">
        <v>9</v>
      </c>
      <c r="AN18" s="10" t="s">
        <v>9</v>
      </c>
      <c r="AO18" s="87" t="s">
        <v>39</v>
      </c>
      <c r="AP18" s="88"/>
      <c r="AQ18" s="89"/>
      <c r="AR18" s="75"/>
      <c r="AS18" s="55" t="s">
        <v>80</v>
      </c>
      <c r="AT18" s="54">
        <f>(AV6-AW6/2)*12</f>
        <v>10080</v>
      </c>
      <c r="AU18" s="54">
        <f>(AV6+AW6/2)*12</f>
        <v>10140</v>
      </c>
      <c r="AV18" s="10" t="s">
        <v>9</v>
      </c>
      <c r="AW18" s="10" t="s">
        <v>9</v>
      </c>
      <c r="AX18" s="87" t="s">
        <v>39</v>
      </c>
      <c r="AY18" s="88"/>
      <c r="AZ18" s="89"/>
      <c r="BA18" s="75"/>
      <c r="BB18" s="55" t="s">
        <v>80</v>
      </c>
      <c r="BC18" s="54">
        <f>(BE6-BF6/2)*12</f>
        <v>9960</v>
      </c>
      <c r="BD18" s="54">
        <f>(BE6+BF6/2)*12</f>
        <v>10140</v>
      </c>
      <c r="BE18" s="10" t="s">
        <v>9</v>
      </c>
      <c r="BF18" s="10" t="s">
        <v>9</v>
      </c>
      <c r="BG18" s="87" t="s">
        <v>39</v>
      </c>
      <c r="BH18" s="88"/>
      <c r="BI18" s="89"/>
      <c r="BJ18" s="75"/>
    </row>
    <row r="19" spans="1:62" ht="15">
      <c r="A19" s="54">
        <f>((C6-2.5*0.18)-0.2)*13</f>
        <v>10814.05</v>
      </c>
      <c r="B19" s="54">
        <f>((C6-2.5*0.18)+0.2)*13</f>
        <v>10819.25</v>
      </c>
      <c r="C19" s="10" t="s">
        <v>9</v>
      </c>
      <c r="D19" s="10" t="s">
        <v>9</v>
      </c>
      <c r="E19" s="90" t="s">
        <v>35</v>
      </c>
      <c r="F19" s="90"/>
      <c r="G19" s="90"/>
      <c r="H19" s="75"/>
      <c r="I19" s="55" t="s">
        <v>81</v>
      </c>
      <c r="J19" s="54">
        <f>((L6-2.5*0.18)-0.2)*13</f>
        <v>10879.05</v>
      </c>
      <c r="K19" s="54">
        <f>((L6-2.5*0.18)+0.2)*13</f>
        <v>10884.25</v>
      </c>
      <c r="L19" s="10" t="s">
        <v>9</v>
      </c>
      <c r="M19" s="10" t="s">
        <v>9</v>
      </c>
      <c r="N19" s="87" t="s">
        <v>39</v>
      </c>
      <c r="O19" s="88"/>
      <c r="P19" s="89"/>
      <c r="Q19" s="75"/>
      <c r="R19" s="55" t="s">
        <v>81</v>
      </c>
      <c r="S19" s="54">
        <f>((U6-INT((V6*5)/2)*0.18)-0.2)*13</f>
        <v>10921.82</v>
      </c>
      <c r="T19" s="54">
        <f>((U6-INT((V6*5)/2)*0.18)+0.2)*13</f>
        <v>10927.02</v>
      </c>
      <c r="U19" s="10" t="s">
        <v>9</v>
      </c>
      <c r="V19" s="10" t="s">
        <v>9</v>
      </c>
      <c r="W19" s="87" t="s">
        <v>39</v>
      </c>
      <c r="X19" s="88"/>
      <c r="Y19" s="89"/>
      <c r="Z19" s="75"/>
      <c r="AA19" s="55" t="s">
        <v>81</v>
      </c>
      <c r="AB19" s="54">
        <f>((AD6-INT((AE6*5)/2)*0.18)-0.2)*13</f>
        <v>10791.82</v>
      </c>
      <c r="AC19" s="54">
        <f>((AD6-INT((AE6*5)/2)*0.18)+0.2)*13</f>
        <v>10797.02</v>
      </c>
      <c r="AD19" s="10" t="s">
        <v>9</v>
      </c>
      <c r="AE19" s="10" t="s">
        <v>9</v>
      </c>
      <c r="AF19" s="90" t="s">
        <v>39</v>
      </c>
      <c r="AG19" s="90"/>
      <c r="AH19" s="90"/>
      <c r="AI19" s="75"/>
      <c r="AJ19" s="55" t="s">
        <v>83</v>
      </c>
      <c r="AK19" s="54">
        <f>((AM6+INT((AN6*5)/2)*0.18)-0.2)*13</f>
        <v>10912.98</v>
      </c>
      <c r="AL19" s="54">
        <f>((AM6+INT((AN6*5)/2)*0.18)+0.2)*13</f>
        <v>10918.18</v>
      </c>
      <c r="AM19" s="10" t="s">
        <v>9</v>
      </c>
      <c r="AN19" s="10" t="s">
        <v>9</v>
      </c>
      <c r="AO19" s="87" t="s">
        <v>39</v>
      </c>
      <c r="AP19" s="88"/>
      <c r="AQ19" s="89"/>
      <c r="AR19" s="75"/>
      <c r="AS19" s="55" t="s">
        <v>83</v>
      </c>
      <c r="AT19" s="54">
        <f>(AV6-AW6/2)*13</f>
        <v>10920</v>
      </c>
      <c r="AU19" s="54">
        <f>(AV6+AW6/2)*13</f>
        <v>10985</v>
      </c>
      <c r="AV19" s="10" t="s">
        <v>9</v>
      </c>
      <c r="AW19" s="10" t="s">
        <v>9</v>
      </c>
      <c r="AX19" s="87" t="s">
        <v>39</v>
      </c>
      <c r="AY19" s="88"/>
      <c r="AZ19" s="89"/>
      <c r="BA19" s="75"/>
      <c r="BB19" s="55" t="s">
        <v>83</v>
      </c>
      <c r="BC19" s="54">
        <f>(BE6-BF6/2)*13</f>
        <v>10790</v>
      </c>
      <c r="BD19" s="54">
        <f>(BE6+BF6/2)*13</f>
        <v>10985</v>
      </c>
      <c r="BE19" s="10" t="s">
        <v>9</v>
      </c>
      <c r="BF19" s="10" t="s">
        <v>9</v>
      </c>
      <c r="BG19" s="87" t="s">
        <v>39</v>
      </c>
      <c r="BH19" s="88"/>
      <c r="BI19" s="89"/>
      <c r="BJ19" s="75"/>
    </row>
    <row r="20" spans="1:62" ht="15">
      <c r="A20" s="54">
        <f>((C6-2.5*0.18)-0.2)*14</f>
        <v>11645.899999999998</v>
      </c>
      <c r="B20" s="54">
        <f>((C6-2.5*0.18)+0.2)*14</f>
        <v>11651.5</v>
      </c>
      <c r="C20" s="10" t="s">
        <v>9</v>
      </c>
      <c r="D20" s="10" t="s">
        <v>9</v>
      </c>
      <c r="E20" s="90" t="s">
        <v>35</v>
      </c>
      <c r="F20" s="90"/>
      <c r="G20" s="90"/>
      <c r="H20" s="75"/>
      <c r="I20" s="55" t="s">
        <v>86</v>
      </c>
      <c r="J20" s="54">
        <f>((L6-2.5*0.18)-0.2)*14</f>
        <v>11715.899999999998</v>
      </c>
      <c r="K20" s="54">
        <f>((L6-2.5*0.18)+0.2)*14</f>
        <v>11721.5</v>
      </c>
      <c r="L20" s="10" t="s">
        <v>9</v>
      </c>
      <c r="M20" s="10" t="s">
        <v>9</v>
      </c>
      <c r="N20" s="87" t="s">
        <v>39</v>
      </c>
      <c r="O20" s="88"/>
      <c r="P20" s="89"/>
      <c r="Q20" s="75"/>
      <c r="R20" s="55" t="s">
        <v>89</v>
      </c>
      <c r="S20" s="54">
        <f>((U6-INT((V6*5)/2)*0.18)-0.2)*14</f>
        <v>11761.96</v>
      </c>
      <c r="T20" s="54">
        <f>((U6-INT((V6*5)/2)*0.18)+0.2)*14</f>
        <v>11767.560000000001</v>
      </c>
      <c r="U20" s="10" t="s">
        <v>9</v>
      </c>
      <c r="V20" s="10" t="s">
        <v>9</v>
      </c>
      <c r="W20" s="87" t="s">
        <v>39</v>
      </c>
      <c r="X20" s="88"/>
      <c r="Y20" s="89"/>
      <c r="Z20" s="75"/>
      <c r="AA20" s="55" t="s">
        <v>89</v>
      </c>
      <c r="AB20" s="54">
        <f>((AD6-INT((AE6*5)/2)*0.18)-0.2)*14</f>
        <v>11621.96</v>
      </c>
      <c r="AC20" s="54">
        <f>((AD6-INT((AE6*5)/2)*0.18)+0.2)*14</f>
        <v>11627.560000000001</v>
      </c>
      <c r="AD20" s="10" t="s">
        <v>9</v>
      </c>
      <c r="AE20" s="10" t="s">
        <v>9</v>
      </c>
      <c r="AF20" s="87" t="s">
        <v>39</v>
      </c>
      <c r="AG20" s="88"/>
      <c r="AH20" s="89"/>
      <c r="AI20" s="75"/>
      <c r="AJ20" s="55" t="s">
        <v>86</v>
      </c>
      <c r="AK20" s="54">
        <f>((AM6+INT((AN6*5)/2)*0.18)-0.2)*14</f>
        <v>11752.439999999999</v>
      </c>
      <c r="AL20" s="54">
        <f>((AM6+INT((AN6*5)/2)*0.18)+0.2)*14</f>
        <v>11758.04</v>
      </c>
      <c r="AM20" s="10" t="s">
        <v>9</v>
      </c>
      <c r="AN20" s="10" t="s">
        <v>9</v>
      </c>
      <c r="AO20" s="87" t="s">
        <v>39</v>
      </c>
      <c r="AP20" s="88"/>
      <c r="AQ20" s="89"/>
      <c r="AR20" s="75"/>
      <c r="AS20" s="55" t="s">
        <v>86</v>
      </c>
      <c r="AT20" s="54">
        <f>(AV6-AW6/2)*14</f>
        <v>11760</v>
      </c>
      <c r="AU20" s="54">
        <f>(AV6+AW6/2)*14</f>
        <v>11830</v>
      </c>
      <c r="AV20" s="10" t="s">
        <v>9</v>
      </c>
      <c r="AW20" s="10" t="s">
        <v>9</v>
      </c>
      <c r="AX20" s="87" t="s">
        <v>39</v>
      </c>
      <c r="AY20" s="88"/>
      <c r="AZ20" s="89"/>
      <c r="BA20" s="75"/>
      <c r="BB20" s="55" t="s">
        <v>86</v>
      </c>
      <c r="BC20" s="54">
        <f>(BE6-BF6/2)*14</f>
        <v>11620</v>
      </c>
      <c r="BD20" s="54">
        <f>(BE6+BF6/2)*14</f>
        <v>11830</v>
      </c>
      <c r="BE20" s="10" t="s">
        <v>9</v>
      </c>
      <c r="BF20" s="10" t="s">
        <v>9</v>
      </c>
      <c r="BG20" s="87" t="s">
        <v>39</v>
      </c>
      <c r="BH20" s="88"/>
      <c r="BI20" s="89"/>
      <c r="BJ20" s="75"/>
    </row>
    <row r="21" spans="1:62" ht="15">
      <c r="A21" s="54">
        <f>((C6-2.5*0.18)-0.2)*15</f>
        <v>12477.749999999998</v>
      </c>
      <c r="B21" s="54">
        <f>((C6-2.5*0.18)+0.2)*15</f>
        <v>12483.75</v>
      </c>
      <c r="C21" s="10" t="s">
        <v>9</v>
      </c>
      <c r="D21" s="10" t="s">
        <v>9</v>
      </c>
      <c r="E21" s="90" t="s">
        <v>35</v>
      </c>
      <c r="F21" s="90"/>
      <c r="G21" s="90"/>
      <c r="H21" s="75"/>
      <c r="I21" s="55" t="s">
        <v>90</v>
      </c>
      <c r="J21" s="54">
        <f>((L6-2.5*0.18)-0.2)*15</f>
        <v>12552.749999999998</v>
      </c>
      <c r="K21" s="54">
        <f>((L6-2.5*0.18)+0.2)*15</f>
        <v>12558.75</v>
      </c>
      <c r="L21" s="10" t="s">
        <v>9</v>
      </c>
      <c r="M21" s="10" t="s">
        <v>9</v>
      </c>
      <c r="N21" s="87" t="s">
        <v>39</v>
      </c>
      <c r="O21" s="88"/>
      <c r="P21" s="89"/>
      <c r="Q21" s="75"/>
      <c r="R21" s="55" t="s">
        <v>91</v>
      </c>
      <c r="S21" s="54">
        <f>((U6-INT((V6*5)/2)*0.18)-0.2)*15</f>
        <v>12602.1</v>
      </c>
      <c r="T21" s="54">
        <f>((U6-INT((V6*5)/2)*0.18)+0.2)*15</f>
        <v>12608.1</v>
      </c>
      <c r="U21" s="10" t="s">
        <v>9</v>
      </c>
      <c r="V21" s="10" t="s">
        <v>9</v>
      </c>
      <c r="W21" s="87" t="s">
        <v>39</v>
      </c>
      <c r="X21" s="88"/>
      <c r="Y21" s="89"/>
      <c r="Z21" s="75"/>
      <c r="AA21" s="55" t="s">
        <v>91</v>
      </c>
      <c r="AB21" s="54">
        <f>((AD6-INT((AE6*5)/2)*0.18)-0.2)*15</f>
        <v>12452.1</v>
      </c>
      <c r="AC21" s="54">
        <f>((AD6-INT((AE6*5)/2)*0.18)+0.2)*15</f>
        <v>12458.1</v>
      </c>
      <c r="AD21" s="10" t="s">
        <v>9</v>
      </c>
      <c r="AE21" s="10" t="s">
        <v>9</v>
      </c>
      <c r="AF21" s="90" t="s">
        <v>39</v>
      </c>
      <c r="AG21" s="90"/>
      <c r="AH21" s="90"/>
      <c r="AI21" s="75"/>
      <c r="AJ21" s="55" t="s">
        <v>90</v>
      </c>
      <c r="AK21" s="54">
        <f>((AM6+INT((AN6*5)/2)*0.18)-0.2)*15</f>
        <v>12591.9</v>
      </c>
      <c r="AL21" s="54">
        <f>((AM6+INT((AN6*5)/2)*0.18)+0.2)*15</f>
        <v>12597.9</v>
      </c>
      <c r="AM21" s="10" t="s">
        <v>9</v>
      </c>
      <c r="AN21" s="10" t="s">
        <v>9</v>
      </c>
      <c r="AO21" s="87" t="s">
        <v>39</v>
      </c>
      <c r="AP21" s="88"/>
      <c r="AQ21" s="89"/>
      <c r="AR21" s="75"/>
      <c r="AS21" s="55" t="s">
        <v>90</v>
      </c>
      <c r="AT21" s="54">
        <f>(AV6-AW6/2)*15</f>
        <v>12600</v>
      </c>
      <c r="AU21" s="54">
        <f>(AV6+AW6/2)*15</f>
        <v>12675</v>
      </c>
      <c r="AV21" s="10" t="s">
        <v>9</v>
      </c>
      <c r="AW21" s="10" t="s">
        <v>9</v>
      </c>
      <c r="AX21" s="87" t="s">
        <v>39</v>
      </c>
      <c r="AY21" s="88"/>
      <c r="AZ21" s="89"/>
      <c r="BA21" s="75"/>
      <c r="BB21" s="55" t="s">
        <v>90</v>
      </c>
      <c r="BC21" s="54">
        <f>(BE6-BF6/2)*15</f>
        <v>12450</v>
      </c>
      <c r="BD21" s="54">
        <f>(BE6+BF6/2)*15</f>
        <v>12675</v>
      </c>
      <c r="BE21" s="10" t="s">
        <v>9</v>
      </c>
      <c r="BF21" s="10" t="s">
        <v>9</v>
      </c>
      <c r="BG21" s="87" t="s">
        <v>39</v>
      </c>
      <c r="BH21" s="88"/>
      <c r="BI21" s="89"/>
      <c r="BJ21" s="75"/>
    </row>
    <row r="22" spans="1:62" ht="15">
      <c r="A22" s="54">
        <f>((C6-2.5*0.18)-0.2)*16</f>
        <v>13309.599999999999</v>
      </c>
      <c r="B22" s="54">
        <f>((C6-2.5*0.18)+0.2)*16</f>
        <v>13316</v>
      </c>
      <c r="C22" s="10" t="s">
        <v>9</v>
      </c>
      <c r="D22" s="10" t="s">
        <v>9</v>
      </c>
      <c r="E22" s="90" t="s">
        <v>35</v>
      </c>
      <c r="F22" s="90"/>
      <c r="G22" s="90"/>
      <c r="H22" s="75"/>
      <c r="I22" s="55" t="s">
        <v>93</v>
      </c>
      <c r="J22" s="54">
        <f>((L6-2.5*0.18)-0.2)*16</f>
        <v>13389.599999999999</v>
      </c>
      <c r="K22" s="54">
        <f>((L6-2.5*0.18)+0.2)*16</f>
        <v>13396</v>
      </c>
      <c r="L22" s="10" t="s">
        <v>9</v>
      </c>
      <c r="M22" s="10" t="s">
        <v>9</v>
      </c>
      <c r="N22" s="87" t="s">
        <v>39</v>
      </c>
      <c r="O22" s="88"/>
      <c r="P22" s="89"/>
      <c r="Q22" s="75"/>
      <c r="R22" s="55" t="s">
        <v>94</v>
      </c>
      <c r="S22" s="54">
        <f>((U6-INT((V6*5)/2)*0.18)-0.2)*16</f>
        <v>13442.24</v>
      </c>
      <c r="T22" s="54">
        <f>((U6-INT((V6*5)/2)*0.18)+0.2)*16</f>
        <v>13448.640000000001</v>
      </c>
      <c r="U22" s="10" t="s">
        <v>9</v>
      </c>
      <c r="V22" s="10" t="s">
        <v>9</v>
      </c>
      <c r="W22" s="87" t="s">
        <v>39</v>
      </c>
      <c r="X22" s="88"/>
      <c r="Y22" s="89"/>
      <c r="Z22" s="75"/>
      <c r="AA22" s="55" t="s">
        <v>94</v>
      </c>
      <c r="AB22" s="54">
        <f>((AD6-INT((AE6*5)/2)*0.18)-0.2)*16</f>
        <v>13282.24</v>
      </c>
      <c r="AC22" s="54">
        <f>((AD6-INT((AE6*5)/2)*0.18)+0.2)*16</f>
        <v>13288.640000000001</v>
      </c>
      <c r="AD22" s="10" t="s">
        <v>9</v>
      </c>
      <c r="AE22" s="10" t="s">
        <v>9</v>
      </c>
      <c r="AF22" s="90" t="s">
        <v>39</v>
      </c>
      <c r="AG22" s="90"/>
      <c r="AH22" s="90"/>
      <c r="AI22" s="75"/>
      <c r="AJ22" s="55" t="s">
        <v>93</v>
      </c>
      <c r="AK22" s="54">
        <f>((AM6+INT((AN6*5)/2)*0.18)-0.2)*16</f>
        <v>13431.359999999999</v>
      </c>
      <c r="AL22" s="54">
        <f>((AM6+INT((AN6*5)/2)*0.18)+0.2)*16</f>
        <v>13437.76</v>
      </c>
      <c r="AM22" s="10" t="s">
        <v>9</v>
      </c>
      <c r="AN22" s="10" t="s">
        <v>9</v>
      </c>
      <c r="AO22" s="87" t="s">
        <v>39</v>
      </c>
      <c r="AP22" s="88"/>
      <c r="AQ22" s="89"/>
      <c r="AR22" s="75"/>
      <c r="AS22" s="55" t="s">
        <v>93</v>
      </c>
      <c r="AT22" s="54">
        <f>(AV6-AW6/2)*16</f>
        <v>13440</v>
      </c>
      <c r="AU22" s="54">
        <f>(AV6+AW6/2)*16</f>
        <v>13520</v>
      </c>
      <c r="AV22" s="10" t="s">
        <v>9</v>
      </c>
      <c r="AW22" s="10" t="s">
        <v>9</v>
      </c>
      <c r="AX22" s="87" t="s">
        <v>39</v>
      </c>
      <c r="AY22" s="88"/>
      <c r="AZ22" s="89"/>
      <c r="BA22" s="75"/>
      <c r="BB22" s="55" t="s">
        <v>93</v>
      </c>
      <c r="BC22" s="54">
        <f>(BE6-BF6/2)*16</f>
        <v>13280</v>
      </c>
      <c r="BD22" s="54">
        <f>(BE6+BF6/2)*16</f>
        <v>13520</v>
      </c>
      <c r="BE22" s="10" t="s">
        <v>9</v>
      </c>
      <c r="BF22" s="10" t="s">
        <v>9</v>
      </c>
      <c r="BG22" s="87" t="s">
        <v>39</v>
      </c>
      <c r="BH22" s="88"/>
      <c r="BI22" s="89"/>
      <c r="BJ22" s="75"/>
    </row>
  </sheetData>
  <mergeCells count="129">
    <mergeCell ref="B1:J1"/>
    <mergeCell ref="K1:U1"/>
    <mergeCell ref="B2:H2"/>
    <mergeCell ref="B3:H3"/>
    <mergeCell ref="E7:G7"/>
    <mergeCell ref="N7:P7"/>
    <mergeCell ref="I5:I6"/>
    <mergeCell ref="R5:R6"/>
    <mergeCell ref="E14:G14"/>
    <mergeCell ref="N14:P14"/>
    <mergeCell ref="A7:B7"/>
    <mergeCell ref="N9:P9"/>
    <mergeCell ref="W14:Y14"/>
    <mergeCell ref="E15:G15"/>
    <mergeCell ref="N15:P15"/>
    <mergeCell ref="W15:Y15"/>
    <mergeCell ref="E12:G12"/>
    <mergeCell ref="N12:P12"/>
    <mergeCell ref="E21:G21"/>
    <mergeCell ref="N21:P21"/>
    <mergeCell ref="W21:Y21"/>
    <mergeCell ref="E18:G18"/>
    <mergeCell ref="N18:P18"/>
    <mergeCell ref="W18:Y18"/>
    <mergeCell ref="E19:G19"/>
    <mergeCell ref="N19:P19"/>
    <mergeCell ref="W19:Y19"/>
    <mergeCell ref="W12:Y12"/>
    <mergeCell ref="E13:G13"/>
    <mergeCell ref="N13:P13"/>
    <mergeCell ref="W13:Y13"/>
    <mergeCell ref="E20:G20"/>
    <mergeCell ref="N20:P20"/>
    <mergeCell ref="W20:Y20"/>
    <mergeCell ref="E16:G16"/>
    <mergeCell ref="N16:P16"/>
    <mergeCell ref="W16:Y16"/>
    <mergeCell ref="E17:G17"/>
    <mergeCell ref="N17:P17"/>
    <mergeCell ref="W17:Y17"/>
    <mergeCell ref="AF8:AH8"/>
    <mergeCell ref="AO8:AQ8"/>
    <mergeCell ref="AX8:AZ8"/>
    <mergeCell ref="BG8:BI8"/>
    <mergeCell ref="AA5:AA6"/>
    <mergeCell ref="J7:K7"/>
    <mergeCell ref="S7:T7"/>
    <mergeCell ref="E8:G8"/>
    <mergeCell ref="N8:P8"/>
    <mergeCell ref="W8:Y8"/>
    <mergeCell ref="W7:Y7"/>
    <mergeCell ref="AF11:AH11"/>
    <mergeCell ref="AO11:AQ11"/>
    <mergeCell ref="AX11:AZ11"/>
    <mergeCell ref="BG11:BI11"/>
    <mergeCell ref="AF10:AH10"/>
    <mergeCell ref="AO10:AQ10"/>
    <mergeCell ref="AX10:AZ10"/>
    <mergeCell ref="BG10:BI10"/>
    <mergeCell ref="E9:G9"/>
    <mergeCell ref="W9:Y9"/>
    <mergeCell ref="AF9:AH9"/>
    <mergeCell ref="AO9:AQ9"/>
    <mergeCell ref="AX9:AZ9"/>
    <mergeCell ref="BG9:BI9"/>
    <mergeCell ref="E10:G10"/>
    <mergeCell ref="N10:P10"/>
    <mergeCell ref="W10:Y10"/>
    <mergeCell ref="E11:G11"/>
    <mergeCell ref="N11:P11"/>
    <mergeCell ref="W11:Y11"/>
    <mergeCell ref="AF14:AH14"/>
    <mergeCell ref="AO14:AQ14"/>
    <mergeCell ref="AX14:AZ14"/>
    <mergeCell ref="BG14:BI14"/>
    <mergeCell ref="AF13:AH13"/>
    <mergeCell ref="AO13:AQ13"/>
    <mergeCell ref="AX13:AZ13"/>
    <mergeCell ref="BG13:BI13"/>
    <mergeCell ref="AF12:AH12"/>
    <mergeCell ref="AO12:AQ12"/>
    <mergeCell ref="AX12:AZ12"/>
    <mergeCell ref="BG12:BI12"/>
    <mergeCell ref="AF17:AH17"/>
    <mergeCell ref="AO17:AQ17"/>
    <mergeCell ref="AX17:AZ17"/>
    <mergeCell ref="BG17:BI17"/>
    <mergeCell ref="AF16:AH16"/>
    <mergeCell ref="AO16:AQ16"/>
    <mergeCell ref="AX16:AZ16"/>
    <mergeCell ref="BG16:BI16"/>
    <mergeCell ref="AF15:AH15"/>
    <mergeCell ref="AO15:AQ15"/>
    <mergeCell ref="AX15:AZ15"/>
    <mergeCell ref="BG15:BI15"/>
    <mergeCell ref="AF20:AH20"/>
    <mergeCell ref="AO20:AQ20"/>
    <mergeCell ref="AX20:AZ20"/>
    <mergeCell ref="BG20:BI20"/>
    <mergeCell ref="AF19:AH19"/>
    <mergeCell ref="AO19:AQ19"/>
    <mergeCell ref="AX19:AZ19"/>
    <mergeCell ref="BG19:BI19"/>
    <mergeCell ref="AF18:AH18"/>
    <mergeCell ref="AO18:AQ18"/>
    <mergeCell ref="AX18:AZ18"/>
    <mergeCell ref="BG18:BI18"/>
    <mergeCell ref="BG22:BI22"/>
    <mergeCell ref="E22:G22"/>
    <mergeCell ref="N22:P22"/>
    <mergeCell ref="W22:Y22"/>
    <mergeCell ref="AF22:AH22"/>
    <mergeCell ref="AO22:AQ22"/>
    <mergeCell ref="AX22:AZ22"/>
    <mergeCell ref="AF21:AH21"/>
    <mergeCell ref="AO21:AQ21"/>
    <mergeCell ref="AX21:AZ21"/>
    <mergeCell ref="BG21:BI21"/>
    <mergeCell ref="BB5:BB6"/>
    <mergeCell ref="AT7:AU7"/>
    <mergeCell ref="AX7:AZ7"/>
    <mergeCell ref="BC7:BD7"/>
    <mergeCell ref="BG7:BI7"/>
    <mergeCell ref="AJ5:AJ6"/>
    <mergeCell ref="AB7:AC7"/>
    <mergeCell ref="AF7:AH7"/>
    <mergeCell ref="AS5:AS6"/>
    <mergeCell ref="AK7:AL7"/>
    <mergeCell ref="AO7:AQ7"/>
  </mergeCells>
  <phoneticPr fontId="1" type="noConversion"/>
  <conditionalFormatting sqref="Z11">
    <cfRule type="containsBlanks" priority="85" stopIfTrue="1">
      <formula>LEN(TRIM(Z11))=0</formula>
    </cfRule>
    <cfRule type="cellIs" dxfId="1691" priority="86" stopIfTrue="1" operator="greaterThan">
      <formula>-30</formula>
    </cfRule>
    <cfRule type="cellIs" dxfId="1690" priority="87" stopIfTrue="1" operator="between">
      <formula>-33</formula>
      <formula>-30</formula>
    </cfRule>
  </conditionalFormatting>
  <conditionalFormatting sqref="Z12">
    <cfRule type="containsBlanks" priority="82" stopIfTrue="1">
      <formula>LEN(TRIM(Z12))=0</formula>
    </cfRule>
    <cfRule type="cellIs" dxfId="1689" priority="83" stopIfTrue="1" operator="greaterThan">
      <formula>-30</formula>
    </cfRule>
    <cfRule type="cellIs" dxfId="1688" priority="84" stopIfTrue="1" operator="between">
      <formula>-33</formula>
      <formula>-30</formula>
    </cfRule>
  </conditionalFormatting>
  <conditionalFormatting sqref="AI11">
    <cfRule type="containsBlanks" priority="79" stopIfTrue="1">
      <formula>LEN(TRIM(AI11))=0</formula>
    </cfRule>
    <cfRule type="cellIs" dxfId="1687" priority="80" stopIfTrue="1" operator="greaterThan">
      <formula>-30</formula>
    </cfRule>
    <cfRule type="cellIs" dxfId="1686" priority="81" stopIfTrue="1" operator="between">
      <formula>-33</formula>
      <formula>-30</formula>
    </cfRule>
  </conditionalFormatting>
  <conditionalFormatting sqref="AI12:AI22">
    <cfRule type="containsBlanks" priority="76" stopIfTrue="1">
      <formula>LEN(TRIM(AI12))=0</formula>
    </cfRule>
    <cfRule type="cellIs" dxfId="1685" priority="77" stopIfTrue="1" operator="greaterThan">
      <formula>-30</formula>
    </cfRule>
    <cfRule type="cellIs" dxfId="1684" priority="78" stopIfTrue="1" operator="between">
      <formula>-33</formula>
      <formula>-30</formula>
    </cfRule>
  </conditionalFormatting>
  <conditionalFormatting sqref="AR11">
    <cfRule type="containsBlanks" priority="73" stopIfTrue="1">
      <formula>LEN(TRIM(AR11))=0</formula>
    </cfRule>
    <cfRule type="cellIs" dxfId="1683" priority="74" stopIfTrue="1" operator="greaterThan">
      <formula>-30</formula>
    </cfRule>
    <cfRule type="cellIs" dxfId="1682" priority="75" stopIfTrue="1" operator="between">
      <formula>-33</formula>
      <formula>-30</formula>
    </cfRule>
  </conditionalFormatting>
  <conditionalFormatting sqref="AR12:AR22">
    <cfRule type="containsBlanks" priority="70" stopIfTrue="1">
      <formula>LEN(TRIM(AR12))=0</formula>
    </cfRule>
    <cfRule type="cellIs" dxfId="1681" priority="71" stopIfTrue="1" operator="greaterThan">
      <formula>-30</formula>
    </cfRule>
    <cfRule type="cellIs" dxfId="1680" priority="72" stopIfTrue="1" operator="between">
      <formula>-33</formula>
      <formula>-30</formula>
    </cfRule>
  </conditionalFormatting>
  <conditionalFormatting sqref="BA11">
    <cfRule type="containsBlanks" priority="67" stopIfTrue="1">
      <formula>LEN(TRIM(BA11))=0</formula>
    </cfRule>
    <cfRule type="cellIs" dxfId="1679" priority="68" stopIfTrue="1" operator="greaterThan">
      <formula>-30</formula>
    </cfRule>
    <cfRule type="cellIs" dxfId="1678" priority="69" stopIfTrue="1" operator="between">
      <formula>-33</formula>
      <formula>-30</formula>
    </cfRule>
  </conditionalFormatting>
  <conditionalFormatting sqref="BA12:BA22">
    <cfRule type="containsBlanks" priority="64" stopIfTrue="1">
      <formula>LEN(TRIM(BA12))=0</formula>
    </cfRule>
    <cfRule type="cellIs" dxfId="1677" priority="65" stopIfTrue="1" operator="greaterThan">
      <formula>-30</formula>
    </cfRule>
    <cfRule type="cellIs" dxfId="1676" priority="66" stopIfTrue="1" operator="between">
      <formula>-33</formula>
      <formula>-30</formula>
    </cfRule>
  </conditionalFormatting>
  <conditionalFormatting sqref="BJ11">
    <cfRule type="containsBlanks" priority="61" stopIfTrue="1">
      <formula>LEN(TRIM(BJ11))=0</formula>
    </cfRule>
    <cfRule type="cellIs" dxfId="1675" priority="62" stopIfTrue="1" operator="greaterThan">
      <formula>-30</formula>
    </cfRule>
    <cfRule type="cellIs" dxfId="1674" priority="63" stopIfTrue="1" operator="between">
      <formula>-33</formula>
      <formula>-30</formula>
    </cfRule>
  </conditionalFormatting>
  <conditionalFormatting sqref="BJ12:BJ22">
    <cfRule type="containsBlanks" priority="58" stopIfTrue="1">
      <formula>LEN(TRIM(BJ12))=0</formula>
    </cfRule>
    <cfRule type="cellIs" dxfId="1673" priority="59" stopIfTrue="1" operator="greaterThan">
      <formula>-30</formula>
    </cfRule>
    <cfRule type="cellIs" dxfId="1672" priority="60" stopIfTrue="1" operator="between">
      <formula>-33</formula>
      <formula>-30</formula>
    </cfRule>
  </conditionalFormatting>
  <conditionalFormatting sqref="H13">
    <cfRule type="containsBlanks" priority="31" stopIfTrue="1">
      <formula>LEN(TRIM(H13))=0</formula>
    </cfRule>
    <cfRule type="cellIs" dxfId="1671" priority="32" stopIfTrue="1" operator="greaterThan">
      <formula>-30</formula>
    </cfRule>
    <cfRule type="cellIs" dxfId="1670" priority="33" stopIfTrue="1" operator="between">
      <formula>-33</formula>
      <formula>-30</formula>
    </cfRule>
  </conditionalFormatting>
  <conditionalFormatting sqref="H14">
    <cfRule type="containsBlanks" priority="28" stopIfTrue="1">
      <formula>LEN(TRIM(H14))=0</formula>
    </cfRule>
    <cfRule type="cellIs" dxfId="1669" priority="29" stopIfTrue="1" operator="greaterThan">
      <formula>-30</formula>
    </cfRule>
    <cfRule type="cellIs" dxfId="1668" priority="30" stopIfTrue="1" operator="between">
      <formula>-33</formula>
      <formula>-30</formula>
    </cfRule>
  </conditionalFormatting>
  <conditionalFormatting sqref="H15">
    <cfRule type="containsBlanks" priority="25" stopIfTrue="1">
      <formula>LEN(TRIM(H15))=0</formula>
    </cfRule>
    <cfRule type="cellIs" dxfId="1667" priority="26" stopIfTrue="1" operator="greaterThan">
      <formula>-30</formula>
    </cfRule>
    <cfRule type="cellIs" dxfId="1666" priority="27" stopIfTrue="1" operator="between">
      <formula>-33</formula>
      <formula>-30</formula>
    </cfRule>
  </conditionalFormatting>
  <conditionalFormatting sqref="H16">
    <cfRule type="containsBlanks" priority="22" stopIfTrue="1">
      <formula>LEN(TRIM(H16))=0</formula>
    </cfRule>
    <cfRule type="cellIs" dxfId="1665" priority="23" stopIfTrue="1" operator="greaterThan">
      <formula>-30</formula>
    </cfRule>
    <cfRule type="cellIs" dxfId="1664" priority="24" stopIfTrue="1" operator="between">
      <formula>-33</formula>
      <formula>-30</formula>
    </cfRule>
  </conditionalFormatting>
  <conditionalFormatting sqref="H17">
    <cfRule type="containsBlanks" priority="19" stopIfTrue="1">
      <formula>LEN(TRIM(H17))=0</formula>
    </cfRule>
    <cfRule type="cellIs" dxfId="1663" priority="20" stopIfTrue="1" operator="greaterThan">
      <formula>-30</formula>
    </cfRule>
    <cfRule type="cellIs" dxfId="1662" priority="21" stopIfTrue="1" operator="between">
      <formula>-33</formula>
      <formula>-30</formula>
    </cfRule>
  </conditionalFormatting>
  <conditionalFormatting sqref="H18">
    <cfRule type="containsBlanks" priority="16" stopIfTrue="1">
      <formula>LEN(TRIM(H18))=0</formula>
    </cfRule>
    <cfRule type="cellIs" dxfId="1661" priority="17" stopIfTrue="1" operator="greaterThan">
      <formula>-30</formula>
    </cfRule>
    <cfRule type="cellIs" dxfId="1660" priority="18" stopIfTrue="1" operator="between">
      <formula>-33</formula>
      <formula>-30</formula>
    </cfRule>
  </conditionalFormatting>
  <conditionalFormatting sqref="H19">
    <cfRule type="containsBlanks" priority="13" stopIfTrue="1">
      <formula>LEN(TRIM(H19))=0</formula>
    </cfRule>
    <cfRule type="cellIs" dxfId="1659" priority="14" stopIfTrue="1" operator="greaterThan">
      <formula>-30</formula>
    </cfRule>
    <cfRule type="cellIs" dxfId="1658" priority="15" stopIfTrue="1" operator="between">
      <formula>-33</formula>
      <formula>-30</formula>
    </cfRule>
  </conditionalFormatting>
  <conditionalFormatting sqref="H8">
    <cfRule type="containsBlanks" priority="301" stopIfTrue="1">
      <formula>LEN(TRIM(H8))=0</formula>
    </cfRule>
    <cfRule type="cellIs" dxfId="1657" priority="302" stopIfTrue="1" operator="greaterThan">
      <formula>-30</formula>
    </cfRule>
    <cfRule type="cellIs" dxfId="1656" priority="303" stopIfTrue="1" operator="between">
      <formula>-33</formula>
      <formula>-30</formula>
    </cfRule>
  </conditionalFormatting>
  <conditionalFormatting sqref="H9">
    <cfRule type="containsBlanks" priority="298" stopIfTrue="1">
      <formula>LEN(TRIM(H9))=0</formula>
    </cfRule>
    <cfRule type="cellIs" dxfId="1655" priority="299" stopIfTrue="1" operator="greaterThan">
      <formula>-30</formula>
    </cfRule>
    <cfRule type="cellIs" dxfId="1654" priority="300" stopIfTrue="1" operator="between">
      <formula>-33</formula>
      <formula>-30</formula>
    </cfRule>
  </conditionalFormatting>
  <conditionalFormatting sqref="H10">
    <cfRule type="containsBlanks" priority="295" stopIfTrue="1">
      <formula>LEN(TRIM(H10))=0</formula>
    </cfRule>
    <cfRule type="cellIs" dxfId="1653" priority="296" stopIfTrue="1" operator="greaterThan">
      <formula>-30</formula>
    </cfRule>
    <cfRule type="cellIs" dxfId="1652" priority="297" stopIfTrue="1" operator="between">
      <formula>-33</formula>
      <formula>-30</formula>
    </cfRule>
  </conditionalFormatting>
  <conditionalFormatting sqref="Q8">
    <cfRule type="containsBlanks" priority="292" stopIfTrue="1">
      <formula>LEN(TRIM(Q8))=0</formula>
    </cfRule>
    <cfRule type="cellIs" dxfId="1651" priority="293" stopIfTrue="1" operator="greaterThan">
      <formula>-30</formula>
    </cfRule>
    <cfRule type="cellIs" dxfId="1650" priority="294" stopIfTrue="1" operator="between">
      <formula>-33</formula>
      <formula>-30</formula>
    </cfRule>
  </conditionalFormatting>
  <conditionalFormatting sqref="Q9">
    <cfRule type="containsBlanks" priority="289" stopIfTrue="1">
      <formula>LEN(TRIM(Q9))=0</formula>
    </cfRule>
    <cfRule type="cellIs" dxfId="1649" priority="290" stopIfTrue="1" operator="greaterThan">
      <formula>-30</formula>
    </cfRule>
    <cfRule type="cellIs" dxfId="1648" priority="291" stopIfTrue="1" operator="between">
      <formula>-33</formula>
      <formula>-30</formula>
    </cfRule>
  </conditionalFormatting>
  <conditionalFormatting sqref="Q10">
    <cfRule type="containsBlanks" priority="286" stopIfTrue="1">
      <formula>LEN(TRIM(Q10))=0</formula>
    </cfRule>
    <cfRule type="cellIs" dxfId="1647" priority="287" stopIfTrue="1" operator="greaterThan">
      <formula>-30</formula>
    </cfRule>
    <cfRule type="cellIs" dxfId="1646" priority="288" stopIfTrue="1" operator="between">
      <formula>-33</formula>
      <formula>-30</formula>
    </cfRule>
  </conditionalFormatting>
  <conditionalFormatting sqref="Z8">
    <cfRule type="containsBlanks" priority="283" stopIfTrue="1">
      <formula>LEN(TRIM(Z8))=0</formula>
    </cfRule>
    <cfRule type="cellIs" dxfId="1645" priority="284" stopIfTrue="1" operator="greaterThan">
      <formula>-30</formula>
    </cfRule>
    <cfRule type="cellIs" dxfId="1644" priority="285" stopIfTrue="1" operator="between">
      <formula>-33</formula>
      <formula>-30</formula>
    </cfRule>
  </conditionalFormatting>
  <conditionalFormatting sqref="Z9">
    <cfRule type="containsBlanks" priority="280" stopIfTrue="1">
      <formula>LEN(TRIM(Z9))=0</formula>
    </cfRule>
    <cfRule type="cellIs" dxfId="1643" priority="281" stopIfTrue="1" operator="greaterThan">
      <formula>-30</formula>
    </cfRule>
    <cfRule type="cellIs" dxfId="1642" priority="282" stopIfTrue="1" operator="between">
      <formula>-33</formula>
      <formula>-30</formula>
    </cfRule>
  </conditionalFormatting>
  <conditionalFormatting sqref="Z10">
    <cfRule type="containsBlanks" priority="277" stopIfTrue="1">
      <formula>LEN(TRIM(Z10))=0</formula>
    </cfRule>
    <cfRule type="cellIs" dxfId="1641" priority="278" stopIfTrue="1" operator="greaterThan">
      <formula>-30</formula>
    </cfRule>
    <cfRule type="cellIs" dxfId="1640" priority="279" stopIfTrue="1" operator="between">
      <formula>-33</formula>
      <formula>-30</formula>
    </cfRule>
  </conditionalFormatting>
  <conditionalFormatting sqref="AI8">
    <cfRule type="containsBlanks" priority="274" stopIfTrue="1">
      <formula>LEN(TRIM(AI8))=0</formula>
    </cfRule>
    <cfRule type="cellIs" dxfId="1639" priority="275" stopIfTrue="1" operator="greaterThan">
      <formula>-30</formula>
    </cfRule>
    <cfRule type="cellIs" dxfId="1638" priority="276" stopIfTrue="1" operator="between">
      <formula>-33</formula>
      <formula>-30</formula>
    </cfRule>
  </conditionalFormatting>
  <conditionalFormatting sqref="AI9">
    <cfRule type="containsBlanks" priority="271" stopIfTrue="1">
      <formula>LEN(TRIM(AI9))=0</formula>
    </cfRule>
    <cfRule type="cellIs" dxfId="1637" priority="272" stopIfTrue="1" operator="greaterThan">
      <formula>-30</formula>
    </cfRule>
    <cfRule type="cellIs" dxfId="1636" priority="273" stopIfTrue="1" operator="between">
      <formula>-33</formula>
      <formula>-30</formula>
    </cfRule>
  </conditionalFormatting>
  <conditionalFormatting sqref="AI10">
    <cfRule type="containsBlanks" priority="268" stopIfTrue="1">
      <formula>LEN(TRIM(AI10))=0</formula>
    </cfRule>
    <cfRule type="cellIs" dxfId="1635" priority="269" stopIfTrue="1" operator="greaterThan">
      <formula>-30</formula>
    </cfRule>
    <cfRule type="cellIs" dxfId="1634" priority="270" stopIfTrue="1" operator="between">
      <formula>-33</formula>
      <formula>-30</formula>
    </cfRule>
  </conditionalFormatting>
  <conditionalFormatting sqref="AR8">
    <cfRule type="containsBlanks" priority="265" stopIfTrue="1">
      <formula>LEN(TRIM(AR8))=0</formula>
    </cfRule>
    <cfRule type="cellIs" dxfId="1633" priority="266" stopIfTrue="1" operator="greaterThan">
      <formula>-30</formula>
    </cfRule>
    <cfRule type="cellIs" dxfId="1632" priority="267" stopIfTrue="1" operator="between">
      <formula>-33</formula>
      <formula>-30</formula>
    </cfRule>
  </conditionalFormatting>
  <conditionalFormatting sqref="AR9">
    <cfRule type="containsBlanks" priority="262" stopIfTrue="1">
      <formula>LEN(TRIM(AR9))=0</formula>
    </cfRule>
    <cfRule type="cellIs" dxfId="1631" priority="263" stopIfTrue="1" operator="greaterThan">
      <formula>-30</formula>
    </cfRule>
    <cfRule type="cellIs" dxfId="1630" priority="264" stopIfTrue="1" operator="between">
      <formula>-33</formula>
      <formula>-30</formula>
    </cfRule>
  </conditionalFormatting>
  <conditionalFormatting sqref="AR10">
    <cfRule type="containsBlanks" priority="259" stopIfTrue="1">
      <formula>LEN(TRIM(AR10))=0</formula>
    </cfRule>
    <cfRule type="cellIs" dxfId="1629" priority="260" stopIfTrue="1" operator="greaterThan">
      <formula>-30</formula>
    </cfRule>
    <cfRule type="cellIs" dxfId="1628" priority="261" stopIfTrue="1" operator="between">
      <formula>-33</formula>
      <formula>-30</formula>
    </cfRule>
  </conditionalFormatting>
  <conditionalFormatting sqref="BA8">
    <cfRule type="containsBlanks" priority="256" stopIfTrue="1">
      <formula>LEN(TRIM(BA8))=0</formula>
    </cfRule>
    <cfRule type="cellIs" dxfId="1627" priority="257" stopIfTrue="1" operator="greaterThan">
      <formula>-30</formula>
    </cfRule>
    <cfRule type="cellIs" dxfId="1626" priority="258" stopIfTrue="1" operator="between">
      <formula>-33</formula>
      <formula>-30</formula>
    </cfRule>
  </conditionalFormatting>
  <conditionalFormatting sqref="BA9">
    <cfRule type="containsBlanks" priority="253" stopIfTrue="1">
      <formula>LEN(TRIM(BA9))=0</formula>
    </cfRule>
    <cfRule type="cellIs" dxfId="1625" priority="254" stopIfTrue="1" operator="greaterThan">
      <formula>-30</formula>
    </cfRule>
    <cfRule type="cellIs" dxfId="1624" priority="255" stopIfTrue="1" operator="between">
      <formula>-33</formula>
      <formula>-30</formula>
    </cfRule>
  </conditionalFormatting>
  <conditionalFormatting sqref="BA10">
    <cfRule type="containsBlanks" priority="250" stopIfTrue="1">
      <formula>LEN(TRIM(BA10))=0</formula>
    </cfRule>
    <cfRule type="cellIs" dxfId="1623" priority="251" stopIfTrue="1" operator="greaterThan">
      <formula>-30</formula>
    </cfRule>
    <cfRule type="cellIs" dxfId="1622" priority="252" stopIfTrue="1" operator="between">
      <formula>-33</formula>
      <formula>-30</formula>
    </cfRule>
  </conditionalFormatting>
  <conditionalFormatting sqref="BJ8">
    <cfRule type="containsBlanks" priority="247" stopIfTrue="1">
      <formula>LEN(TRIM(BJ8))=0</formula>
    </cfRule>
    <cfRule type="cellIs" dxfId="1621" priority="248" stopIfTrue="1" operator="greaterThan">
      <formula>-30</formula>
    </cfRule>
    <cfRule type="cellIs" dxfId="1620" priority="249" stopIfTrue="1" operator="between">
      <formula>-33</formula>
      <formula>-30</formula>
    </cfRule>
  </conditionalFormatting>
  <conditionalFormatting sqref="BJ9">
    <cfRule type="containsBlanks" priority="244" stopIfTrue="1">
      <formula>LEN(TRIM(BJ9))=0</formula>
    </cfRule>
    <cfRule type="cellIs" dxfId="1619" priority="245" stopIfTrue="1" operator="greaterThan">
      <formula>-30</formula>
    </cfRule>
    <cfRule type="cellIs" dxfId="1618" priority="246" stopIfTrue="1" operator="between">
      <formula>-33</formula>
      <formula>-30</formula>
    </cfRule>
  </conditionalFormatting>
  <conditionalFormatting sqref="BJ10">
    <cfRule type="containsBlanks" priority="241" stopIfTrue="1">
      <formula>LEN(TRIM(BJ10))=0</formula>
    </cfRule>
    <cfRule type="cellIs" dxfId="1617" priority="242" stopIfTrue="1" operator="greaterThan">
      <formula>-30</formula>
    </cfRule>
    <cfRule type="cellIs" dxfId="1616" priority="243" stopIfTrue="1" operator="between">
      <formula>-33</formula>
      <formula>-30</formula>
    </cfRule>
  </conditionalFormatting>
  <conditionalFormatting sqref="Z8">
    <cfRule type="containsBlanks" priority="220" stopIfTrue="1">
      <formula>LEN(TRIM(Z8))=0</formula>
    </cfRule>
    <cfRule type="cellIs" dxfId="1615" priority="221" stopIfTrue="1" operator="greaterThan">
      <formula>-30</formula>
    </cfRule>
    <cfRule type="cellIs" dxfId="1614" priority="222" stopIfTrue="1" operator="between">
      <formula>-33</formula>
      <formula>-30</formula>
    </cfRule>
  </conditionalFormatting>
  <conditionalFormatting sqref="Z9">
    <cfRule type="containsBlanks" priority="217" stopIfTrue="1">
      <formula>LEN(TRIM(Z9))=0</formula>
    </cfRule>
    <cfRule type="cellIs" dxfId="1613" priority="218" stopIfTrue="1" operator="greaterThan">
      <formula>-30</formula>
    </cfRule>
    <cfRule type="cellIs" dxfId="1612" priority="219" stopIfTrue="1" operator="between">
      <formula>-33</formula>
      <formula>-30</formula>
    </cfRule>
  </conditionalFormatting>
  <conditionalFormatting sqref="Z10">
    <cfRule type="containsBlanks" priority="214" stopIfTrue="1">
      <formula>LEN(TRIM(Z10))=0</formula>
    </cfRule>
    <cfRule type="cellIs" dxfId="1611" priority="215" stopIfTrue="1" operator="greaterThan">
      <formula>-30</formula>
    </cfRule>
    <cfRule type="cellIs" dxfId="1610" priority="216" stopIfTrue="1" operator="between">
      <formula>-33</formula>
      <formula>-30</formula>
    </cfRule>
  </conditionalFormatting>
  <conditionalFormatting sqref="AI8">
    <cfRule type="containsBlanks" priority="211" stopIfTrue="1">
      <formula>LEN(TRIM(AI8))=0</formula>
    </cfRule>
    <cfRule type="cellIs" dxfId="1609" priority="212" stopIfTrue="1" operator="greaterThan">
      <formula>-30</formula>
    </cfRule>
    <cfRule type="cellIs" dxfId="1608" priority="213" stopIfTrue="1" operator="between">
      <formula>-33</formula>
      <formula>-30</formula>
    </cfRule>
  </conditionalFormatting>
  <conditionalFormatting sqref="AI9">
    <cfRule type="containsBlanks" priority="208" stopIfTrue="1">
      <formula>LEN(TRIM(AI9))=0</formula>
    </cfRule>
    <cfRule type="cellIs" dxfId="1607" priority="209" stopIfTrue="1" operator="greaterThan">
      <formula>-30</formula>
    </cfRule>
    <cfRule type="cellIs" dxfId="1606" priority="210" stopIfTrue="1" operator="between">
      <formula>-33</formula>
      <formula>-30</formula>
    </cfRule>
  </conditionalFormatting>
  <conditionalFormatting sqref="AI10">
    <cfRule type="containsBlanks" priority="205" stopIfTrue="1">
      <formula>LEN(TRIM(AI10))=0</formula>
    </cfRule>
    <cfRule type="cellIs" dxfId="1605" priority="206" stopIfTrue="1" operator="greaterThan">
      <formula>-30</formula>
    </cfRule>
    <cfRule type="cellIs" dxfId="1604" priority="207" stopIfTrue="1" operator="between">
      <formula>-33</formula>
      <formula>-30</formula>
    </cfRule>
  </conditionalFormatting>
  <conditionalFormatting sqref="AR8">
    <cfRule type="containsBlanks" priority="202" stopIfTrue="1">
      <formula>LEN(TRIM(AR8))=0</formula>
    </cfRule>
    <cfRule type="cellIs" dxfId="1603" priority="203" stopIfTrue="1" operator="greaterThan">
      <formula>-30</formula>
    </cfRule>
    <cfRule type="cellIs" dxfId="1602" priority="204" stopIfTrue="1" operator="between">
      <formula>-33</formula>
      <formula>-30</formula>
    </cfRule>
  </conditionalFormatting>
  <conditionalFormatting sqref="AR9">
    <cfRule type="containsBlanks" priority="199" stopIfTrue="1">
      <formula>LEN(TRIM(AR9))=0</formula>
    </cfRule>
    <cfRule type="cellIs" dxfId="1601" priority="200" stopIfTrue="1" operator="greaterThan">
      <formula>-30</formula>
    </cfRule>
    <cfRule type="cellIs" dxfId="1600" priority="201" stopIfTrue="1" operator="between">
      <formula>-33</formula>
      <formula>-30</formula>
    </cfRule>
  </conditionalFormatting>
  <conditionalFormatting sqref="AR10">
    <cfRule type="containsBlanks" priority="196" stopIfTrue="1">
      <formula>LEN(TRIM(AR10))=0</formula>
    </cfRule>
    <cfRule type="cellIs" dxfId="1599" priority="197" stopIfTrue="1" operator="greaterThan">
      <formula>-30</formula>
    </cfRule>
    <cfRule type="cellIs" dxfId="1598" priority="198" stopIfTrue="1" operator="between">
      <formula>-33</formula>
      <formula>-30</formula>
    </cfRule>
  </conditionalFormatting>
  <conditionalFormatting sqref="BA8">
    <cfRule type="containsBlanks" priority="193" stopIfTrue="1">
      <formula>LEN(TRIM(BA8))=0</formula>
    </cfRule>
    <cfRule type="cellIs" dxfId="1597" priority="194" stopIfTrue="1" operator="greaterThan">
      <formula>-30</formula>
    </cfRule>
    <cfRule type="cellIs" dxfId="1596" priority="195" stopIfTrue="1" operator="between">
      <formula>-33</formula>
      <formula>-30</formula>
    </cfRule>
  </conditionalFormatting>
  <conditionalFormatting sqref="BA9">
    <cfRule type="containsBlanks" priority="190" stopIfTrue="1">
      <formula>LEN(TRIM(BA9))=0</formula>
    </cfRule>
    <cfRule type="cellIs" dxfId="1595" priority="191" stopIfTrue="1" operator="greaterThan">
      <formula>-30</formula>
    </cfRule>
    <cfRule type="cellIs" dxfId="1594" priority="192" stopIfTrue="1" operator="between">
      <formula>-33</formula>
      <formula>-30</formula>
    </cfRule>
  </conditionalFormatting>
  <conditionalFormatting sqref="BA10">
    <cfRule type="containsBlanks" priority="187" stopIfTrue="1">
      <formula>LEN(TRIM(BA10))=0</formula>
    </cfRule>
    <cfRule type="cellIs" dxfId="1593" priority="188" stopIfTrue="1" operator="greaterThan">
      <formula>-30</formula>
    </cfRule>
    <cfRule type="cellIs" dxfId="1592" priority="189" stopIfTrue="1" operator="between">
      <formula>-33</formula>
      <formula>-30</formula>
    </cfRule>
  </conditionalFormatting>
  <conditionalFormatting sqref="BJ8">
    <cfRule type="containsBlanks" priority="184" stopIfTrue="1">
      <formula>LEN(TRIM(BJ8))=0</formula>
    </cfRule>
    <cfRule type="cellIs" dxfId="1591" priority="185" stopIfTrue="1" operator="greaterThan">
      <formula>-30</formula>
    </cfRule>
    <cfRule type="cellIs" dxfId="1590" priority="186" stopIfTrue="1" operator="between">
      <formula>-33</formula>
      <formula>-30</formula>
    </cfRule>
  </conditionalFormatting>
  <conditionalFormatting sqref="BJ9">
    <cfRule type="containsBlanks" priority="181" stopIfTrue="1">
      <formula>LEN(TRIM(BJ9))=0</formula>
    </cfRule>
    <cfRule type="cellIs" dxfId="1589" priority="182" stopIfTrue="1" operator="greaterThan">
      <formula>-30</formula>
    </cfRule>
    <cfRule type="cellIs" dxfId="1588" priority="183" stopIfTrue="1" operator="between">
      <formula>-33</formula>
      <formula>-30</formula>
    </cfRule>
  </conditionalFormatting>
  <conditionalFormatting sqref="BJ10">
    <cfRule type="containsBlanks" priority="178" stopIfTrue="1">
      <formula>LEN(TRIM(BJ10))=0</formula>
    </cfRule>
    <cfRule type="cellIs" dxfId="1587" priority="179" stopIfTrue="1" operator="greaterThan">
      <formula>-30</formula>
    </cfRule>
    <cfRule type="cellIs" dxfId="1586" priority="180" stopIfTrue="1" operator="between">
      <formula>-33</formula>
      <formula>-30</formula>
    </cfRule>
  </conditionalFormatting>
  <conditionalFormatting sqref="H11">
    <cfRule type="containsBlanks" priority="139" stopIfTrue="1">
      <formula>LEN(TRIM(H11))=0</formula>
    </cfRule>
    <cfRule type="cellIs" dxfId="1585" priority="140" stopIfTrue="1" operator="greaterThan">
      <formula>-30</formula>
    </cfRule>
    <cfRule type="cellIs" dxfId="1584" priority="141" stopIfTrue="1" operator="between">
      <formula>-33</formula>
      <formula>-30</formula>
    </cfRule>
  </conditionalFormatting>
  <conditionalFormatting sqref="H12">
    <cfRule type="containsBlanks" priority="136" stopIfTrue="1">
      <formula>LEN(TRIM(H12))=0</formula>
    </cfRule>
    <cfRule type="cellIs" dxfId="1583" priority="137" stopIfTrue="1" operator="greaterThan">
      <formula>-30</formula>
    </cfRule>
    <cfRule type="cellIs" dxfId="1582" priority="138" stopIfTrue="1" operator="between">
      <formula>-33</formula>
      <formula>-30</formula>
    </cfRule>
  </conditionalFormatting>
  <conditionalFormatting sqref="Q11">
    <cfRule type="containsBlanks" priority="133" stopIfTrue="1">
      <formula>LEN(TRIM(Q11))=0</formula>
    </cfRule>
    <cfRule type="cellIs" dxfId="1581" priority="134" stopIfTrue="1" operator="greaterThan">
      <formula>-30</formula>
    </cfRule>
    <cfRule type="cellIs" dxfId="1580" priority="135" stopIfTrue="1" operator="between">
      <formula>-33</formula>
      <formula>-30</formula>
    </cfRule>
  </conditionalFormatting>
  <conditionalFormatting sqref="Q12">
    <cfRule type="containsBlanks" priority="130" stopIfTrue="1">
      <formula>LEN(TRIM(Q12))=0</formula>
    </cfRule>
    <cfRule type="cellIs" dxfId="1579" priority="131" stopIfTrue="1" operator="greaterThan">
      <formula>-30</formula>
    </cfRule>
    <cfRule type="cellIs" dxfId="1578" priority="132" stopIfTrue="1" operator="between">
      <formula>-33</formula>
      <formula>-30</formula>
    </cfRule>
  </conditionalFormatting>
  <conditionalFormatting sqref="Z11">
    <cfRule type="containsBlanks" priority="127" stopIfTrue="1">
      <formula>LEN(TRIM(Z11))=0</formula>
    </cfRule>
    <cfRule type="cellIs" dxfId="1577" priority="128" stopIfTrue="1" operator="greaterThan">
      <formula>-30</formula>
    </cfRule>
    <cfRule type="cellIs" dxfId="1576" priority="129" stopIfTrue="1" operator="between">
      <formula>-33</formula>
      <formula>-30</formula>
    </cfRule>
  </conditionalFormatting>
  <conditionalFormatting sqref="Z12">
    <cfRule type="containsBlanks" priority="124" stopIfTrue="1">
      <formula>LEN(TRIM(Z12))=0</formula>
    </cfRule>
    <cfRule type="cellIs" dxfId="1575" priority="125" stopIfTrue="1" operator="greaterThan">
      <formula>-30</formula>
    </cfRule>
    <cfRule type="cellIs" dxfId="1574" priority="126" stopIfTrue="1" operator="between">
      <formula>-33</formula>
      <formula>-30</formula>
    </cfRule>
  </conditionalFormatting>
  <conditionalFormatting sqref="AI11">
    <cfRule type="containsBlanks" priority="121" stopIfTrue="1">
      <formula>LEN(TRIM(AI11))=0</formula>
    </cfRule>
    <cfRule type="cellIs" dxfId="1573" priority="122" stopIfTrue="1" operator="greaterThan">
      <formula>-30</formula>
    </cfRule>
    <cfRule type="cellIs" dxfId="1572" priority="123" stopIfTrue="1" operator="between">
      <formula>-33</formula>
      <formula>-30</formula>
    </cfRule>
  </conditionalFormatting>
  <conditionalFormatting sqref="AI12:AI22">
    <cfRule type="containsBlanks" priority="118" stopIfTrue="1">
      <formula>LEN(TRIM(AI12))=0</formula>
    </cfRule>
    <cfRule type="cellIs" dxfId="1571" priority="119" stopIfTrue="1" operator="greaterThan">
      <formula>-30</formula>
    </cfRule>
    <cfRule type="cellIs" dxfId="1570" priority="120" stopIfTrue="1" operator="between">
      <formula>-33</formula>
      <formula>-30</formula>
    </cfRule>
  </conditionalFormatting>
  <conditionalFormatting sqref="AR11">
    <cfRule type="containsBlanks" priority="115" stopIfTrue="1">
      <formula>LEN(TRIM(AR11))=0</formula>
    </cfRule>
    <cfRule type="cellIs" dxfId="1569" priority="116" stopIfTrue="1" operator="greaterThan">
      <formula>-30</formula>
    </cfRule>
    <cfRule type="cellIs" dxfId="1568" priority="117" stopIfTrue="1" operator="between">
      <formula>-33</formula>
      <formula>-30</formula>
    </cfRule>
  </conditionalFormatting>
  <conditionalFormatting sqref="AR12:AR22">
    <cfRule type="containsBlanks" priority="112" stopIfTrue="1">
      <formula>LEN(TRIM(AR12))=0</formula>
    </cfRule>
    <cfRule type="cellIs" dxfId="1567" priority="113" stopIfTrue="1" operator="greaterThan">
      <formula>-30</formula>
    </cfRule>
    <cfRule type="cellIs" dxfId="1566" priority="114" stopIfTrue="1" operator="between">
      <formula>-33</formula>
      <formula>-30</formula>
    </cfRule>
  </conditionalFormatting>
  <conditionalFormatting sqref="BA11">
    <cfRule type="containsBlanks" priority="109" stopIfTrue="1">
      <formula>LEN(TRIM(BA11))=0</formula>
    </cfRule>
    <cfRule type="cellIs" dxfId="1565" priority="110" stopIfTrue="1" operator="greaterThan">
      <formula>-30</formula>
    </cfRule>
    <cfRule type="cellIs" dxfId="1564" priority="111" stopIfTrue="1" operator="between">
      <formula>-33</formula>
      <formula>-30</formula>
    </cfRule>
  </conditionalFormatting>
  <conditionalFormatting sqref="BA12:BA22">
    <cfRule type="containsBlanks" priority="106" stopIfTrue="1">
      <formula>LEN(TRIM(BA12))=0</formula>
    </cfRule>
    <cfRule type="cellIs" dxfId="1563" priority="107" stopIfTrue="1" operator="greaterThan">
      <formula>-30</formula>
    </cfRule>
    <cfRule type="cellIs" dxfId="1562" priority="108" stopIfTrue="1" operator="between">
      <formula>-33</formula>
      <formula>-30</formula>
    </cfRule>
  </conditionalFormatting>
  <conditionalFormatting sqref="BJ11">
    <cfRule type="containsBlanks" priority="103" stopIfTrue="1">
      <formula>LEN(TRIM(BJ11))=0</formula>
    </cfRule>
    <cfRule type="cellIs" dxfId="1561" priority="104" stopIfTrue="1" operator="greaterThan">
      <formula>-30</formula>
    </cfRule>
    <cfRule type="cellIs" dxfId="1560" priority="105" stopIfTrue="1" operator="between">
      <formula>-33</formula>
      <formula>-30</formula>
    </cfRule>
  </conditionalFormatting>
  <conditionalFormatting sqref="BJ12:BJ22">
    <cfRule type="containsBlanks" priority="100" stopIfTrue="1">
      <formula>LEN(TRIM(BJ12))=0</formula>
    </cfRule>
    <cfRule type="cellIs" dxfId="1559" priority="101" stopIfTrue="1" operator="greaterThan">
      <formula>-30</formula>
    </cfRule>
    <cfRule type="cellIs" dxfId="1558" priority="102" stopIfTrue="1" operator="between">
      <formula>-33</formula>
      <formula>-30</formula>
    </cfRule>
  </conditionalFormatting>
  <conditionalFormatting sqref="H20">
    <cfRule type="containsBlanks" priority="10" stopIfTrue="1">
      <formula>LEN(TRIM(H20))=0</formula>
    </cfRule>
    <cfRule type="cellIs" dxfId="1557" priority="11" stopIfTrue="1" operator="greaterThan">
      <formula>-30</formula>
    </cfRule>
    <cfRule type="cellIs" dxfId="1556" priority="12" stopIfTrue="1" operator="between">
      <formula>-33</formula>
      <formula>-30</formula>
    </cfRule>
  </conditionalFormatting>
  <conditionalFormatting sqref="H21">
    <cfRule type="containsBlanks" priority="7" stopIfTrue="1">
      <formula>LEN(TRIM(H21))=0</formula>
    </cfRule>
    <cfRule type="cellIs" dxfId="1555" priority="8" stopIfTrue="1" operator="greaterThan">
      <formula>-30</formula>
    </cfRule>
    <cfRule type="cellIs" dxfId="1554" priority="9" stopIfTrue="1" operator="between">
      <formula>-33</formula>
      <formula>-30</formula>
    </cfRule>
  </conditionalFormatting>
  <conditionalFormatting sqref="H22">
    <cfRule type="containsBlanks" priority="4" stopIfTrue="1">
      <formula>LEN(TRIM(H22))=0</formula>
    </cfRule>
    <cfRule type="cellIs" dxfId="1553" priority="5" stopIfTrue="1" operator="greaterThan">
      <formula>-30</formula>
    </cfRule>
    <cfRule type="cellIs" dxfId="1552" priority="6" stopIfTrue="1" operator="between">
      <formula>-33</formula>
      <formula>-30</formula>
    </cfRule>
  </conditionalFormatting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CC19"/>
  <sheetViews>
    <sheetView topLeftCell="AZ4" zoomScale="80" zoomScaleNormal="80" workbookViewId="0">
      <selection activeCell="BS7" sqref="BS7:BS19"/>
    </sheetView>
  </sheetViews>
  <sheetFormatPr defaultRowHeight="13.5"/>
  <cols>
    <col min="3" max="3" width="9.875" bestFit="1" customWidth="1"/>
    <col min="4" max="4" width="9" customWidth="1"/>
    <col min="9" max="9" width="7.625" bestFit="1" customWidth="1"/>
    <col min="10" max="10" width="7.75" bestFit="1" customWidth="1"/>
    <col min="11" max="11" width="8" bestFit="1" customWidth="1"/>
    <col min="12" max="12" width="9.875" bestFit="1" customWidth="1"/>
    <col min="13" max="13" width="9" customWidth="1"/>
    <col min="18" max="18" width="7.625" bestFit="1" customWidth="1"/>
    <col min="19" max="19" width="7.75" bestFit="1" customWidth="1"/>
    <col min="20" max="20" width="8" bestFit="1" customWidth="1"/>
    <col min="21" max="21" width="9.875" bestFit="1" customWidth="1"/>
    <col min="22" max="22" width="9" customWidth="1"/>
    <col min="27" max="27" width="7.625" bestFit="1" customWidth="1"/>
    <col min="259" max="259" width="9.875" bestFit="1" customWidth="1"/>
    <col min="260" max="260" width="9" customWidth="1"/>
    <col min="265" max="265" width="7.625" bestFit="1" customWidth="1"/>
    <col min="266" max="266" width="7.75" bestFit="1" customWidth="1"/>
    <col min="267" max="267" width="8" bestFit="1" customWidth="1"/>
    <col min="268" max="268" width="9.875" bestFit="1" customWidth="1"/>
    <col min="269" max="269" width="9" customWidth="1"/>
    <col min="274" max="274" width="7.625" bestFit="1" customWidth="1"/>
    <col min="275" max="275" width="7.75" bestFit="1" customWidth="1"/>
    <col min="276" max="276" width="8" bestFit="1" customWidth="1"/>
    <col min="277" max="277" width="9.875" bestFit="1" customWidth="1"/>
    <col min="278" max="278" width="9" customWidth="1"/>
    <col min="283" max="283" width="7.625" bestFit="1" customWidth="1"/>
    <col min="515" max="515" width="9.875" bestFit="1" customWidth="1"/>
    <col min="516" max="516" width="9" customWidth="1"/>
    <col min="521" max="521" width="7.625" bestFit="1" customWidth="1"/>
    <col min="522" max="522" width="7.75" bestFit="1" customWidth="1"/>
    <col min="523" max="523" width="8" bestFit="1" customWidth="1"/>
    <col min="524" max="524" width="9.875" bestFit="1" customWidth="1"/>
    <col min="525" max="525" width="9" customWidth="1"/>
    <col min="530" max="530" width="7.625" bestFit="1" customWidth="1"/>
    <col min="531" max="531" width="7.75" bestFit="1" customWidth="1"/>
    <col min="532" max="532" width="8" bestFit="1" customWidth="1"/>
    <col min="533" max="533" width="9.875" bestFit="1" customWidth="1"/>
    <col min="534" max="534" width="9" customWidth="1"/>
    <col min="539" max="539" width="7.625" bestFit="1" customWidth="1"/>
    <col min="771" max="771" width="9.875" bestFit="1" customWidth="1"/>
    <col min="772" max="772" width="9" customWidth="1"/>
    <col min="777" max="777" width="7.625" bestFit="1" customWidth="1"/>
    <col min="778" max="778" width="7.75" bestFit="1" customWidth="1"/>
    <col min="779" max="779" width="8" bestFit="1" customWidth="1"/>
    <col min="780" max="780" width="9.875" bestFit="1" customWidth="1"/>
    <col min="781" max="781" width="9" customWidth="1"/>
    <col min="786" max="786" width="7.625" bestFit="1" customWidth="1"/>
    <col min="787" max="787" width="7.75" bestFit="1" customWidth="1"/>
    <col min="788" max="788" width="8" bestFit="1" customWidth="1"/>
    <col min="789" max="789" width="9.875" bestFit="1" customWidth="1"/>
    <col min="790" max="790" width="9" customWidth="1"/>
    <col min="795" max="795" width="7.625" bestFit="1" customWidth="1"/>
    <col min="1027" max="1027" width="9.875" bestFit="1" customWidth="1"/>
    <col min="1028" max="1028" width="9" customWidth="1"/>
    <col min="1033" max="1033" width="7.625" bestFit="1" customWidth="1"/>
    <col min="1034" max="1034" width="7.75" bestFit="1" customWidth="1"/>
    <col min="1035" max="1035" width="8" bestFit="1" customWidth="1"/>
    <col min="1036" max="1036" width="9.875" bestFit="1" customWidth="1"/>
    <col min="1037" max="1037" width="9" customWidth="1"/>
    <col min="1042" max="1042" width="7.625" bestFit="1" customWidth="1"/>
    <col min="1043" max="1043" width="7.75" bestFit="1" customWidth="1"/>
    <col min="1044" max="1044" width="8" bestFit="1" customWidth="1"/>
    <col min="1045" max="1045" width="9.875" bestFit="1" customWidth="1"/>
    <col min="1046" max="1046" width="9" customWidth="1"/>
    <col min="1051" max="1051" width="7.625" bestFit="1" customWidth="1"/>
    <col min="1283" max="1283" width="9.875" bestFit="1" customWidth="1"/>
    <col min="1284" max="1284" width="9" customWidth="1"/>
    <col min="1289" max="1289" width="7.625" bestFit="1" customWidth="1"/>
    <col min="1290" max="1290" width="7.75" bestFit="1" customWidth="1"/>
    <col min="1291" max="1291" width="8" bestFit="1" customWidth="1"/>
    <col min="1292" max="1292" width="9.875" bestFit="1" customWidth="1"/>
    <col min="1293" max="1293" width="9" customWidth="1"/>
    <col min="1298" max="1298" width="7.625" bestFit="1" customWidth="1"/>
    <col min="1299" max="1299" width="7.75" bestFit="1" customWidth="1"/>
    <col min="1300" max="1300" width="8" bestFit="1" customWidth="1"/>
    <col min="1301" max="1301" width="9.875" bestFit="1" customWidth="1"/>
    <col min="1302" max="1302" width="9" customWidth="1"/>
    <col min="1307" max="1307" width="7.625" bestFit="1" customWidth="1"/>
    <col min="1539" max="1539" width="9.875" bestFit="1" customWidth="1"/>
    <col min="1540" max="1540" width="9" customWidth="1"/>
    <col min="1545" max="1545" width="7.625" bestFit="1" customWidth="1"/>
    <col min="1546" max="1546" width="7.75" bestFit="1" customWidth="1"/>
    <col min="1547" max="1547" width="8" bestFit="1" customWidth="1"/>
    <col min="1548" max="1548" width="9.875" bestFit="1" customWidth="1"/>
    <col min="1549" max="1549" width="9" customWidth="1"/>
    <col min="1554" max="1554" width="7.625" bestFit="1" customWidth="1"/>
    <col min="1555" max="1555" width="7.75" bestFit="1" customWidth="1"/>
    <col min="1556" max="1556" width="8" bestFit="1" customWidth="1"/>
    <col min="1557" max="1557" width="9.875" bestFit="1" customWidth="1"/>
    <col min="1558" max="1558" width="9" customWidth="1"/>
    <col min="1563" max="1563" width="7.625" bestFit="1" customWidth="1"/>
    <col min="1795" max="1795" width="9.875" bestFit="1" customWidth="1"/>
    <col min="1796" max="1796" width="9" customWidth="1"/>
    <col min="1801" max="1801" width="7.625" bestFit="1" customWidth="1"/>
    <col min="1802" max="1802" width="7.75" bestFit="1" customWidth="1"/>
    <col min="1803" max="1803" width="8" bestFit="1" customWidth="1"/>
    <col min="1804" max="1804" width="9.875" bestFit="1" customWidth="1"/>
    <col min="1805" max="1805" width="9" customWidth="1"/>
    <col min="1810" max="1810" width="7.625" bestFit="1" customWidth="1"/>
    <col min="1811" max="1811" width="7.75" bestFit="1" customWidth="1"/>
    <col min="1812" max="1812" width="8" bestFit="1" customWidth="1"/>
    <col min="1813" max="1813" width="9.875" bestFit="1" customWidth="1"/>
    <col min="1814" max="1814" width="9" customWidth="1"/>
    <col min="1819" max="1819" width="7.625" bestFit="1" customWidth="1"/>
    <col min="2051" max="2051" width="9.875" bestFit="1" customWidth="1"/>
    <col min="2052" max="2052" width="9" customWidth="1"/>
    <col min="2057" max="2057" width="7.625" bestFit="1" customWidth="1"/>
    <col min="2058" max="2058" width="7.75" bestFit="1" customWidth="1"/>
    <col min="2059" max="2059" width="8" bestFit="1" customWidth="1"/>
    <col min="2060" max="2060" width="9.875" bestFit="1" customWidth="1"/>
    <col min="2061" max="2061" width="9" customWidth="1"/>
    <col min="2066" max="2066" width="7.625" bestFit="1" customWidth="1"/>
    <col min="2067" max="2067" width="7.75" bestFit="1" customWidth="1"/>
    <col min="2068" max="2068" width="8" bestFit="1" customWidth="1"/>
    <col min="2069" max="2069" width="9.875" bestFit="1" customWidth="1"/>
    <col min="2070" max="2070" width="9" customWidth="1"/>
    <col min="2075" max="2075" width="7.625" bestFit="1" customWidth="1"/>
    <col min="2307" max="2307" width="9.875" bestFit="1" customWidth="1"/>
    <col min="2308" max="2308" width="9" customWidth="1"/>
    <col min="2313" max="2313" width="7.625" bestFit="1" customWidth="1"/>
    <col min="2314" max="2314" width="7.75" bestFit="1" customWidth="1"/>
    <col min="2315" max="2315" width="8" bestFit="1" customWidth="1"/>
    <col min="2316" max="2316" width="9.875" bestFit="1" customWidth="1"/>
    <col min="2317" max="2317" width="9" customWidth="1"/>
    <col min="2322" max="2322" width="7.625" bestFit="1" customWidth="1"/>
    <col min="2323" max="2323" width="7.75" bestFit="1" customWidth="1"/>
    <col min="2324" max="2324" width="8" bestFit="1" customWidth="1"/>
    <col min="2325" max="2325" width="9.875" bestFit="1" customWidth="1"/>
    <col min="2326" max="2326" width="9" customWidth="1"/>
    <col min="2331" max="2331" width="7.625" bestFit="1" customWidth="1"/>
    <col min="2563" max="2563" width="9.875" bestFit="1" customWidth="1"/>
    <col min="2564" max="2564" width="9" customWidth="1"/>
    <col min="2569" max="2569" width="7.625" bestFit="1" customWidth="1"/>
    <col min="2570" max="2570" width="7.75" bestFit="1" customWidth="1"/>
    <col min="2571" max="2571" width="8" bestFit="1" customWidth="1"/>
    <col min="2572" max="2572" width="9.875" bestFit="1" customWidth="1"/>
    <col min="2573" max="2573" width="9" customWidth="1"/>
    <col min="2578" max="2578" width="7.625" bestFit="1" customWidth="1"/>
    <col min="2579" max="2579" width="7.75" bestFit="1" customWidth="1"/>
    <col min="2580" max="2580" width="8" bestFit="1" customWidth="1"/>
    <col min="2581" max="2581" width="9.875" bestFit="1" customWidth="1"/>
    <col min="2582" max="2582" width="9" customWidth="1"/>
    <col min="2587" max="2587" width="7.625" bestFit="1" customWidth="1"/>
    <col min="2819" max="2819" width="9.875" bestFit="1" customWidth="1"/>
    <col min="2820" max="2820" width="9" customWidth="1"/>
    <col min="2825" max="2825" width="7.625" bestFit="1" customWidth="1"/>
    <col min="2826" max="2826" width="7.75" bestFit="1" customWidth="1"/>
    <col min="2827" max="2827" width="8" bestFit="1" customWidth="1"/>
    <col min="2828" max="2828" width="9.875" bestFit="1" customWidth="1"/>
    <col min="2829" max="2829" width="9" customWidth="1"/>
    <col min="2834" max="2834" width="7.625" bestFit="1" customWidth="1"/>
    <col min="2835" max="2835" width="7.75" bestFit="1" customWidth="1"/>
    <col min="2836" max="2836" width="8" bestFit="1" customWidth="1"/>
    <col min="2837" max="2837" width="9.875" bestFit="1" customWidth="1"/>
    <col min="2838" max="2838" width="9" customWidth="1"/>
    <col min="2843" max="2843" width="7.625" bestFit="1" customWidth="1"/>
    <col min="3075" max="3075" width="9.875" bestFit="1" customWidth="1"/>
    <col min="3076" max="3076" width="9" customWidth="1"/>
    <col min="3081" max="3081" width="7.625" bestFit="1" customWidth="1"/>
    <col min="3082" max="3082" width="7.75" bestFit="1" customWidth="1"/>
    <col min="3083" max="3083" width="8" bestFit="1" customWidth="1"/>
    <col min="3084" max="3084" width="9.875" bestFit="1" customWidth="1"/>
    <col min="3085" max="3085" width="9" customWidth="1"/>
    <col min="3090" max="3090" width="7.625" bestFit="1" customWidth="1"/>
    <col min="3091" max="3091" width="7.75" bestFit="1" customWidth="1"/>
    <col min="3092" max="3092" width="8" bestFit="1" customWidth="1"/>
    <col min="3093" max="3093" width="9.875" bestFit="1" customWidth="1"/>
    <col min="3094" max="3094" width="9" customWidth="1"/>
    <col min="3099" max="3099" width="7.625" bestFit="1" customWidth="1"/>
    <col min="3331" max="3331" width="9.875" bestFit="1" customWidth="1"/>
    <col min="3332" max="3332" width="9" customWidth="1"/>
    <col min="3337" max="3337" width="7.625" bestFit="1" customWidth="1"/>
    <col min="3338" max="3338" width="7.75" bestFit="1" customWidth="1"/>
    <col min="3339" max="3339" width="8" bestFit="1" customWidth="1"/>
    <col min="3340" max="3340" width="9.875" bestFit="1" customWidth="1"/>
    <col min="3341" max="3341" width="9" customWidth="1"/>
    <col min="3346" max="3346" width="7.625" bestFit="1" customWidth="1"/>
    <col min="3347" max="3347" width="7.75" bestFit="1" customWidth="1"/>
    <col min="3348" max="3348" width="8" bestFit="1" customWidth="1"/>
    <col min="3349" max="3349" width="9.875" bestFit="1" customWidth="1"/>
    <col min="3350" max="3350" width="9" customWidth="1"/>
    <col min="3355" max="3355" width="7.625" bestFit="1" customWidth="1"/>
    <col min="3587" max="3587" width="9.875" bestFit="1" customWidth="1"/>
    <col min="3588" max="3588" width="9" customWidth="1"/>
    <col min="3593" max="3593" width="7.625" bestFit="1" customWidth="1"/>
    <col min="3594" max="3594" width="7.75" bestFit="1" customWidth="1"/>
    <col min="3595" max="3595" width="8" bestFit="1" customWidth="1"/>
    <col min="3596" max="3596" width="9.875" bestFit="1" customWidth="1"/>
    <col min="3597" max="3597" width="9" customWidth="1"/>
    <col min="3602" max="3602" width="7.625" bestFit="1" customWidth="1"/>
    <col min="3603" max="3603" width="7.75" bestFit="1" customWidth="1"/>
    <col min="3604" max="3604" width="8" bestFit="1" customWidth="1"/>
    <col min="3605" max="3605" width="9.875" bestFit="1" customWidth="1"/>
    <col min="3606" max="3606" width="9" customWidth="1"/>
    <col min="3611" max="3611" width="7.625" bestFit="1" customWidth="1"/>
    <col min="3843" max="3843" width="9.875" bestFit="1" customWidth="1"/>
    <col min="3844" max="3844" width="9" customWidth="1"/>
    <col min="3849" max="3849" width="7.625" bestFit="1" customWidth="1"/>
    <col min="3850" max="3850" width="7.75" bestFit="1" customWidth="1"/>
    <col min="3851" max="3851" width="8" bestFit="1" customWidth="1"/>
    <col min="3852" max="3852" width="9.875" bestFit="1" customWidth="1"/>
    <col min="3853" max="3853" width="9" customWidth="1"/>
    <col min="3858" max="3858" width="7.625" bestFit="1" customWidth="1"/>
    <col min="3859" max="3859" width="7.75" bestFit="1" customWidth="1"/>
    <col min="3860" max="3860" width="8" bestFit="1" customWidth="1"/>
    <col min="3861" max="3861" width="9.875" bestFit="1" customWidth="1"/>
    <col min="3862" max="3862" width="9" customWidth="1"/>
    <col min="3867" max="3867" width="7.625" bestFit="1" customWidth="1"/>
    <col min="4099" max="4099" width="9.875" bestFit="1" customWidth="1"/>
    <col min="4100" max="4100" width="9" customWidth="1"/>
    <col min="4105" max="4105" width="7.625" bestFit="1" customWidth="1"/>
    <col min="4106" max="4106" width="7.75" bestFit="1" customWidth="1"/>
    <col min="4107" max="4107" width="8" bestFit="1" customWidth="1"/>
    <col min="4108" max="4108" width="9.875" bestFit="1" customWidth="1"/>
    <col min="4109" max="4109" width="9" customWidth="1"/>
    <col min="4114" max="4114" width="7.625" bestFit="1" customWidth="1"/>
    <col min="4115" max="4115" width="7.75" bestFit="1" customWidth="1"/>
    <col min="4116" max="4116" width="8" bestFit="1" customWidth="1"/>
    <col min="4117" max="4117" width="9.875" bestFit="1" customWidth="1"/>
    <col min="4118" max="4118" width="9" customWidth="1"/>
    <col min="4123" max="4123" width="7.625" bestFit="1" customWidth="1"/>
    <col min="4355" max="4355" width="9.875" bestFit="1" customWidth="1"/>
    <col min="4356" max="4356" width="9" customWidth="1"/>
    <col min="4361" max="4361" width="7.625" bestFit="1" customWidth="1"/>
    <col min="4362" max="4362" width="7.75" bestFit="1" customWidth="1"/>
    <col min="4363" max="4363" width="8" bestFit="1" customWidth="1"/>
    <col min="4364" max="4364" width="9.875" bestFit="1" customWidth="1"/>
    <col min="4365" max="4365" width="9" customWidth="1"/>
    <col min="4370" max="4370" width="7.625" bestFit="1" customWidth="1"/>
    <col min="4371" max="4371" width="7.75" bestFit="1" customWidth="1"/>
    <col min="4372" max="4372" width="8" bestFit="1" customWidth="1"/>
    <col min="4373" max="4373" width="9.875" bestFit="1" customWidth="1"/>
    <col min="4374" max="4374" width="9" customWidth="1"/>
    <col min="4379" max="4379" width="7.625" bestFit="1" customWidth="1"/>
    <col min="4611" max="4611" width="9.875" bestFit="1" customWidth="1"/>
    <col min="4612" max="4612" width="9" customWidth="1"/>
    <col min="4617" max="4617" width="7.625" bestFit="1" customWidth="1"/>
    <col min="4618" max="4618" width="7.75" bestFit="1" customWidth="1"/>
    <col min="4619" max="4619" width="8" bestFit="1" customWidth="1"/>
    <col min="4620" max="4620" width="9.875" bestFit="1" customWidth="1"/>
    <col min="4621" max="4621" width="9" customWidth="1"/>
    <col min="4626" max="4626" width="7.625" bestFit="1" customWidth="1"/>
    <col min="4627" max="4627" width="7.75" bestFit="1" customWidth="1"/>
    <col min="4628" max="4628" width="8" bestFit="1" customWidth="1"/>
    <col min="4629" max="4629" width="9.875" bestFit="1" customWidth="1"/>
    <col min="4630" max="4630" width="9" customWidth="1"/>
    <col min="4635" max="4635" width="7.625" bestFit="1" customWidth="1"/>
    <col min="4867" max="4867" width="9.875" bestFit="1" customWidth="1"/>
    <col min="4868" max="4868" width="9" customWidth="1"/>
    <col min="4873" max="4873" width="7.625" bestFit="1" customWidth="1"/>
    <col min="4874" max="4874" width="7.75" bestFit="1" customWidth="1"/>
    <col min="4875" max="4875" width="8" bestFit="1" customWidth="1"/>
    <col min="4876" max="4876" width="9.875" bestFit="1" customWidth="1"/>
    <col min="4877" max="4877" width="9" customWidth="1"/>
    <col min="4882" max="4882" width="7.625" bestFit="1" customWidth="1"/>
    <col min="4883" max="4883" width="7.75" bestFit="1" customWidth="1"/>
    <col min="4884" max="4884" width="8" bestFit="1" customWidth="1"/>
    <col min="4885" max="4885" width="9.875" bestFit="1" customWidth="1"/>
    <col min="4886" max="4886" width="9" customWidth="1"/>
    <col min="4891" max="4891" width="7.625" bestFit="1" customWidth="1"/>
    <col min="5123" max="5123" width="9.875" bestFit="1" customWidth="1"/>
    <col min="5124" max="5124" width="9" customWidth="1"/>
    <col min="5129" max="5129" width="7.625" bestFit="1" customWidth="1"/>
    <col min="5130" max="5130" width="7.75" bestFit="1" customWidth="1"/>
    <col min="5131" max="5131" width="8" bestFit="1" customWidth="1"/>
    <col min="5132" max="5132" width="9.875" bestFit="1" customWidth="1"/>
    <col min="5133" max="5133" width="9" customWidth="1"/>
    <col min="5138" max="5138" width="7.625" bestFit="1" customWidth="1"/>
    <col min="5139" max="5139" width="7.75" bestFit="1" customWidth="1"/>
    <col min="5140" max="5140" width="8" bestFit="1" customWidth="1"/>
    <col min="5141" max="5141" width="9.875" bestFit="1" customWidth="1"/>
    <col min="5142" max="5142" width="9" customWidth="1"/>
    <col min="5147" max="5147" width="7.625" bestFit="1" customWidth="1"/>
    <col min="5379" max="5379" width="9.875" bestFit="1" customWidth="1"/>
    <col min="5380" max="5380" width="9" customWidth="1"/>
    <col min="5385" max="5385" width="7.625" bestFit="1" customWidth="1"/>
    <col min="5386" max="5386" width="7.75" bestFit="1" customWidth="1"/>
    <col min="5387" max="5387" width="8" bestFit="1" customWidth="1"/>
    <col min="5388" max="5388" width="9.875" bestFit="1" customWidth="1"/>
    <col min="5389" max="5389" width="9" customWidth="1"/>
    <col min="5394" max="5394" width="7.625" bestFit="1" customWidth="1"/>
    <col min="5395" max="5395" width="7.75" bestFit="1" customWidth="1"/>
    <col min="5396" max="5396" width="8" bestFit="1" customWidth="1"/>
    <col min="5397" max="5397" width="9.875" bestFit="1" customWidth="1"/>
    <col min="5398" max="5398" width="9" customWidth="1"/>
    <col min="5403" max="5403" width="7.625" bestFit="1" customWidth="1"/>
    <col min="5635" max="5635" width="9.875" bestFit="1" customWidth="1"/>
    <col min="5636" max="5636" width="9" customWidth="1"/>
    <col min="5641" max="5641" width="7.625" bestFit="1" customWidth="1"/>
    <col min="5642" max="5642" width="7.75" bestFit="1" customWidth="1"/>
    <col min="5643" max="5643" width="8" bestFit="1" customWidth="1"/>
    <col min="5644" max="5644" width="9.875" bestFit="1" customWidth="1"/>
    <col min="5645" max="5645" width="9" customWidth="1"/>
    <col min="5650" max="5650" width="7.625" bestFit="1" customWidth="1"/>
    <col min="5651" max="5651" width="7.75" bestFit="1" customWidth="1"/>
    <col min="5652" max="5652" width="8" bestFit="1" customWidth="1"/>
    <col min="5653" max="5653" width="9.875" bestFit="1" customWidth="1"/>
    <col min="5654" max="5654" width="9" customWidth="1"/>
    <col min="5659" max="5659" width="7.625" bestFit="1" customWidth="1"/>
    <col min="5891" max="5891" width="9.875" bestFit="1" customWidth="1"/>
    <col min="5892" max="5892" width="9" customWidth="1"/>
    <col min="5897" max="5897" width="7.625" bestFit="1" customWidth="1"/>
    <col min="5898" max="5898" width="7.75" bestFit="1" customWidth="1"/>
    <col min="5899" max="5899" width="8" bestFit="1" customWidth="1"/>
    <col min="5900" max="5900" width="9.875" bestFit="1" customWidth="1"/>
    <col min="5901" max="5901" width="9" customWidth="1"/>
    <col min="5906" max="5906" width="7.625" bestFit="1" customWidth="1"/>
    <col min="5907" max="5907" width="7.75" bestFit="1" customWidth="1"/>
    <col min="5908" max="5908" width="8" bestFit="1" customWidth="1"/>
    <col min="5909" max="5909" width="9.875" bestFit="1" customWidth="1"/>
    <col min="5910" max="5910" width="9" customWidth="1"/>
    <col min="5915" max="5915" width="7.625" bestFit="1" customWidth="1"/>
    <col min="6147" max="6147" width="9.875" bestFit="1" customWidth="1"/>
    <col min="6148" max="6148" width="9" customWidth="1"/>
    <col min="6153" max="6153" width="7.625" bestFit="1" customWidth="1"/>
    <col min="6154" max="6154" width="7.75" bestFit="1" customWidth="1"/>
    <col min="6155" max="6155" width="8" bestFit="1" customWidth="1"/>
    <col min="6156" max="6156" width="9.875" bestFit="1" customWidth="1"/>
    <col min="6157" max="6157" width="9" customWidth="1"/>
    <col min="6162" max="6162" width="7.625" bestFit="1" customWidth="1"/>
    <col min="6163" max="6163" width="7.75" bestFit="1" customWidth="1"/>
    <col min="6164" max="6164" width="8" bestFit="1" customWidth="1"/>
    <col min="6165" max="6165" width="9.875" bestFit="1" customWidth="1"/>
    <col min="6166" max="6166" width="9" customWidth="1"/>
    <col min="6171" max="6171" width="7.625" bestFit="1" customWidth="1"/>
    <col min="6403" max="6403" width="9.875" bestFit="1" customWidth="1"/>
    <col min="6404" max="6404" width="9" customWidth="1"/>
    <col min="6409" max="6409" width="7.625" bestFit="1" customWidth="1"/>
    <col min="6410" max="6410" width="7.75" bestFit="1" customWidth="1"/>
    <col min="6411" max="6411" width="8" bestFit="1" customWidth="1"/>
    <col min="6412" max="6412" width="9.875" bestFit="1" customWidth="1"/>
    <col min="6413" max="6413" width="9" customWidth="1"/>
    <col min="6418" max="6418" width="7.625" bestFit="1" customWidth="1"/>
    <col min="6419" max="6419" width="7.75" bestFit="1" customWidth="1"/>
    <col min="6420" max="6420" width="8" bestFit="1" customWidth="1"/>
    <col min="6421" max="6421" width="9.875" bestFit="1" customWidth="1"/>
    <col min="6422" max="6422" width="9" customWidth="1"/>
    <col min="6427" max="6427" width="7.625" bestFit="1" customWidth="1"/>
    <col min="6659" max="6659" width="9.875" bestFit="1" customWidth="1"/>
    <col min="6660" max="6660" width="9" customWidth="1"/>
    <col min="6665" max="6665" width="7.625" bestFit="1" customWidth="1"/>
    <col min="6666" max="6666" width="7.75" bestFit="1" customWidth="1"/>
    <col min="6667" max="6667" width="8" bestFit="1" customWidth="1"/>
    <col min="6668" max="6668" width="9.875" bestFit="1" customWidth="1"/>
    <col min="6669" max="6669" width="9" customWidth="1"/>
    <col min="6674" max="6674" width="7.625" bestFit="1" customWidth="1"/>
    <col min="6675" max="6675" width="7.75" bestFit="1" customWidth="1"/>
    <col min="6676" max="6676" width="8" bestFit="1" customWidth="1"/>
    <col min="6677" max="6677" width="9.875" bestFit="1" customWidth="1"/>
    <col min="6678" max="6678" width="9" customWidth="1"/>
    <col min="6683" max="6683" width="7.625" bestFit="1" customWidth="1"/>
    <col min="6915" max="6915" width="9.875" bestFit="1" customWidth="1"/>
    <col min="6916" max="6916" width="9" customWidth="1"/>
    <col min="6921" max="6921" width="7.625" bestFit="1" customWidth="1"/>
    <col min="6922" max="6922" width="7.75" bestFit="1" customWidth="1"/>
    <col min="6923" max="6923" width="8" bestFit="1" customWidth="1"/>
    <col min="6924" max="6924" width="9.875" bestFit="1" customWidth="1"/>
    <col min="6925" max="6925" width="9" customWidth="1"/>
    <col min="6930" max="6930" width="7.625" bestFit="1" customWidth="1"/>
    <col min="6931" max="6931" width="7.75" bestFit="1" customWidth="1"/>
    <col min="6932" max="6932" width="8" bestFit="1" customWidth="1"/>
    <col min="6933" max="6933" width="9.875" bestFit="1" customWidth="1"/>
    <col min="6934" max="6934" width="9" customWidth="1"/>
    <col min="6939" max="6939" width="7.625" bestFit="1" customWidth="1"/>
    <col min="7171" max="7171" width="9.875" bestFit="1" customWidth="1"/>
    <col min="7172" max="7172" width="9" customWidth="1"/>
    <col min="7177" max="7177" width="7.625" bestFit="1" customWidth="1"/>
    <col min="7178" max="7178" width="7.75" bestFit="1" customWidth="1"/>
    <col min="7179" max="7179" width="8" bestFit="1" customWidth="1"/>
    <col min="7180" max="7180" width="9.875" bestFit="1" customWidth="1"/>
    <col min="7181" max="7181" width="9" customWidth="1"/>
    <col min="7186" max="7186" width="7.625" bestFit="1" customWidth="1"/>
    <col min="7187" max="7187" width="7.75" bestFit="1" customWidth="1"/>
    <col min="7188" max="7188" width="8" bestFit="1" customWidth="1"/>
    <col min="7189" max="7189" width="9.875" bestFit="1" customWidth="1"/>
    <col min="7190" max="7190" width="9" customWidth="1"/>
    <col min="7195" max="7195" width="7.625" bestFit="1" customWidth="1"/>
    <col min="7427" max="7427" width="9.875" bestFit="1" customWidth="1"/>
    <col min="7428" max="7428" width="9" customWidth="1"/>
    <col min="7433" max="7433" width="7.625" bestFit="1" customWidth="1"/>
    <col min="7434" max="7434" width="7.75" bestFit="1" customWidth="1"/>
    <col min="7435" max="7435" width="8" bestFit="1" customWidth="1"/>
    <col min="7436" max="7436" width="9.875" bestFit="1" customWidth="1"/>
    <col min="7437" max="7437" width="9" customWidth="1"/>
    <col min="7442" max="7442" width="7.625" bestFit="1" customWidth="1"/>
    <col min="7443" max="7443" width="7.75" bestFit="1" customWidth="1"/>
    <col min="7444" max="7444" width="8" bestFit="1" customWidth="1"/>
    <col min="7445" max="7445" width="9.875" bestFit="1" customWidth="1"/>
    <col min="7446" max="7446" width="9" customWidth="1"/>
    <col min="7451" max="7451" width="7.625" bestFit="1" customWidth="1"/>
    <col min="7683" max="7683" width="9.875" bestFit="1" customWidth="1"/>
    <col min="7684" max="7684" width="9" customWidth="1"/>
    <col min="7689" max="7689" width="7.625" bestFit="1" customWidth="1"/>
    <col min="7690" max="7690" width="7.75" bestFit="1" customWidth="1"/>
    <col min="7691" max="7691" width="8" bestFit="1" customWidth="1"/>
    <col min="7692" max="7692" width="9.875" bestFit="1" customWidth="1"/>
    <col min="7693" max="7693" width="9" customWidth="1"/>
    <col min="7698" max="7698" width="7.625" bestFit="1" customWidth="1"/>
    <col min="7699" max="7699" width="7.75" bestFit="1" customWidth="1"/>
    <col min="7700" max="7700" width="8" bestFit="1" customWidth="1"/>
    <col min="7701" max="7701" width="9.875" bestFit="1" customWidth="1"/>
    <col min="7702" max="7702" width="9" customWidth="1"/>
    <col min="7707" max="7707" width="7.625" bestFit="1" customWidth="1"/>
    <col min="7939" max="7939" width="9.875" bestFit="1" customWidth="1"/>
    <col min="7940" max="7940" width="9" customWidth="1"/>
    <col min="7945" max="7945" width="7.625" bestFit="1" customWidth="1"/>
    <col min="7946" max="7946" width="7.75" bestFit="1" customWidth="1"/>
    <col min="7947" max="7947" width="8" bestFit="1" customWidth="1"/>
    <col min="7948" max="7948" width="9.875" bestFit="1" customWidth="1"/>
    <col min="7949" max="7949" width="9" customWidth="1"/>
    <col min="7954" max="7954" width="7.625" bestFit="1" customWidth="1"/>
    <col min="7955" max="7955" width="7.75" bestFit="1" customWidth="1"/>
    <col min="7956" max="7956" width="8" bestFit="1" customWidth="1"/>
    <col min="7957" max="7957" width="9.875" bestFit="1" customWidth="1"/>
    <col min="7958" max="7958" width="9" customWidth="1"/>
    <col min="7963" max="7963" width="7.625" bestFit="1" customWidth="1"/>
    <col min="8195" max="8195" width="9.875" bestFit="1" customWidth="1"/>
    <col min="8196" max="8196" width="9" customWidth="1"/>
    <col min="8201" max="8201" width="7.625" bestFit="1" customWidth="1"/>
    <col min="8202" max="8202" width="7.75" bestFit="1" customWidth="1"/>
    <col min="8203" max="8203" width="8" bestFit="1" customWidth="1"/>
    <col min="8204" max="8204" width="9.875" bestFit="1" customWidth="1"/>
    <col min="8205" max="8205" width="9" customWidth="1"/>
    <col min="8210" max="8210" width="7.625" bestFit="1" customWidth="1"/>
    <col min="8211" max="8211" width="7.75" bestFit="1" customWidth="1"/>
    <col min="8212" max="8212" width="8" bestFit="1" customWidth="1"/>
    <col min="8213" max="8213" width="9.875" bestFit="1" customWidth="1"/>
    <col min="8214" max="8214" width="9" customWidth="1"/>
    <col min="8219" max="8219" width="7.625" bestFit="1" customWidth="1"/>
    <col min="8451" max="8451" width="9.875" bestFit="1" customWidth="1"/>
    <col min="8452" max="8452" width="9" customWidth="1"/>
    <col min="8457" max="8457" width="7.625" bestFit="1" customWidth="1"/>
    <col min="8458" max="8458" width="7.75" bestFit="1" customWidth="1"/>
    <col min="8459" max="8459" width="8" bestFit="1" customWidth="1"/>
    <col min="8460" max="8460" width="9.875" bestFit="1" customWidth="1"/>
    <col min="8461" max="8461" width="9" customWidth="1"/>
    <col min="8466" max="8466" width="7.625" bestFit="1" customWidth="1"/>
    <col min="8467" max="8467" width="7.75" bestFit="1" customWidth="1"/>
    <col min="8468" max="8468" width="8" bestFit="1" customWidth="1"/>
    <col min="8469" max="8469" width="9.875" bestFit="1" customWidth="1"/>
    <col min="8470" max="8470" width="9" customWidth="1"/>
    <col min="8475" max="8475" width="7.625" bestFit="1" customWidth="1"/>
    <col min="8707" max="8707" width="9.875" bestFit="1" customWidth="1"/>
    <col min="8708" max="8708" width="9" customWidth="1"/>
    <col min="8713" max="8713" width="7.625" bestFit="1" customWidth="1"/>
    <col min="8714" max="8714" width="7.75" bestFit="1" customWidth="1"/>
    <col min="8715" max="8715" width="8" bestFit="1" customWidth="1"/>
    <col min="8716" max="8716" width="9.875" bestFit="1" customWidth="1"/>
    <col min="8717" max="8717" width="9" customWidth="1"/>
    <col min="8722" max="8722" width="7.625" bestFit="1" customWidth="1"/>
    <col min="8723" max="8723" width="7.75" bestFit="1" customWidth="1"/>
    <col min="8724" max="8724" width="8" bestFit="1" customWidth="1"/>
    <col min="8725" max="8725" width="9.875" bestFit="1" customWidth="1"/>
    <col min="8726" max="8726" width="9" customWidth="1"/>
    <col min="8731" max="8731" width="7.625" bestFit="1" customWidth="1"/>
    <col min="8963" max="8963" width="9.875" bestFit="1" customWidth="1"/>
    <col min="8964" max="8964" width="9" customWidth="1"/>
    <col min="8969" max="8969" width="7.625" bestFit="1" customWidth="1"/>
    <col min="8970" max="8970" width="7.75" bestFit="1" customWidth="1"/>
    <col min="8971" max="8971" width="8" bestFit="1" customWidth="1"/>
    <col min="8972" max="8972" width="9.875" bestFit="1" customWidth="1"/>
    <col min="8973" max="8973" width="9" customWidth="1"/>
    <col min="8978" max="8978" width="7.625" bestFit="1" customWidth="1"/>
    <col min="8979" max="8979" width="7.75" bestFit="1" customWidth="1"/>
    <col min="8980" max="8980" width="8" bestFit="1" customWidth="1"/>
    <col min="8981" max="8981" width="9.875" bestFit="1" customWidth="1"/>
    <col min="8982" max="8982" width="9" customWidth="1"/>
    <col min="8987" max="8987" width="7.625" bestFit="1" customWidth="1"/>
    <col min="9219" max="9219" width="9.875" bestFit="1" customWidth="1"/>
    <col min="9220" max="9220" width="9" customWidth="1"/>
    <col min="9225" max="9225" width="7.625" bestFit="1" customWidth="1"/>
    <col min="9226" max="9226" width="7.75" bestFit="1" customWidth="1"/>
    <col min="9227" max="9227" width="8" bestFit="1" customWidth="1"/>
    <col min="9228" max="9228" width="9.875" bestFit="1" customWidth="1"/>
    <col min="9229" max="9229" width="9" customWidth="1"/>
    <col min="9234" max="9234" width="7.625" bestFit="1" customWidth="1"/>
    <col min="9235" max="9235" width="7.75" bestFit="1" customWidth="1"/>
    <col min="9236" max="9236" width="8" bestFit="1" customWidth="1"/>
    <col min="9237" max="9237" width="9.875" bestFit="1" customWidth="1"/>
    <col min="9238" max="9238" width="9" customWidth="1"/>
    <col min="9243" max="9243" width="7.625" bestFit="1" customWidth="1"/>
    <col min="9475" max="9475" width="9.875" bestFit="1" customWidth="1"/>
    <col min="9476" max="9476" width="9" customWidth="1"/>
    <col min="9481" max="9481" width="7.625" bestFit="1" customWidth="1"/>
    <col min="9482" max="9482" width="7.75" bestFit="1" customWidth="1"/>
    <col min="9483" max="9483" width="8" bestFit="1" customWidth="1"/>
    <col min="9484" max="9484" width="9.875" bestFit="1" customWidth="1"/>
    <col min="9485" max="9485" width="9" customWidth="1"/>
    <col min="9490" max="9490" width="7.625" bestFit="1" customWidth="1"/>
    <col min="9491" max="9491" width="7.75" bestFit="1" customWidth="1"/>
    <col min="9492" max="9492" width="8" bestFit="1" customWidth="1"/>
    <col min="9493" max="9493" width="9.875" bestFit="1" customWidth="1"/>
    <col min="9494" max="9494" width="9" customWidth="1"/>
    <col min="9499" max="9499" width="7.625" bestFit="1" customWidth="1"/>
    <col min="9731" max="9731" width="9.875" bestFit="1" customWidth="1"/>
    <col min="9732" max="9732" width="9" customWidth="1"/>
    <col min="9737" max="9737" width="7.625" bestFit="1" customWidth="1"/>
    <col min="9738" max="9738" width="7.75" bestFit="1" customWidth="1"/>
    <col min="9739" max="9739" width="8" bestFit="1" customWidth="1"/>
    <col min="9740" max="9740" width="9.875" bestFit="1" customWidth="1"/>
    <col min="9741" max="9741" width="9" customWidth="1"/>
    <col min="9746" max="9746" width="7.625" bestFit="1" customWidth="1"/>
    <col min="9747" max="9747" width="7.75" bestFit="1" customWidth="1"/>
    <col min="9748" max="9748" width="8" bestFit="1" customWidth="1"/>
    <col min="9749" max="9749" width="9.875" bestFit="1" customWidth="1"/>
    <col min="9750" max="9750" width="9" customWidth="1"/>
    <col min="9755" max="9755" width="7.625" bestFit="1" customWidth="1"/>
    <col min="9987" max="9987" width="9.875" bestFit="1" customWidth="1"/>
    <col min="9988" max="9988" width="9" customWidth="1"/>
    <col min="9993" max="9993" width="7.625" bestFit="1" customWidth="1"/>
    <col min="9994" max="9994" width="7.75" bestFit="1" customWidth="1"/>
    <col min="9995" max="9995" width="8" bestFit="1" customWidth="1"/>
    <col min="9996" max="9996" width="9.875" bestFit="1" customWidth="1"/>
    <col min="9997" max="9997" width="9" customWidth="1"/>
    <col min="10002" max="10002" width="7.625" bestFit="1" customWidth="1"/>
    <col min="10003" max="10003" width="7.75" bestFit="1" customWidth="1"/>
    <col min="10004" max="10004" width="8" bestFit="1" customWidth="1"/>
    <col min="10005" max="10005" width="9.875" bestFit="1" customWidth="1"/>
    <col min="10006" max="10006" width="9" customWidth="1"/>
    <col min="10011" max="10011" width="7.625" bestFit="1" customWidth="1"/>
    <col min="10243" max="10243" width="9.875" bestFit="1" customWidth="1"/>
    <col min="10244" max="10244" width="9" customWidth="1"/>
    <col min="10249" max="10249" width="7.625" bestFit="1" customWidth="1"/>
    <col min="10250" max="10250" width="7.75" bestFit="1" customWidth="1"/>
    <col min="10251" max="10251" width="8" bestFit="1" customWidth="1"/>
    <col min="10252" max="10252" width="9.875" bestFit="1" customWidth="1"/>
    <col min="10253" max="10253" width="9" customWidth="1"/>
    <col min="10258" max="10258" width="7.625" bestFit="1" customWidth="1"/>
    <col min="10259" max="10259" width="7.75" bestFit="1" customWidth="1"/>
    <col min="10260" max="10260" width="8" bestFit="1" customWidth="1"/>
    <col min="10261" max="10261" width="9.875" bestFit="1" customWidth="1"/>
    <col min="10262" max="10262" width="9" customWidth="1"/>
    <col min="10267" max="10267" width="7.625" bestFit="1" customWidth="1"/>
    <col min="10499" max="10499" width="9.875" bestFit="1" customWidth="1"/>
    <col min="10500" max="10500" width="9" customWidth="1"/>
    <col min="10505" max="10505" width="7.625" bestFit="1" customWidth="1"/>
    <col min="10506" max="10506" width="7.75" bestFit="1" customWidth="1"/>
    <col min="10507" max="10507" width="8" bestFit="1" customWidth="1"/>
    <col min="10508" max="10508" width="9.875" bestFit="1" customWidth="1"/>
    <col min="10509" max="10509" width="9" customWidth="1"/>
    <col min="10514" max="10514" width="7.625" bestFit="1" customWidth="1"/>
    <col min="10515" max="10515" width="7.75" bestFit="1" customWidth="1"/>
    <col min="10516" max="10516" width="8" bestFit="1" customWidth="1"/>
    <col min="10517" max="10517" width="9.875" bestFit="1" customWidth="1"/>
    <col min="10518" max="10518" width="9" customWidth="1"/>
    <col min="10523" max="10523" width="7.625" bestFit="1" customWidth="1"/>
    <col min="10755" max="10755" width="9.875" bestFit="1" customWidth="1"/>
    <col min="10756" max="10756" width="9" customWidth="1"/>
    <col min="10761" max="10761" width="7.625" bestFit="1" customWidth="1"/>
    <col min="10762" max="10762" width="7.75" bestFit="1" customWidth="1"/>
    <col min="10763" max="10763" width="8" bestFit="1" customWidth="1"/>
    <col min="10764" max="10764" width="9.875" bestFit="1" customWidth="1"/>
    <col min="10765" max="10765" width="9" customWidth="1"/>
    <col min="10770" max="10770" width="7.625" bestFit="1" customWidth="1"/>
    <col min="10771" max="10771" width="7.75" bestFit="1" customWidth="1"/>
    <col min="10772" max="10772" width="8" bestFit="1" customWidth="1"/>
    <col min="10773" max="10773" width="9.875" bestFit="1" customWidth="1"/>
    <col min="10774" max="10774" width="9" customWidth="1"/>
    <col min="10779" max="10779" width="7.625" bestFit="1" customWidth="1"/>
    <col min="11011" max="11011" width="9.875" bestFit="1" customWidth="1"/>
    <col min="11012" max="11012" width="9" customWidth="1"/>
    <col min="11017" max="11017" width="7.625" bestFit="1" customWidth="1"/>
    <col min="11018" max="11018" width="7.75" bestFit="1" customWidth="1"/>
    <col min="11019" max="11019" width="8" bestFit="1" customWidth="1"/>
    <col min="11020" max="11020" width="9.875" bestFit="1" customWidth="1"/>
    <col min="11021" max="11021" width="9" customWidth="1"/>
    <col min="11026" max="11026" width="7.625" bestFit="1" customWidth="1"/>
    <col min="11027" max="11027" width="7.75" bestFit="1" customWidth="1"/>
    <col min="11028" max="11028" width="8" bestFit="1" customWidth="1"/>
    <col min="11029" max="11029" width="9.875" bestFit="1" customWidth="1"/>
    <col min="11030" max="11030" width="9" customWidth="1"/>
    <col min="11035" max="11035" width="7.625" bestFit="1" customWidth="1"/>
    <col min="11267" max="11267" width="9.875" bestFit="1" customWidth="1"/>
    <col min="11268" max="11268" width="9" customWidth="1"/>
    <col min="11273" max="11273" width="7.625" bestFit="1" customWidth="1"/>
    <col min="11274" max="11274" width="7.75" bestFit="1" customWidth="1"/>
    <col min="11275" max="11275" width="8" bestFit="1" customWidth="1"/>
    <col min="11276" max="11276" width="9.875" bestFit="1" customWidth="1"/>
    <col min="11277" max="11277" width="9" customWidth="1"/>
    <col min="11282" max="11282" width="7.625" bestFit="1" customWidth="1"/>
    <col min="11283" max="11283" width="7.75" bestFit="1" customWidth="1"/>
    <col min="11284" max="11284" width="8" bestFit="1" customWidth="1"/>
    <col min="11285" max="11285" width="9.875" bestFit="1" customWidth="1"/>
    <col min="11286" max="11286" width="9" customWidth="1"/>
    <col min="11291" max="11291" width="7.625" bestFit="1" customWidth="1"/>
    <col min="11523" max="11523" width="9.875" bestFit="1" customWidth="1"/>
    <col min="11524" max="11524" width="9" customWidth="1"/>
    <col min="11529" max="11529" width="7.625" bestFit="1" customWidth="1"/>
    <col min="11530" max="11530" width="7.75" bestFit="1" customWidth="1"/>
    <col min="11531" max="11531" width="8" bestFit="1" customWidth="1"/>
    <col min="11532" max="11532" width="9.875" bestFit="1" customWidth="1"/>
    <col min="11533" max="11533" width="9" customWidth="1"/>
    <col min="11538" max="11538" width="7.625" bestFit="1" customWidth="1"/>
    <col min="11539" max="11539" width="7.75" bestFit="1" customWidth="1"/>
    <col min="11540" max="11540" width="8" bestFit="1" customWidth="1"/>
    <col min="11541" max="11541" width="9.875" bestFit="1" customWidth="1"/>
    <col min="11542" max="11542" width="9" customWidth="1"/>
    <col min="11547" max="11547" width="7.625" bestFit="1" customWidth="1"/>
    <col min="11779" max="11779" width="9.875" bestFit="1" customWidth="1"/>
    <col min="11780" max="11780" width="9" customWidth="1"/>
    <col min="11785" max="11785" width="7.625" bestFit="1" customWidth="1"/>
    <col min="11786" max="11786" width="7.75" bestFit="1" customWidth="1"/>
    <col min="11787" max="11787" width="8" bestFit="1" customWidth="1"/>
    <col min="11788" max="11788" width="9.875" bestFit="1" customWidth="1"/>
    <col min="11789" max="11789" width="9" customWidth="1"/>
    <col min="11794" max="11794" width="7.625" bestFit="1" customWidth="1"/>
    <col min="11795" max="11795" width="7.75" bestFit="1" customWidth="1"/>
    <col min="11796" max="11796" width="8" bestFit="1" customWidth="1"/>
    <col min="11797" max="11797" width="9.875" bestFit="1" customWidth="1"/>
    <col min="11798" max="11798" width="9" customWidth="1"/>
    <col min="11803" max="11803" width="7.625" bestFit="1" customWidth="1"/>
    <col min="12035" max="12035" width="9.875" bestFit="1" customWidth="1"/>
    <col min="12036" max="12036" width="9" customWidth="1"/>
    <col min="12041" max="12041" width="7.625" bestFit="1" customWidth="1"/>
    <col min="12042" max="12042" width="7.75" bestFit="1" customWidth="1"/>
    <col min="12043" max="12043" width="8" bestFit="1" customWidth="1"/>
    <col min="12044" max="12044" width="9.875" bestFit="1" customWidth="1"/>
    <col min="12045" max="12045" width="9" customWidth="1"/>
    <col min="12050" max="12050" width="7.625" bestFit="1" customWidth="1"/>
    <col min="12051" max="12051" width="7.75" bestFit="1" customWidth="1"/>
    <col min="12052" max="12052" width="8" bestFit="1" customWidth="1"/>
    <col min="12053" max="12053" width="9.875" bestFit="1" customWidth="1"/>
    <col min="12054" max="12054" width="9" customWidth="1"/>
    <col min="12059" max="12059" width="7.625" bestFit="1" customWidth="1"/>
    <col min="12291" max="12291" width="9.875" bestFit="1" customWidth="1"/>
    <col min="12292" max="12292" width="9" customWidth="1"/>
    <col min="12297" max="12297" width="7.625" bestFit="1" customWidth="1"/>
    <col min="12298" max="12298" width="7.75" bestFit="1" customWidth="1"/>
    <col min="12299" max="12299" width="8" bestFit="1" customWidth="1"/>
    <col min="12300" max="12300" width="9.875" bestFit="1" customWidth="1"/>
    <col min="12301" max="12301" width="9" customWidth="1"/>
    <col min="12306" max="12306" width="7.625" bestFit="1" customWidth="1"/>
    <col min="12307" max="12307" width="7.75" bestFit="1" customWidth="1"/>
    <col min="12308" max="12308" width="8" bestFit="1" customWidth="1"/>
    <col min="12309" max="12309" width="9.875" bestFit="1" customWidth="1"/>
    <col min="12310" max="12310" width="9" customWidth="1"/>
    <col min="12315" max="12315" width="7.625" bestFit="1" customWidth="1"/>
    <col min="12547" max="12547" width="9.875" bestFit="1" customWidth="1"/>
    <col min="12548" max="12548" width="9" customWidth="1"/>
    <col min="12553" max="12553" width="7.625" bestFit="1" customWidth="1"/>
    <col min="12554" max="12554" width="7.75" bestFit="1" customWidth="1"/>
    <col min="12555" max="12555" width="8" bestFit="1" customWidth="1"/>
    <col min="12556" max="12556" width="9.875" bestFit="1" customWidth="1"/>
    <col min="12557" max="12557" width="9" customWidth="1"/>
    <col min="12562" max="12562" width="7.625" bestFit="1" customWidth="1"/>
    <col min="12563" max="12563" width="7.75" bestFit="1" customWidth="1"/>
    <col min="12564" max="12564" width="8" bestFit="1" customWidth="1"/>
    <col min="12565" max="12565" width="9.875" bestFit="1" customWidth="1"/>
    <col min="12566" max="12566" width="9" customWidth="1"/>
    <col min="12571" max="12571" width="7.625" bestFit="1" customWidth="1"/>
    <col min="12803" max="12803" width="9.875" bestFit="1" customWidth="1"/>
    <col min="12804" max="12804" width="9" customWidth="1"/>
    <col min="12809" max="12809" width="7.625" bestFit="1" customWidth="1"/>
    <col min="12810" max="12810" width="7.75" bestFit="1" customWidth="1"/>
    <col min="12811" max="12811" width="8" bestFit="1" customWidth="1"/>
    <col min="12812" max="12812" width="9.875" bestFit="1" customWidth="1"/>
    <col min="12813" max="12813" width="9" customWidth="1"/>
    <col min="12818" max="12818" width="7.625" bestFit="1" customWidth="1"/>
    <col min="12819" max="12819" width="7.75" bestFit="1" customWidth="1"/>
    <col min="12820" max="12820" width="8" bestFit="1" customWidth="1"/>
    <col min="12821" max="12821" width="9.875" bestFit="1" customWidth="1"/>
    <col min="12822" max="12822" width="9" customWidth="1"/>
    <col min="12827" max="12827" width="7.625" bestFit="1" customWidth="1"/>
    <col min="13059" max="13059" width="9.875" bestFit="1" customWidth="1"/>
    <col min="13060" max="13060" width="9" customWidth="1"/>
    <col min="13065" max="13065" width="7.625" bestFit="1" customWidth="1"/>
    <col min="13066" max="13066" width="7.75" bestFit="1" customWidth="1"/>
    <col min="13067" max="13067" width="8" bestFit="1" customWidth="1"/>
    <col min="13068" max="13068" width="9.875" bestFit="1" customWidth="1"/>
    <col min="13069" max="13069" width="9" customWidth="1"/>
    <col min="13074" max="13074" width="7.625" bestFit="1" customWidth="1"/>
    <col min="13075" max="13075" width="7.75" bestFit="1" customWidth="1"/>
    <col min="13076" max="13076" width="8" bestFit="1" customWidth="1"/>
    <col min="13077" max="13077" width="9.875" bestFit="1" customWidth="1"/>
    <col min="13078" max="13078" width="9" customWidth="1"/>
    <col min="13083" max="13083" width="7.625" bestFit="1" customWidth="1"/>
    <col min="13315" max="13315" width="9.875" bestFit="1" customWidth="1"/>
    <col min="13316" max="13316" width="9" customWidth="1"/>
    <col min="13321" max="13321" width="7.625" bestFit="1" customWidth="1"/>
    <col min="13322" max="13322" width="7.75" bestFit="1" customWidth="1"/>
    <col min="13323" max="13323" width="8" bestFit="1" customWidth="1"/>
    <col min="13324" max="13324" width="9.875" bestFit="1" customWidth="1"/>
    <col min="13325" max="13325" width="9" customWidth="1"/>
    <col min="13330" max="13330" width="7.625" bestFit="1" customWidth="1"/>
    <col min="13331" max="13331" width="7.75" bestFit="1" customWidth="1"/>
    <col min="13332" max="13332" width="8" bestFit="1" customWidth="1"/>
    <col min="13333" max="13333" width="9.875" bestFit="1" customWidth="1"/>
    <col min="13334" max="13334" width="9" customWidth="1"/>
    <col min="13339" max="13339" width="7.625" bestFit="1" customWidth="1"/>
    <col min="13571" max="13571" width="9.875" bestFit="1" customWidth="1"/>
    <col min="13572" max="13572" width="9" customWidth="1"/>
    <col min="13577" max="13577" width="7.625" bestFit="1" customWidth="1"/>
    <col min="13578" max="13578" width="7.75" bestFit="1" customWidth="1"/>
    <col min="13579" max="13579" width="8" bestFit="1" customWidth="1"/>
    <col min="13580" max="13580" width="9.875" bestFit="1" customWidth="1"/>
    <col min="13581" max="13581" width="9" customWidth="1"/>
    <col min="13586" max="13586" width="7.625" bestFit="1" customWidth="1"/>
    <col min="13587" max="13587" width="7.75" bestFit="1" customWidth="1"/>
    <col min="13588" max="13588" width="8" bestFit="1" customWidth="1"/>
    <col min="13589" max="13589" width="9.875" bestFit="1" customWidth="1"/>
    <col min="13590" max="13590" width="9" customWidth="1"/>
    <col min="13595" max="13595" width="7.625" bestFit="1" customWidth="1"/>
    <col min="13827" max="13827" width="9.875" bestFit="1" customWidth="1"/>
    <col min="13828" max="13828" width="9" customWidth="1"/>
    <col min="13833" max="13833" width="7.625" bestFit="1" customWidth="1"/>
    <col min="13834" max="13834" width="7.75" bestFit="1" customWidth="1"/>
    <col min="13835" max="13835" width="8" bestFit="1" customWidth="1"/>
    <col min="13836" max="13836" width="9.875" bestFit="1" customWidth="1"/>
    <col min="13837" max="13837" width="9" customWidth="1"/>
    <col min="13842" max="13842" width="7.625" bestFit="1" customWidth="1"/>
    <col min="13843" max="13843" width="7.75" bestFit="1" customWidth="1"/>
    <col min="13844" max="13844" width="8" bestFit="1" customWidth="1"/>
    <col min="13845" max="13845" width="9.875" bestFit="1" customWidth="1"/>
    <col min="13846" max="13846" width="9" customWidth="1"/>
    <col min="13851" max="13851" width="7.625" bestFit="1" customWidth="1"/>
    <col min="14083" max="14083" width="9.875" bestFit="1" customWidth="1"/>
    <col min="14084" max="14084" width="9" customWidth="1"/>
    <col min="14089" max="14089" width="7.625" bestFit="1" customWidth="1"/>
    <col min="14090" max="14090" width="7.75" bestFit="1" customWidth="1"/>
    <col min="14091" max="14091" width="8" bestFit="1" customWidth="1"/>
    <col min="14092" max="14092" width="9.875" bestFit="1" customWidth="1"/>
    <col min="14093" max="14093" width="9" customWidth="1"/>
    <col min="14098" max="14098" width="7.625" bestFit="1" customWidth="1"/>
    <col min="14099" max="14099" width="7.75" bestFit="1" customWidth="1"/>
    <col min="14100" max="14100" width="8" bestFit="1" customWidth="1"/>
    <col min="14101" max="14101" width="9.875" bestFit="1" customWidth="1"/>
    <col min="14102" max="14102" width="9" customWidth="1"/>
    <col min="14107" max="14107" width="7.625" bestFit="1" customWidth="1"/>
    <col min="14339" max="14339" width="9.875" bestFit="1" customWidth="1"/>
    <col min="14340" max="14340" width="9" customWidth="1"/>
    <col min="14345" max="14345" width="7.625" bestFit="1" customWidth="1"/>
    <col min="14346" max="14346" width="7.75" bestFit="1" customWidth="1"/>
    <col min="14347" max="14347" width="8" bestFit="1" customWidth="1"/>
    <col min="14348" max="14348" width="9.875" bestFit="1" customWidth="1"/>
    <col min="14349" max="14349" width="9" customWidth="1"/>
    <col min="14354" max="14354" width="7.625" bestFit="1" customWidth="1"/>
    <col min="14355" max="14355" width="7.75" bestFit="1" customWidth="1"/>
    <col min="14356" max="14356" width="8" bestFit="1" customWidth="1"/>
    <col min="14357" max="14357" width="9.875" bestFit="1" customWidth="1"/>
    <col min="14358" max="14358" width="9" customWidth="1"/>
    <col min="14363" max="14363" width="7.625" bestFit="1" customWidth="1"/>
    <col min="14595" max="14595" width="9.875" bestFit="1" customWidth="1"/>
    <col min="14596" max="14596" width="9" customWidth="1"/>
    <col min="14601" max="14601" width="7.625" bestFit="1" customWidth="1"/>
    <col min="14602" max="14602" width="7.75" bestFit="1" customWidth="1"/>
    <col min="14603" max="14603" width="8" bestFit="1" customWidth="1"/>
    <col min="14604" max="14604" width="9.875" bestFit="1" customWidth="1"/>
    <col min="14605" max="14605" width="9" customWidth="1"/>
    <col min="14610" max="14610" width="7.625" bestFit="1" customWidth="1"/>
    <col min="14611" max="14611" width="7.75" bestFit="1" customWidth="1"/>
    <col min="14612" max="14612" width="8" bestFit="1" customWidth="1"/>
    <col min="14613" max="14613" width="9.875" bestFit="1" customWidth="1"/>
    <col min="14614" max="14614" width="9" customWidth="1"/>
    <col min="14619" max="14619" width="7.625" bestFit="1" customWidth="1"/>
    <col min="14851" max="14851" width="9.875" bestFit="1" customWidth="1"/>
    <col min="14852" max="14852" width="9" customWidth="1"/>
    <col min="14857" max="14857" width="7.625" bestFit="1" customWidth="1"/>
    <col min="14858" max="14858" width="7.75" bestFit="1" customWidth="1"/>
    <col min="14859" max="14859" width="8" bestFit="1" customWidth="1"/>
    <col min="14860" max="14860" width="9.875" bestFit="1" customWidth="1"/>
    <col min="14861" max="14861" width="9" customWidth="1"/>
    <col min="14866" max="14866" width="7.625" bestFit="1" customWidth="1"/>
    <col min="14867" max="14867" width="7.75" bestFit="1" customWidth="1"/>
    <col min="14868" max="14868" width="8" bestFit="1" customWidth="1"/>
    <col min="14869" max="14869" width="9.875" bestFit="1" customWidth="1"/>
    <col min="14870" max="14870" width="9" customWidth="1"/>
    <col min="14875" max="14875" width="7.625" bestFit="1" customWidth="1"/>
    <col min="15107" max="15107" width="9.875" bestFit="1" customWidth="1"/>
    <col min="15108" max="15108" width="9" customWidth="1"/>
    <col min="15113" max="15113" width="7.625" bestFit="1" customWidth="1"/>
    <col min="15114" max="15114" width="7.75" bestFit="1" customWidth="1"/>
    <col min="15115" max="15115" width="8" bestFit="1" customWidth="1"/>
    <col min="15116" max="15116" width="9.875" bestFit="1" customWidth="1"/>
    <col min="15117" max="15117" width="9" customWidth="1"/>
    <col min="15122" max="15122" width="7.625" bestFit="1" customWidth="1"/>
    <col min="15123" max="15123" width="7.75" bestFit="1" customWidth="1"/>
    <col min="15124" max="15124" width="8" bestFit="1" customWidth="1"/>
    <col min="15125" max="15125" width="9.875" bestFit="1" customWidth="1"/>
    <col min="15126" max="15126" width="9" customWidth="1"/>
    <col min="15131" max="15131" width="7.625" bestFit="1" customWidth="1"/>
    <col min="15363" max="15363" width="9.875" bestFit="1" customWidth="1"/>
    <col min="15364" max="15364" width="9" customWidth="1"/>
    <col min="15369" max="15369" width="7.625" bestFit="1" customWidth="1"/>
    <col min="15370" max="15370" width="7.75" bestFit="1" customWidth="1"/>
    <col min="15371" max="15371" width="8" bestFit="1" customWidth="1"/>
    <col min="15372" max="15372" width="9.875" bestFit="1" customWidth="1"/>
    <col min="15373" max="15373" width="9" customWidth="1"/>
    <col min="15378" max="15378" width="7.625" bestFit="1" customWidth="1"/>
    <col min="15379" max="15379" width="7.75" bestFit="1" customWidth="1"/>
    <col min="15380" max="15380" width="8" bestFit="1" customWidth="1"/>
    <col min="15381" max="15381" width="9.875" bestFit="1" customWidth="1"/>
    <col min="15382" max="15382" width="9" customWidth="1"/>
    <col min="15387" max="15387" width="7.625" bestFit="1" customWidth="1"/>
    <col min="15619" max="15619" width="9.875" bestFit="1" customWidth="1"/>
    <col min="15620" max="15620" width="9" customWidth="1"/>
    <col min="15625" max="15625" width="7.625" bestFit="1" customWidth="1"/>
    <col min="15626" max="15626" width="7.75" bestFit="1" customWidth="1"/>
    <col min="15627" max="15627" width="8" bestFit="1" customWidth="1"/>
    <col min="15628" max="15628" width="9.875" bestFit="1" customWidth="1"/>
    <col min="15629" max="15629" width="9" customWidth="1"/>
    <col min="15634" max="15634" width="7.625" bestFit="1" customWidth="1"/>
    <col min="15635" max="15635" width="7.75" bestFit="1" customWidth="1"/>
    <col min="15636" max="15636" width="8" bestFit="1" customWidth="1"/>
    <col min="15637" max="15637" width="9.875" bestFit="1" customWidth="1"/>
    <col min="15638" max="15638" width="9" customWidth="1"/>
    <col min="15643" max="15643" width="7.625" bestFit="1" customWidth="1"/>
    <col min="15875" max="15875" width="9.875" bestFit="1" customWidth="1"/>
    <col min="15876" max="15876" width="9" customWidth="1"/>
    <col min="15881" max="15881" width="7.625" bestFit="1" customWidth="1"/>
    <col min="15882" max="15882" width="7.75" bestFit="1" customWidth="1"/>
    <col min="15883" max="15883" width="8" bestFit="1" customWidth="1"/>
    <col min="15884" max="15884" width="9.875" bestFit="1" customWidth="1"/>
    <col min="15885" max="15885" width="9" customWidth="1"/>
    <col min="15890" max="15890" width="7.625" bestFit="1" customWidth="1"/>
    <col min="15891" max="15891" width="7.75" bestFit="1" customWidth="1"/>
    <col min="15892" max="15892" width="8" bestFit="1" customWidth="1"/>
    <col min="15893" max="15893" width="9.875" bestFit="1" customWidth="1"/>
    <col min="15894" max="15894" width="9" customWidth="1"/>
    <col min="15899" max="15899" width="7.625" bestFit="1" customWidth="1"/>
    <col min="16131" max="16131" width="9.875" bestFit="1" customWidth="1"/>
    <col min="16132" max="16132" width="9" customWidth="1"/>
    <col min="16137" max="16137" width="7.625" bestFit="1" customWidth="1"/>
    <col min="16138" max="16138" width="7.75" bestFit="1" customWidth="1"/>
    <col min="16139" max="16139" width="8" bestFit="1" customWidth="1"/>
    <col min="16140" max="16140" width="9.875" bestFit="1" customWidth="1"/>
    <col min="16141" max="16141" width="9" customWidth="1"/>
    <col min="16146" max="16146" width="7.625" bestFit="1" customWidth="1"/>
    <col min="16147" max="16147" width="7.75" bestFit="1" customWidth="1"/>
    <col min="16148" max="16148" width="8" bestFit="1" customWidth="1"/>
    <col min="16149" max="16149" width="9.875" bestFit="1" customWidth="1"/>
    <col min="16150" max="16150" width="9" customWidth="1"/>
    <col min="16155" max="16155" width="7.625" bestFit="1" customWidth="1"/>
  </cols>
  <sheetData>
    <row r="1" spans="1:81" ht="35.25">
      <c r="A1" s="1" t="s">
        <v>105</v>
      </c>
      <c r="B1" s="78" t="s">
        <v>49</v>
      </c>
      <c r="C1" s="78"/>
      <c r="D1" s="78"/>
      <c r="E1" s="78"/>
      <c r="F1" s="78"/>
      <c r="G1" s="78"/>
      <c r="H1" s="78"/>
      <c r="I1" s="78"/>
      <c r="J1" s="78"/>
      <c r="K1" s="78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81" ht="14.25">
      <c r="A2" s="3" t="s">
        <v>23</v>
      </c>
      <c r="B2" s="79" t="s">
        <v>24</v>
      </c>
      <c r="C2" s="80"/>
      <c r="D2" s="80"/>
      <c r="E2" s="80"/>
      <c r="F2" s="80"/>
      <c r="G2" s="80"/>
      <c r="H2" s="80"/>
      <c r="I2" s="80"/>
      <c r="J2" s="80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81" ht="14.25">
      <c r="A3" s="3" t="s">
        <v>0</v>
      </c>
      <c r="B3" s="79" t="s">
        <v>25</v>
      </c>
      <c r="C3" s="80"/>
      <c r="D3" s="80"/>
      <c r="E3" s="80"/>
      <c r="F3" s="80"/>
      <c r="G3" s="80"/>
      <c r="H3" s="80"/>
      <c r="I3" s="80"/>
      <c r="J3" s="80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81" ht="14.25" customHeight="1">
      <c r="A4" s="19" t="s">
        <v>167</v>
      </c>
      <c r="B4" s="5" t="s">
        <v>26</v>
      </c>
      <c r="C4" s="5" t="s">
        <v>27</v>
      </c>
      <c r="D4" s="5" t="s">
        <v>28</v>
      </c>
      <c r="E4" s="5" t="s">
        <v>56</v>
      </c>
      <c r="F4" s="5" t="s">
        <v>57</v>
      </c>
      <c r="G4" s="21" t="s">
        <v>3</v>
      </c>
      <c r="H4" s="41" t="s">
        <v>4</v>
      </c>
      <c r="I4" s="81" t="s">
        <v>29</v>
      </c>
      <c r="J4" s="19" t="s">
        <v>167</v>
      </c>
      <c r="K4" s="20" t="s">
        <v>26</v>
      </c>
      <c r="L4" s="20" t="s">
        <v>27</v>
      </c>
      <c r="M4" s="20" t="s">
        <v>28</v>
      </c>
      <c r="N4" s="20" t="s">
        <v>56</v>
      </c>
      <c r="O4" s="20" t="s">
        <v>57</v>
      </c>
      <c r="P4" s="21" t="s">
        <v>3</v>
      </c>
      <c r="Q4" s="41" t="s">
        <v>4</v>
      </c>
      <c r="R4" s="86" t="s">
        <v>29</v>
      </c>
      <c r="S4" s="19" t="s">
        <v>167</v>
      </c>
      <c r="T4" s="20" t="s">
        <v>26</v>
      </c>
      <c r="U4" s="20" t="s">
        <v>27</v>
      </c>
      <c r="V4" s="20" t="s">
        <v>28</v>
      </c>
      <c r="W4" s="20" t="s">
        <v>56</v>
      </c>
      <c r="X4" s="20" t="s">
        <v>57</v>
      </c>
      <c r="Y4" s="21" t="s">
        <v>3</v>
      </c>
      <c r="Z4" s="41" t="s">
        <v>4</v>
      </c>
      <c r="AA4" s="41" t="s">
        <v>29</v>
      </c>
      <c r="AB4" s="19" t="s">
        <v>167</v>
      </c>
      <c r="AC4" s="20" t="s">
        <v>26</v>
      </c>
      <c r="AD4" s="20" t="s">
        <v>27</v>
      </c>
      <c r="AE4" s="20" t="s">
        <v>28</v>
      </c>
      <c r="AF4" s="20" t="s">
        <v>56</v>
      </c>
      <c r="AG4" s="20" t="s">
        <v>57</v>
      </c>
      <c r="AH4" s="21" t="s">
        <v>3</v>
      </c>
      <c r="AI4" s="41" t="s">
        <v>4</v>
      </c>
      <c r="AJ4" s="49" t="s">
        <v>29</v>
      </c>
      <c r="AK4" s="19" t="s">
        <v>167</v>
      </c>
      <c r="AL4" s="20" t="s">
        <v>26</v>
      </c>
      <c r="AM4" s="20" t="s">
        <v>27</v>
      </c>
      <c r="AN4" s="20" t="s">
        <v>28</v>
      </c>
      <c r="AO4" s="20" t="s">
        <v>56</v>
      </c>
      <c r="AP4" s="20" t="s">
        <v>57</v>
      </c>
      <c r="AQ4" s="21" t="s">
        <v>3</v>
      </c>
      <c r="AR4" s="41" t="s">
        <v>4</v>
      </c>
      <c r="AS4" s="41" t="s">
        <v>29</v>
      </c>
      <c r="AT4" s="19" t="s">
        <v>167</v>
      </c>
      <c r="AU4" s="5" t="s">
        <v>26</v>
      </c>
      <c r="AV4" s="5" t="s">
        <v>27</v>
      </c>
      <c r="AW4" s="5" t="s">
        <v>28</v>
      </c>
      <c r="AX4" s="5" t="s">
        <v>56</v>
      </c>
      <c r="AY4" s="5" t="s">
        <v>57</v>
      </c>
      <c r="AZ4" s="21" t="s">
        <v>3</v>
      </c>
      <c r="BA4" s="41" t="s">
        <v>4</v>
      </c>
      <c r="BB4" s="47" t="s">
        <v>29</v>
      </c>
      <c r="BC4" s="19" t="s">
        <v>167</v>
      </c>
      <c r="BD4" s="20" t="s">
        <v>26</v>
      </c>
      <c r="BE4" s="20" t="s">
        <v>27</v>
      </c>
      <c r="BF4" s="20" t="s">
        <v>28</v>
      </c>
      <c r="BG4" s="20" t="s">
        <v>56</v>
      </c>
      <c r="BH4" s="20" t="s">
        <v>57</v>
      </c>
      <c r="BI4" s="21" t="s">
        <v>3</v>
      </c>
      <c r="BJ4" s="41" t="s">
        <v>4</v>
      </c>
      <c r="BK4" s="41" t="s">
        <v>29</v>
      </c>
      <c r="BL4" s="19" t="s">
        <v>167</v>
      </c>
      <c r="BM4" s="5" t="s">
        <v>26</v>
      </c>
      <c r="BN4" s="5" t="s">
        <v>27</v>
      </c>
      <c r="BO4" s="5" t="s">
        <v>28</v>
      </c>
      <c r="BP4" s="5" t="s">
        <v>56</v>
      </c>
      <c r="BQ4" s="5" t="s">
        <v>57</v>
      </c>
      <c r="BR4" s="21" t="s">
        <v>3</v>
      </c>
      <c r="BS4" s="41" t="s">
        <v>4</v>
      </c>
      <c r="BT4" s="47" t="s">
        <v>29</v>
      </c>
      <c r="BU4" s="19" t="s">
        <v>167</v>
      </c>
      <c r="BV4" s="20" t="s">
        <v>26</v>
      </c>
      <c r="BW4" s="20" t="s">
        <v>27</v>
      </c>
      <c r="BX4" s="20" t="s">
        <v>28</v>
      </c>
      <c r="BY4" s="20" t="s">
        <v>56</v>
      </c>
      <c r="BZ4" s="20" t="s">
        <v>57</v>
      </c>
      <c r="CA4" s="21" t="s">
        <v>3</v>
      </c>
      <c r="CB4" s="41" t="s">
        <v>4</v>
      </c>
      <c r="CC4" s="41" t="s">
        <v>29</v>
      </c>
    </row>
    <row r="5" spans="1:81" ht="15">
      <c r="A5" s="7" t="s">
        <v>30</v>
      </c>
      <c r="B5" s="8">
        <v>24175</v>
      </c>
      <c r="C5" s="8">
        <v>834.5</v>
      </c>
      <c r="D5" s="4">
        <v>5</v>
      </c>
      <c r="E5" s="8" t="s">
        <v>10</v>
      </c>
      <c r="F5" s="50">
        <v>1</v>
      </c>
      <c r="G5" s="24" t="s">
        <v>15</v>
      </c>
      <c r="H5" s="25" t="s">
        <v>6</v>
      </c>
      <c r="I5" s="82"/>
      <c r="J5" s="22" t="s">
        <v>32</v>
      </c>
      <c r="K5" s="28">
        <v>24300</v>
      </c>
      <c r="L5" s="28">
        <v>847</v>
      </c>
      <c r="M5" s="23">
        <v>5</v>
      </c>
      <c r="N5" s="28" t="s">
        <v>10</v>
      </c>
      <c r="O5" s="29">
        <v>1</v>
      </c>
      <c r="P5" s="24" t="s">
        <v>15</v>
      </c>
      <c r="Q5" s="25" t="s">
        <v>7</v>
      </c>
      <c r="R5" s="86"/>
      <c r="S5" s="27" t="s">
        <v>31</v>
      </c>
      <c r="T5" s="28">
        <v>24425</v>
      </c>
      <c r="U5" s="28">
        <v>859.5</v>
      </c>
      <c r="V5" s="23">
        <v>5</v>
      </c>
      <c r="W5" s="28" t="s">
        <v>10</v>
      </c>
      <c r="X5" s="29">
        <v>1</v>
      </c>
      <c r="Y5" s="24" t="s">
        <v>31</v>
      </c>
      <c r="Z5" s="25" t="s">
        <v>7</v>
      </c>
      <c r="AA5" s="41"/>
      <c r="AB5" s="27" t="s">
        <v>30</v>
      </c>
      <c r="AC5" s="28">
        <v>24175</v>
      </c>
      <c r="AD5" s="28">
        <v>834.5</v>
      </c>
      <c r="AE5" s="23">
        <v>5</v>
      </c>
      <c r="AF5" s="28" t="s">
        <v>10</v>
      </c>
      <c r="AG5" s="29">
        <v>25</v>
      </c>
      <c r="AH5" s="24" t="s">
        <v>30</v>
      </c>
      <c r="AI5" s="25" t="s">
        <v>6</v>
      </c>
      <c r="AJ5" s="51"/>
      <c r="AK5" s="27" t="s">
        <v>31</v>
      </c>
      <c r="AL5" s="28">
        <v>24425</v>
      </c>
      <c r="AM5" s="28">
        <v>859.5</v>
      </c>
      <c r="AN5" s="23">
        <v>5</v>
      </c>
      <c r="AO5" s="28" t="s">
        <v>10</v>
      </c>
      <c r="AP5" s="29">
        <v>25</v>
      </c>
      <c r="AQ5" s="24" t="s">
        <v>31</v>
      </c>
      <c r="AR5" s="25" t="s">
        <v>7</v>
      </c>
      <c r="AS5" s="41"/>
      <c r="AT5" s="7" t="s">
        <v>30</v>
      </c>
      <c r="AU5" s="8">
        <v>24250</v>
      </c>
      <c r="AV5" s="8">
        <v>842</v>
      </c>
      <c r="AW5" s="4">
        <v>20</v>
      </c>
      <c r="AX5" s="8" t="s">
        <v>10</v>
      </c>
      <c r="AY5" s="50">
        <v>1</v>
      </c>
      <c r="AZ5" s="24" t="s">
        <v>15</v>
      </c>
      <c r="BA5" s="25" t="s">
        <v>6</v>
      </c>
      <c r="BB5" s="48"/>
      <c r="BC5" s="27" t="s">
        <v>31</v>
      </c>
      <c r="BD5" s="28">
        <v>24350</v>
      </c>
      <c r="BE5" s="28">
        <v>852</v>
      </c>
      <c r="BF5" s="23">
        <v>20</v>
      </c>
      <c r="BG5" s="28" t="s">
        <v>10</v>
      </c>
      <c r="BH5" s="29">
        <v>1</v>
      </c>
      <c r="BI5" s="24" t="s">
        <v>31</v>
      </c>
      <c r="BJ5" s="25" t="s">
        <v>7</v>
      </c>
      <c r="BK5" s="41"/>
      <c r="BL5" s="7" t="s">
        <v>30</v>
      </c>
      <c r="BM5" s="8">
        <v>24250</v>
      </c>
      <c r="BN5" s="8">
        <v>842</v>
      </c>
      <c r="BO5" s="4">
        <v>20</v>
      </c>
      <c r="BP5" s="8" t="s">
        <v>10</v>
      </c>
      <c r="BQ5" s="50">
        <v>100</v>
      </c>
      <c r="BR5" s="24" t="s">
        <v>30</v>
      </c>
      <c r="BS5" s="25" t="s">
        <v>6</v>
      </c>
      <c r="BT5" s="48"/>
      <c r="BU5" s="27" t="s">
        <v>31</v>
      </c>
      <c r="BV5" s="28">
        <v>24350</v>
      </c>
      <c r="BW5" s="28">
        <v>852</v>
      </c>
      <c r="BX5" s="23">
        <v>20</v>
      </c>
      <c r="BY5" s="28" t="s">
        <v>10</v>
      </c>
      <c r="BZ5" s="29">
        <v>100</v>
      </c>
      <c r="CA5" s="24" t="s">
        <v>30</v>
      </c>
      <c r="CB5" s="25" t="s">
        <v>7</v>
      </c>
      <c r="CC5" s="41"/>
    </row>
    <row r="6" spans="1:81" ht="14.25">
      <c r="A6" s="83" t="s">
        <v>16</v>
      </c>
      <c r="B6" s="84"/>
      <c r="C6" s="6" t="s">
        <v>17</v>
      </c>
      <c r="D6" s="6" t="s">
        <v>33</v>
      </c>
      <c r="E6" s="83" t="s">
        <v>34</v>
      </c>
      <c r="F6" s="85"/>
      <c r="G6" s="84"/>
      <c r="H6" s="26" t="s">
        <v>5</v>
      </c>
      <c r="I6" s="2"/>
      <c r="J6" s="83" t="s">
        <v>16</v>
      </c>
      <c r="K6" s="84"/>
      <c r="L6" s="18" t="s">
        <v>17</v>
      </c>
      <c r="M6" s="18" t="s">
        <v>33</v>
      </c>
      <c r="N6" s="83" t="s">
        <v>34</v>
      </c>
      <c r="O6" s="85"/>
      <c r="P6" s="84"/>
      <c r="Q6" s="26" t="s">
        <v>5</v>
      </c>
      <c r="R6" s="19"/>
      <c r="S6" s="42" t="s">
        <v>16</v>
      </c>
      <c r="T6" s="43"/>
      <c r="U6" s="18" t="s">
        <v>17</v>
      </c>
      <c r="V6" s="18" t="s">
        <v>33</v>
      </c>
      <c r="W6" s="83" t="s">
        <v>34</v>
      </c>
      <c r="X6" s="85"/>
      <c r="Y6" s="84"/>
      <c r="Z6" s="26" t="s">
        <v>5</v>
      </c>
      <c r="AA6" s="19"/>
      <c r="AB6" s="42" t="s">
        <v>16</v>
      </c>
      <c r="AC6" s="43"/>
      <c r="AD6" s="18" t="s">
        <v>17</v>
      </c>
      <c r="AE6" s="18" t="s">
        <v>33</v>
      </c>
      <c r="AF6" s="83" t="s">
        <v>34</v>
      </c>
      <c r="AG6" s="85"/>
      <c r="AH6" s="84"/>
      <c r="AI6" s="26" t="s">
        <v>5</v>
      </c>
      <c r="AJ6" s="19"/>
      <c r="AK6" s="42" t="s">
        <v>16</v>
      </c>
      <c r="AL6" s="43"/>
      <c r="AM6" s="18" t="s">
        <v>17</v>
      </c>
      <c r="AN6" s="18" t="s">
        <v>33</v>
      </c>
      <c r="AO6" s="83" t="s">
        <v>34</v>
      </c>
      <c r="AP6" s="85"/>
      <c r="AQ6" s="84"/>
      <c r="AR6" s="26" t="s">
        <v>5</v>
      </c>
      <c r="AS6" s="19"/>
      <c r="AT6" s="52" t="s">
        <v>16</v>
      </c>
      <c r="AU6" s="53"/>
      <c r="AV6" s="6" t="s">
        <v>17</v>
      </c>
      <c r="AW6" s="6" t="s">
        <v>33</v>
      </c>
      <c r="AX6" s="83" t="s">
        <v>34</v>
      </c>
      <c r="AY6" s="85"/>
      <c r="AZ6" s="84"/>
      <c r="BA6" s="26" t="s">
        <v>5</v>
      </c>
      <c r="BB6" s="2"/>
      <c r="BC6" s="42" t="s">
        <v>16</v>
      </c>
      <c r="BD6" s="43"/>
      <c r="BE6" s="18" t="s">
        <v>17</v>
      </c>
      <c r="BF6" s="18" t="s">
        <v>33</v>
      </c>
      <c r="BG6" s="83" t="s">
        <v>34</v>
      </c>
      <c r="BH6" s="85"/>
      <c r="BI6" s="84"/>
      <c r="BJ6" s="26" t="s">
        <v>5</v>
      </c>
      <c r="BK6" s="19"/>
      <c r="BL6" s="52" t="s">
        <v>16</v>
      </c>
      <c r="BM6" s="53"/>
      <c r="BN6" s="6" t="s">
        <v>17</v>
      </c>
      <c r="BO6" s="6" t="s">
        <v>33</v>
      </c>
      <c r="BP6" s="83" t="s">
        <v>34</v>
      </c>
      <c r="BQ6" s="85"/>
      <c r="BR6" s="84"/>
      <c r="BS6" s="26" t="s">
        <v>5</v>
      </c>
      <c r="BT6" s="2"/>
      <c r="BU6" s="42" t="s">
        <v>16</v>
      </c>
      <c r="BV6" s="43"/>
      <c r="BW6" s="18" t="s">
        <v>17</v>
      </c>
      <c r="BX6" s="18" t="s">
        <v>33</v>
      </c>
      <c r="BY6" s="83" t="s">
        <v>34</v>
      </c>
      <c r="BZ6" s="85"/>
      <c r="CA6" s="84"/>
      <c r="CB6" s="26" t="s">
        <v>5</v>
      </c>
      <c r="CC6" s="19"/>
    </row>
    <row r="7" spans="1:81" ht="15">
      <c r="A7" s="54">
        <f>((C5-INT((D5*5)/2)*0.18)-0.2)*2</f>
        <v>1664.28</v>
      </c>
      <c r="B7" s="54">
        <f>((C5-INT((D5*5)/2)*0.18)+0.2)*2</f>
        <v>1665.0800000000002</v>
      </c>
      <c r="C7" s="10" t="s">
        <v>9</v>
      </c>
      <c r="D7" s="10" t="s">
        <v>9</v>
      </c>
      <c r="E7" s="87" t="s">
        <v>35</v>
      </c>
      <c r="F7" s="88"/>
      <c r="G7" s="89"/>
      <c r="H7" s="75"/>
      <c r="I7" s="55" t="s">
        <v>36</v>
      </c>
      <c r="J7" s="54">
        <f>((L5-INT((M5*5)/2)*0.18)-0.2)*2</f>
        <v>1689.28</v>
      </c>
      <c r="K7" s="54">
        <f>((L5-INT((M5*5)/2)*0.18)+0.2)*2</f>
        <v>1690.0800000000002</v>
      </c>
      <c r="L7" s="10" t="s">
        <v>9</v>
      </c>
      <c r="M7" s="10" t="s">
        <v>9</v>
      </c>
      <c r="N7" s="87" t="s">
        <v>35</v>
      </c>
      <c r="O7" s="88"/>
      <c r="P7" s="89"/>
      <c r="Q7" s="75"/>
      <c r="R7" s="55" t="s">
        <v>36</v>
      </c>
      <c r="S7" s="54">
        <f>((U5+INT((V5*5)/2)*0.18)-0.2)*2</f>
        <v>1722.9199999999998</v>
      </c>
      <c r="T7" s="54">
        <f>((U5+INT((V5*5)/2)*0.18)+0.2)*2</f>
        <v>1723.72</v>
      </c>
      <c r="U7" s="10" t="s">
        <v>9</v>
      </c>
      <c r="V7" s="10" t="s">
        <v>9</v>
      </c>
      <c r="W7" s="87" t="s">
        <v>35</v>
      </c>
      <c r="X7" s="88"/>
      <c r="Y7" s="89"/>
      <c r="Z7" s="75"/>
      <c r="AA7" s="55" t="s">
        <v>36</v>
      </c>
      <c r="AB7" s="54">
        <f>(AD5-AE5/2)*2</f>
        <v>1664</v>
      </c>
      <c r="AC7" s="54">
        <f>(AD5+AE5/2)*2</f>
        <v>1674</v>
      </c>
      <c r="AD7" s="10" t="s">
        <v>9</v>
      </c>
      <c r="AE7" s="10" t="s">
        <v>9</v>
      </c>
      <c r="AF7" s="87" t="s">
        <v>35</v>
      </c>
      <c r="AG7" s="88"/>
      <c r="AH7" s="89"/>
      <c r="AI7" s="75"/>
      <c r="AJ7" s="55" t="s">
        <v>36</v>
      </c>
      <c r="AK7" s="54">
        <f>(AM5-AN5/2)*2</f>
        <v>1714</v>
      </c>
      <c r="AL7" s="54">
        <f>(AM5+AN5/2)*2</f>
        <v>1724</v>
      </c>
      <c r="AM7" s="10" t="s">
        <v>9</v>
      </c>
      <c r="AN7" s="10" t="s">
        <v>9</v>
      </c>
      <c r="AO7" s="87" t="s">
        <v>35</v>
      </c>
      <c r="AP7" s="88"/>
      <c r="AQ7" s="89"/>
      <c r="AR7" s="75"/>
      <c r="AS7" s="55" t="s">
        <v>36</v>
      </c>
      <c r="AT7" s="54">
        <f>((AV5-(INT((AW5*5)/2)-0.5)*0.18)-0.2)*2</f>
        <v>1665.78</v>
      </c>
      <c r="AU7" s="54">
        <f>((AV5-(INT((AW5*5)/2)-0.5)*0.18)+0.2)*2</f>
        <v>1666.5800000000002</v>
      </c>
      <c r="AV7" s="10" t="s">
        <v>9</v>
      </c>
      <c r="AW7" s="10" t="s">
        <v>9</v>
      </c>
      <c r="AX7" s="87" t="s">
        <v>35</v>
      </c>
      <c r="AY7" s="88"/>
      <c r="AZ7" s="89"/>
      <c r="BA7" s="75"/>
      <c r="BB7" s="55" t="s">
        <v>36</v>
      </c>
      <c r="BC7" s="54">
        <f>((BE5+(INT((BF5*5)/2)-0.5)*0.18)-0.2)*2</f>
        <v>1721.4199999999998</v>
      </c>
      <c r="BD7" s="54">
        <f>((BE5+(INT((BF5*5)/2)-0.5)*0.18)+0.2)*2</f>
        <v>1722.22</v>
      </c>
      <c r="BE7" s="10" t="s">
        <v>9</v>
      </c>
      <c r="BF7" s="10" t="s">
        <v>9</v>
      </c>
      <c r="BG7" s="87" t="s">
        <v>35</v>
      </c>
      <c r="BH7" s="88"/>
      <c r="BI7" s="89"/>
      <c r="BJ7" s="75"/>
      <c r="BK7" s="55" t="s">
        <v>36</v>
      </c>
      <c r="BL7" s="54">
        <f>(BN5-BO5/2)*2</f>
        <v>1664</v>
      </c>
      <c r="BM7" s="54">
        <f>(BN5+BO5/2)*2</f>
        <v>1704</v>
      </c>
      <c r="BN7" s="10" t="s">
        <v>9</v>
      </c>
      <c r="BO7" s="10" t="s">
        <v>9</v>
      </c>
      <c r="BP7" s="87" t="s">
        <v>35</v>
      </c>
      <c r="BQ7" s="88"/>
      <c r="BR7" s="89"/>
      <c r="BS7" s="75"/>
      <c r="BT7" s="55" t="s">
        <v>36</v>
      </c>
      <c r="BU7" s="54">
        <f>(BW5-BX5/2)*2</f>
        <v>1684</v>
      </c>
      <c r="BV7" s="54">
        <f>(BW5+BX5/2)*2</f>
        <v>1724</v>
      </c>
      <c r="BW7" s="10" t="s">
        <v>9</v>
      </c>
      <c r="BX7" s="10" t="s">
        <v>9</v>
      </c>
      <c r="BY7" s="87" t="s">
        <v>35</v>
      </c>
      <c r="BZ7" s="88"/>
      <c r="CA7" s="89"/>
      <c r="CB7" s="75"/>
      <c r="CC7" s="55" t="s">
        <v>36</v>
      </c>
    </row>
    <row r="8" spans="1:81" ht="15">
      <c r="A8" s="54">
        <f>((C5-INT((D5*5)/2)*0.18)-0.2)*3</f>
        <v>2496.42</v>
      </c>
      <c r="B8" s="54">
        <f>((C5-INT((D5*5)/2)*0.18)+0.2)*3</f>
        <v>2497.6200000000003</v>
      </c>
      <c r="C8" s="10" t="s">
        <v>9</v>
      </c>
      <c r="D8" s="10" t="s">
        <v>9</v>
      </c>
      <c r="E8" s="87" t="s">
        <v>35</v>
      </c>
      <c r="F8" s="88"/>
      <c r="G8" s="89"/>
      <c r="H8" s="75"/>
      <c r="I8" s="55" t="s">
        <v>37</v>
      </c>
      <c r="J8" s="54">
        <f>((L5-INT((M5*5)/2)*0.18)-0.2)*3</f>
        <v>2533.92</v>
      </c>
      <c r="K8" s="54">
        <f>((L5-INT((M5*5)/2)*0.18)+0.2)*3</f>
        <v>2535.1200000000003</v>
      </c>
      <c r="L8" s="10" t="s">
        <v>9</v>
      </c>
      <c r="M8" s="10" t="s">
        <v>9</v>
      </c>
      <c r="N8" s="87" t="s">
        <v>35</v>
      </c>
      <c r="O8" s="88"/>
      <c r="P8" s="89"/>
      <c r="Q8" s="75"/>
      <c r="R8" s="55" t="s">
        <v>37</v>
      </c>
      <c r="S8" s="54">
        <f>((U5+INT((V5*5)/2)*0.18)-0.2)*3</f>
        <v>2584.3799999999997</v>
      </c>
      <c r="T8" s="54">
        <f>((U5+INT((V5*5)/2)*0.18)+0.2)*3</f>
        <v>2585.58</v>
      </c>
      <c r="U8" s="10" t="s">
        <v>9</v>
      </c>
      <c r="V8" s="10" t="s">
        <v>9</v>
      </c>
      <c r="W8" s="87" t="s">
        <v>35</v>
      </c>
      <c r="X8" s="88"/>
      <c r="Y8" s="89"/>
      <c r="Z8" s="75"/>
      <c r="AA8" s="55" t="s">
        <v>37</v>
      </c>
      <c r="AB8" s="54">
        <f>(AD5-AE5/2)*3</f>
        <v>2496</v>
      </c>
      <c r="AC8" s="54">
        <f>(AD5+AE5/2)*3</f>
        <v>2511</v>
      </c>
      <c r="AD8" s="10" t="s">
        <v>9</v>
      </c>
      <c r="AE8" s="10" t="s">
        <v>9</v>
      </c>
      <c r="AF8" s="87" t="s">
        <v>35</v>
      </c>
      <c r="AG8" s="88"/>
      <c r="AH8" s="89"/>
      <c r="AI8" s="75"/>
      <c r="AJ8" s="55" t="s">
        <v>37</v>
      </c>
      <c r="AK8" s="54">
        <f>(AM5-AN5/2)*3</f>
        <v>2571</v>
      </c>
      <c r="AL8" s="54">
        <f>(AM5+AN5/2)*3</f>
        <v>2586</v>
      </c>
      <c r="AM8" s="10" t="s">
        <v>9</v>
      </c>
      <c r="AN8" s="10" t="s">
        <v>9</v>
      </c>
      <c r="AO8" s="87" t="s">
        <v>35</v>
      </c>
      <c r="AP8" s="88"/>
      <c r="AQ8" s="89"/>
      <c r="AR8" s="75"/>
      <c r="AS8" s="55" t="s">
        <v>37</v>
      </c>
      <c r="AT8" s="54">
        <f>((AV5-(INT((AW5*5)/2)-0.5)*0.18)-0.2)*3</f>
        <v>2498.67</v>
      </c>
      <c r="AU8" s="54">
        <f>((AV5-(INT((AW5*5)/2)-0.5)*0.18)+0.2)*3</f>
        <v>2499.8700000000003</v>
      </c>
      <c r="AV8" s="10" t="s">
        <v>9</v>
      </c>
      <c r="AW8" s="10" t="s">
        <v>9</v>
      </c>
      <c r="AX8" s="87" t="s">
        <v>35</v>
      </c>
      <c r="AY8" s="88"/>
      <c r="AZ8" s="89"/>
      <c r="BA8" s="75"/>
      <c r="BB8" s="55" t="s">
        <v>37</v>
      </c>
      <c r="BC8" s="54">
        <f>((BE5+(INT((BF5*5)/2)-0.5)*0.18)-0.2)*3</f>
        <v>2582.1299999999997</v>
      </c>
      <c r="BD8" s="54">
        <f>((BE5+(INT((BF5*5)/2)-0.5)*0.18)+0.2)*3</f>
        <v>2583.33</v>
      </c>
      <c r="BE8" s="10" t="s">
        <v>9</v>
      </c>
      <c r="BF8" s="10" t="s">
        <v>9</v>
      </c>
      <c r="BG8" s="87" t="s">
        <v>35</v>
      </c>
      <c r="BH8" s="88"/>
      <c r="BI8" s="89"/>
      <c r="BJ8" s="75"/>
      <c r="BK8" s="55" t="s">
        <v>37</v>
      </c>
      <c r="BL8" s="54">
        <f>(BN5-BO5/2)*3</f>
        <v>2496</v>
      </c>
      <c r="BM8" s="54">
        <f>(BN5+BO5/2)*3</f>
        <v>2556</v>
      </c>
      <c r="BN8" s="10" t="s">
        <v>9</v>
      </c>
      <c r="BO8" s="10" t="s">
        <v>9</v>
      </c>
      <c r="BP8" s="87" t="s">
        <v>35</v>
      </c>
      <c r="BQ8" s="88"/>
      <c r="BR8" s="89"/>
      <c r="BS8" s="75"/>
      <c r="BT8" s="55" t="s">
        <v>37</v>
      </c>
      <c r="BU8" s="54">
        <f>(BW5-BX5/2)*3</f>
        <v>2526</v>
      </c>
      <c r="BV8" s="54">
        <f>(BW5+BX5/2)*3</f>
        <v>2586</v>
      </c>
      <c r="BW8" s="10" t="s">
        <v>9</v>
      </c>
      <c r="BX8" s="10" t="s">
        <v>9</v>
      </c>
      <c r="BY8" s="87" t="s">
        <v>35</v>
      </c>
      <c r="BZ8" s="88"/>
      <c r="CA8" s="89"/>
      <c r="CB8" s="75"/>
      <c r="CC8" s="55" t="s">
        <v>37</v>
      </c>
    </row>
    <row r="9" spans="1:81" ht="15">
      <c r="A9" s="54">
        <f>((C5-INT((D5*5)/2)*0.18)-0.2)*4</f>
        <v>3328.56</v>
      </c>
      <c r="B9" s="54">
        <f>((C5-INT((D5*5)/2)*0.18)+0.2)*4</f>
        <v>3330.1600000000003</v>
      </c>
      <c r="C9" s="10" t="s">
        <v>9</v>
      </c>
      <c r="D9" s="10" t="s">
        <v>9</v>
      </c>
      <c r="E9" s="90" t="s">
        <v>35</v>
      </c>
      <c r="F9" s="90"/>
      <c r="G9" s="90"/>
      <c r="H9" s="75"/>
      <c r="I9" s="55" t="s">
        <v>38</v>
      </c>
      <c r="J9" s="54">
        <f>((L5-INT((M5*5)/2)*0.18)-0.2)*4</f>
        <v>3378.56</v>
      </c>
      <c r="K9" s="54">
        <f>((L5-INT((M5*5)/2)*0.18)+0.2)*4</f>
        <v>3380.1600000000003</v>
      </c>
      <c r="L9" s="10" t="s">
        <v>9</v>
      </c>
      <c r="M9" s="10" t="s">
        <v>9</v>
      </c>
      <c r="N9" s="90" t="s">
        <v>35</v>
      </c>
      <c r="O9" s="90"/>
      <c r="P9" s="90"/>
      <c r="Q9" s="75"/>
      <c r="R9" s="55" t="s">
        <v>38</v>
      </c>
      <c r="S9" s="54">
        <f>((U5+INT((V5*5)/2)*0.18)-0.2)*4</f>
        <v>3445.8399999999997</v>
      </c>
      <c r="T9" s="54">
        <f>((U5+INT((V5*5)/2)*0.18)+0.2)*4</f>
        <v>3447.44</v>
      </c>
      <c r="U9" s="10" t="s">
        <v>9</v>
      </c>
      <c r="V9" s="10" t="s">
        <v>9</v>
      </c>
      <c r="W9" s="87" t="s">
        <v>39</v>
      </c>
      <c r="X9" s="88"/>
      <c r="Y9" s="89"/>
      <c r="Z9" s="75"/>
      <c r="AA9" s="55" t="s">
        <v>38</v>
      </c>
      <c r="AB9" s="54">
        <f>(AD5-AE5/2)*4</f>
        <v>3328</v>
      </c>
      <c r="AC9" s="54">
        <f>(AD5+AE5/2)*4</f>
        <v>3348</v>
      </c>
      <c r="AD9" s="10" t="s">
        <v>9</v>
      </c>
      <c r="AE9" s="10" t="s">
        <v>9</v>
      </c>
      <c r="AF9" s="87" t="s">
        <v>39</v>
      </c>
      <c r="AG9" s="88"/>
      <c r="AH9" s="89"/>
      <c r="AI9" s="75"/>
      <c r="AJ9" s="55" t="s">
        <v>38</v>
      </c>
      <c r="AK9" s="54">
        <f>(AM5-AN5/2)*4</f>
        <v>3428</v>
      </c>
      <c r="AL9" s="54">
        <f>(AM5+AN5/2)*4</f>
        <v>3448</v>
      </c>
      <c r="AM9" s="10" t="s">
        <v>9</v>
      </c>
      <c r="AN9" s="10" t="s">
        <v>9</v>
      </c>
      <c r="AO9" s="87" t="s">
        <v>39</v>
      </c>
      <c r="AP9" s="88"/>
      <c r="AQ9" s="89"/>
      <c r="AR9" s="75"/>
      <c r="AS9" s="55" t="s">
        <v>38</v>
      </c>
      <c r="AT9" s="54">
        <f>((AV5-(INT((AW5*5)/2)-0.5)*0.18)-0.2)*4</f>
        <v>3331.56</v>
      </c>
      <c r="AU9" s="54">
        <f>((AV5-(INT((AW5*5)/2)-0.5)*0.18)+0.2)*4</f>
        <v>3333.1600000000003</v>
      </c>
      <c r="AV9" s="10" t="s">
        <v>9</v>
      </c>
      <c r="AW9" s="10" t="s">
        <v>9</v>
      </c>
      <c r="AX9" s="87" t="s">
        <v>39</v>
      </c>
      <c r="AY9" s="88"/>
      <c r="AZ9" s="89"/>
      <c r="BA9" s="75"/>
      <c r="BB9" s="55" t="s">
        <v>38</v>
      </c>
      <c r="BC9" s="54">
        <f>((BE5+(INT((BF5*5)/2)-0.5)*0.18)-0.2)*4</f>
        <v>3442.8399999999997</v>
      </c>
      <c r="BD9" s="54">
        <f>((BE5+(INT((BF5*5)/2)-0.5)*0.18)+0.2)*4</f>
        <v>3444.44</v>
      </c>
      <c r="BE9" s="10" t="s">
        <v>9</v>
      </c>
      <c r="BF9" s="10" t="s">
        <v>9</v>
      </c>
      <c r="BG9" s="87" t="s">
        <v>39</v>
      </c>
      <c r="BH9" s="88"/>
      <c r="BI9" s="89"/>
      <c r="BJ9" s="75"/>
      <c r="BK9" s="55" t="s">
        <v>38</v>
      </c>
      <c r="BL9" s="54">
        <f>(BN5-BO5/2)*4</f>
        <v>3328</v>
      </c>
      <c r="BM9" s="54">
        <f>(BN5+BO5/2)*4</f>
        <v>3408</v>
      </c>
      <c r="BN9" s="10" t="s">
        <v>9</v>
      </c>
      <c r="BO9" s="10" t="s">
        <v>9</v>
      </c>
      <c r="BP9" s="87" t="s">
        <v>39</v>
      </c>
      <c r="BQ9" s="88"/>
      <c r="BR9" s="89"/>
      <c r="BS9" s="75"/>
      <c r="BT9" s="55" t="s">
        <v>38</v>
      </c>
      <c r="BU9" s="54">
        <f>(BW5-BX5/2)*4</f>
        <v>3368</v>
      </c>
      <c r="BV9" s="54">
        <f>(BW5+BX5/2)*4</f>
        <v>3448</v>
      </c>
      <c r="BW9" s="10" t="s">
        <v>9</v>
      </c>
      <c r="BX9" s="10" t="s">
        <v>9</v>
      </c>
      <c r="BY9" s="87" t="s">
        <v>35</v>
      </c>
      <c r="BZ9" s="88"/>
      <c r="CA9" s="89"/>
      <c r="CB9" s="75"/>
      <c r="CC9" s="55" t="s">
        <v>38</v>
      </c>
    </row>
    <row r="10" spans="1:81" ht="15">
      <c r="A10" s="54">
        <f>((C5-INT((D5*5)/2)*0.18)-0.2)*5</f>
        <v>4160.7</v>
      </c>
      <c r="B10" s="54">
        <f>((C5-INT((D5*5)/2)*0.18)+0.2)*5</f>
        <v>4162.7000000000007</v>
      </c>
      <c r="C10" s="10" t="s">
        <v>9</v>
      </c>
      <c r="D10" s="10" t="s">
        <v>9</v>
      </c>
      <c r="E10" s="87" t="s">
        <v>35</v>
      </c>
      <c r="F10" s="88"/>
      <c r="G10" s="89"/>
      <c r="H10" s="75"/>
      <c r="I10" s="55" t="s">
        <v>40</v>
      </c>
      <c r="J10" s="54">
        <f>((L5-INT((M5*5)/2)*0.18)-0.2)*5</f>
        <v>4223.2</v>
      </c>
      <c r="K10" s="54">
        <f>((L5-INT((M5*5)/2)*0.18)+0.2)*5</f>
        <v>4225.2000000000007</v>
      </c>
      <c r="L10" s="10" t="s">
        <v>9</v>
      </c>
      <c r="M10" s="10" t="s">
        <v>9</v>
      </c>
      <c r="N10" s="87" t="s">
        <v>35</v>
      </c>
      <c r="O10" s="88"/>
      <c r="P10" s="89"/>
      <c r="Q10" s="75"/>
      <c r="R10" s="55" t="s">
        <v>40</v>
      </c>
      <c r="S10" s="54">
        <f>((U5+INT((V5*5)/2)*0.18)-0.2)*5</f>
        <v>4307.2999999999993</v>
      </c>
      <c r="T10" s="54">
        <f>((U5+INT((V5*5)/2)*0.18)+0.2)*5</f>
        <v>4309.3</v>
      </c>
      <c r="U10" s="10" t="s">
        <v>9</v>
      </c>
      <c r="V10" s="10" t="s">
        <v>9</v>
      </c>
      <c r="W10" s="87" t="s">
        <v>39</v>
      </c>
      <c r="X10" s="88"/>
      <c r="Y10" s="89"/>
      <c r="Z10" s="75"/>
      <c r="AA10" s="55" t="s">
        <v>40</v>
      </c>
      <c r="AB10" s="54">
        <f>(AD5-AE5/2)*5</f>
        <v>4160</v>
      </c>
      <c r="AC10" s="54">
        <f>(AD5+AE5/2)*5</f>
        <v>4185</v>
      </c>
      <c r="AD10" s="10" t="s">
        <v>9</v>
      </c>
      <c r="AE10" s="10" t="s">
        <v>9</v>
      </c>
      <c r="AF10" s="87" t="s">
        <v>39</v>
      </c>
      <c r="AG10" s="88"/>
      <c r="AH10" s="89"/>
      <c r="AI10" s="75"/>
      <c r="AJ10" s="55" t="s">
        <v>40</v>
      </c>
      <c r="AK10" s="54">
        <f>(AM5-AN5/2)*5</f>
        <v>4285</v>
      </c>
      <c r="AL10" s="54">
        <f>(AM5+AN5/2)*5</f>
        <v>4310</v>
      </c>
      <c r="AM10" s="10" t="s">
        <v>9</v>
      </c>
      <c r="AN10" s="10" t="s">
        <v>9</v>
      </c>
      <c r="AO10" s="87" t="s">
        <v>39</v>
      </c>
      <c r="AP10" s="88"/>
      <c r="AQ10" s="89"/>
      <c r="AR10" s="75"/>
      <c r="AS10" s="55" t="s">
        <v>40</v>
      </c>
      <c r="AT10" s="54">
        <f>((AV5-(INT((AW5*5)/2)-0.5)*0.18)-0.2)*5</f>
        <v>4164.45</v>
      </c>
      <c r="AU10" s="54">
        <f>((AV5-(INT((AW5*5)/2)-0.5)*0.18)+0.2)*5</f>
        <v>4166.4500000000007</v>
      </c>
      <c r="AV10" s="10" t="s">
        <v>9</v>
      </c>
      <c r="AW10" s="10" t="s">
        <v>9</v>
      </c>
      <c r="AX10" s="87" t="s">
        <v>39</v>
      </c>
      <c r="AY10" s="88"/>
      <c r="AZ10" s="89"/>
      <c r="BA10" s="75"/>
      <c r="BB10" s="55" t="s">
        <v>40</v>
      </c>
      <c r="BC10" s="54">
        <f>((BE5+(INT((BF5*5)/2)-0.5)*0.18)-0.2)*5</f>
        <v>4303.5499999999993</v>
      </c>
      <c r="BD10" s="54">
        <f>((BE5+(INT((BF5*5)/2)-0.5)*0.18)+0.2)*5</f>
        <v>4305.55</v>
      </c>
      <c r="BE10" s="10" t="s">
        <v>9</v>
      </c>
      <c r="BF10" s="10" t="s">
        <v>9</v>
      </c>
      <c r="BG10" s="87" t="s">
        <v>39</v>
      </c>
      <c r="BH10" s="88"/>
      <c r="BI10" s="89"/>
      <c r="BJ10" s="75"/>
      <c r="BK10" s="55" t="s">
        <v>40</v>
      </c>
      <c r="BL10" s="54">
        <f>(BN5-BO5/2)*5</f>
        <v>4160</v>
      </c>
      <c r="BM10" s="54">
        <f>(BN5+BO5/2)*5</f>
        <v>4260</v>
      </c>
      <c r="BN10" s="10" t="s">
        <v>9</v>
      </c>
      <c r="BO10" s="10" t="s">
        <v>9</v>
      </c>
      <c r="BP10" s="87" t="s">
        <v>39</v>
      </c>
      <c r="BQ10" s="88"/>
      <c r="BR10" s="89"/>
      <c r="BS10" s="75"/>
      <c r="BT10" s="55" t="s">
        <v>40</v>
      </c>
      <c r="BU10" s="54">
        <f>(BW5-BX5/2)*5</f>
        <v>4210</v>
      </c>
      <c r="BV10" s="54">
        <f>(BW5+BX5/2)*5</f>
        <v>4310</v>
      </c>
      <c r="BW10" s="10" t="s">
        <v>9</v>
      </c>
      <c r="BX10" s="10" t="s">
        <v>9</v>
      </c>
      <c r="BY10" s="87" t="s">
        <v>35</v>
      </c>
      <c r="BZ10" s="88"/>
      <c r="CA10" s="89"/>
      <c r="CB10" s="75"/>
      <c r="CC10" s="55" t="s">
        <v>40</v>
      </c>
    </row>
    <row r="11" spans="1:81" ht="15">
      <c r="A11" s="54">
        <f>((C5-INT((D5*5)/2)*0.18)-0.2)*6</f>
        <v>4992.84</v>
      </c>
      <c r="B11" s="54">
        <f>((C5-INT((D5*5)/2)*0.18)+0.2)*6</f>
        <v>4995.2400000000007</v>
      </c>
      <c r="C11" s="10" t="s">
        <v>9</v>
      </c>
      <c r="D11" s="10" t="s">
        <v>9</v>
      </c>
      <c r="E11" s="90" t="s">
        <v>35</v>
      </c>
      <c r="F11" s="90"/>
      <c r="G11" s="90"/>
      <c r="H11" s="75"/>
      <c r="I11" s="55" t="s">
        <v>41</v>
      </c>
      <c r="J11" s="54">
        <f>((L5-INT((M5*5)/2)*0.18)-0.2)*6</f>
        <v>5067.84</v>
      </c>
      <c r="K11" s="54">
        <f>((L5-INT((M5*5)/2)*0.18)+0.2)*6</f>
        <v>5070.2400000000007</v>
      </c>
      <c r="L11" s="10" t="s">
        <v>9</v>
      </c>
      <c r="M11" s="10" t="s">
        <v>9</v>
      </c>
      <c r="N11" s="90" t="s">
        <v>35</v>
      </c>
      <c r="O11" s="90"/>
      <c r="P11" s="90"/>
      <c r="Q11" s="75"/>
      <c r="R11" s="55" t="s">
        <v>41</v>
      </c>
      <c r="S11" s="54">
        <f>((U5+INT((V5*5)/2)*0.18)-0.2)*6</f>
        <v>5168.7599999999993</v>
      </c>
      <c r="T11" s="54">
        <f>((U5+INT((V5*5)/2)*0.18)+0.2)*6</f>
        <v>5171.16</v>
      </c>
      <c r="U11" s="10" t="s">
        <v>9</v>
      </c>
      <c r="V11" s="10" t="s">
        <v>9</v>
      </c>
      <c r="W11" s="87" t="s">
        <v>39</v>
      </c>
      <c r="X11" s="88"/>
      <c r="Y11" s="89"/>
      <c r="Z11" s="75"/>
      <c r="AA11" s="55" t="s">
        <v>41</v>
      </c>
      <c r="AB11" s="54">
        <f>(AD5-AE5/2)*6</f>
        <v>4992</v>
      </c>
      <c r="AC11" s="54">
        <f>(AD5+AE5/2)*6</f>
        <v>5022</v>
      </c>
      <c r="AD11" s="10" t="s">
        <v>9</v>
      </c>
      <c r="AE11" s="10" t="s">
        <v>9</v>
      </c>
      <c r="AF11" s="87" t="s">
        <v>39</v>
      </c>
      <c r="AG11" s="88"/>
      <c r="AH11" s="89"/>
      <c r="AI11" s="75"/>
      <c r="AJ11" s="55" t="s">
        <v>41</v>
      </c>
      <c r="AK11" s="54">
        <f>(AM5-AN5/2)*6</f>
        <v>5142</v>
      </c>
      <c r="AL11" s="54">
        <f>(AM5+AN5/2)*6</f>
        <v>5172</v>
      </c>
      <c r="AM11" s="10" t="s">
        <v>9</v>
      </c>
      <c r="AN11" s="10" t="s">
        <v>9</v>
      </c>
      <c r="AO11" s="87" t="s">
        <v>39</v>
      </c>
      <c r="AP11" s="88"/>
      <c r="AQ11" s="89"/>
      <c r="AR11" s="75"/>
      <c r="AS11" s="55" t="s">
        <v>41</v>
      </c>
      <c r="AT11" s="54">
        <f>((AV5-(INT((AW5*5)/2)-0.5)*0.18)-0.2)*6</f>
        <v>4997.34</v>
      </c>
      <c r="AU11" s="54">
        <f>((AV5-(INT((AW5*5)/2)-0.5)*0.18)+0.2)*6</f>
        <v>4999.7400000000007</v>
      </c>
      <c r="AV11" s="10" t="s">
        <v>9</v>
      </c>
      <c r="AW11" s="10" t="s">
        <v>9</v>
      </c>
      <c r="AX11" s="87" t="s">
        <v>39</v>
      </c>
      <c r="AY11" s="88"/>
      <c r="AZ11" s="89"/>
      <c r="BA11" s="75"/>
      <c r="BB11" s="55" t="s">
        <v>41</v>
      </c>
      <c r="BC11" s="54">
        <f>((BE5+(INT((BF5*5)/2)-0.5)*0.18)-0.2)*6</f>
        <v>5164.2599999999993</v>
      </c>
      <c r="BD11" s="54">
        <f>((BE5+(INT((BF5*5)/2)-0.5)*0.18)+0.2)*6</f>
        <v>5166.66</v>
      </c>
      <c r="BE11" s="10" t="s">
        <v>9</v>
      </c>
      <c r="BF11" s="10" t="s">
        <v>9</v>
      </c>
      <c r="BG11" s="87" t="s">
        <v>39</v>
      </c>
      <c r="BH11" s="88"/>
      <c r="BI11" s="89"/>
      <c r="BJ11" s="75"/>
      <c r="BK11" s="55" t="s">
        <v>41</v>
      </c>
      <c r="BL11" s="54">
        <f>(BN5-BO5/2)*6</f>
        <v>4992</v>
      </c>
      <c r="BM11" s="54">
        <f>(BN5+BO5/2)*6</f>
        <v>5112</v>
      </c>
      <c r="BN11" s="10" t="s">
        <v>9</v>
      </c>
      <c r="BO11" s="10" t="s">
        <v>9</v>
      </c>
      <c r="BP11" s="87" t="s">
        <v>39</v>
      </c>
      <c r="BQ11" s="88"/>
      <c r="BR11" s="89"/>
      <c r="BS11" s="75"/>
      <c r="BT11" s="55" t="s">
        <v>41</v>
      </c>
      <c r="BU11" s="54">
        <f>(BW5-BX5/2)*6</f>
        <v>5052</v>
      </c>
      <c r="BV11" s="54">
        <f>(BW5+BX5/2)*6</f>
        <v>5172</v>
      </c>
      <c r="BW11" s="10" t="s">
        <v>9</v>
      </c>
      <c r="BX11" s="10" t="s">
        <v>9</v>
      </c>
      <c r="BY11" s="87" t="s">
        <v>35</v>
      </c>
      <c r="BZ11" s="88"/>
      <c r="CA11" s="89"/>
      <c r="CB11" s="75"/>
      <c r="CC11" s="55" t="s">
        <v>41</v>
      </c>
    </row>
    <row r="12" spans="1:81" ht="15">
      <c r="A12" s="54">
        <f>((C5-INT((D5*5)/2)*0.18)-0.2)*7</f>
        <v>5824.98</v>
      </c>
      <c r="B12" s="54">
        <f>((C5-INT((D5*5)/2)*0.18)+0.2)*7</f>
        <v>5827.7800000000007</v>
      </c>
      <c r="C12" s="10" t="s">
        <v>63</v>
      </c>
      <c r="D12" s="10" t="s">
        <v>9</v>
      </c>
      <c r="E12" s="87" t="s">
        <v>39</v>
      </c>
      <c r="F12" s="88"/>
      <c r="G12" s="89"/>
      <c r="H12" s="75"/>
      <c r="I12" s="55" t="s">
        <v>62</v>
      </c>
      <c r="J12" s="54">
        <f>((L5-INT((M5*5)/2)*0.18)-0.2)*7</f>
        <v>5912.48</v>
      </c>
      <c r="K12" s="54">
        <f>((L5-INT((M5*5)/2)*0.18)+0.2)*7</f>
        <v>5915.2800000000007</v>
      </c>
      <c r="L12" s="10" t="s">
        <v>9</v>
      </c>
      <c r="M12" s="10" t="s">
        <v>9</v>
      </c>
      <c r="N12" s="90" t="s">
        <v>64</v>
      </c>
      <c r="O12" s="90"/>
      <c r="P12" s="90"/>
      <c r="Q12" s="75"/>
      <c r="R12" s="55" t="s">
        <v>65</v>
      </c>
      <c r="S12" s="54">
        <f>((U5+INT((V5*5)/2)*0.18)-0.2)*7</f>
        <v>6030.2199999999993</v>
      </c>
      <c r="T12" s="54">
        <f>((U5+INT((V5*5)/2)*0.18)+0.2)*7</f>
        <v>6033.02</v>
      </c>
      <c r="U12" s="10" t="s">
        <v>9</v>
      </c>
      <c r="V12" s="10" t="s">
        <v>9</v>
      </c>
      <c r="W12" s="87" t="s">
        <v>39</v>
      </c>
      <c r="X12" s="88"/>
      <c r="Y12" s="89"/>
      <c r="Z12" s="75"/>
      <c r="AA12" s="55" t="s">
        <v>65</v>
      </c>
      <c r="AB12" s="54">
        <f>(AD5-AE5/2)*7</f>
        <v>5824</v>
      </c>
      <c r="AC12" s="54">
        <f>(AD5+AE5/2)*7</f>
        <v>5859</v>
      </c>
      <c r="AD12" s="10" t="s">
        <v>9</v>
      </c>
      <c r="AE12" s="10" t="s">
        <v>9</v>
      </c>
      <c r="AF12" s="87" t="s">
        <v>39</v>
      </c>
      <c r="AG12" s="88"/>
      <c r="AH12" s="89"/>
      <c r="AI12" s="75"/>
      <c r="AJ12" s="55" t="s">
        <v>65</v>
      </c>
      <c r="AK12" s="54">
        <f>(AM5-AN5/2)*7</f>
        <v>5999</v>
      </c>
      <c r="AL12" s="54">
        <f>(AM5+AN5/2)*7</f>
        <v>6034</v>
      </c>
      <c r="AM12" s="10" t="s">
        <v>9</v>
      </c>
      <c r="AN12" s="10" t="s">
        <v>9</v>
      </c>
      <c r="AO12" s="87" t="s">
        <v>64</v>
      </c>
      <c r="AP12" s="88"/>
      <c r="AQ12" s="89"/>
      <c r="AR12" s="75"/>
      <c r="AS12" s="55" t="s">
        <v>65</v>
      </c>
      <c r="AT12" s="54">
        <f>((AV5-(INT((AW5*5)/2)-0.5)*0.18)-0.2)*7</f>
        <v>5830.23</v>
      </c>
      <c r="AU12" s="54">
        <f>((AV5-(INT((AW5*5)/2)-0.5)*0.18)+0.2)*7</f>
        <v>5833.0300000000007</v>
      </c>
      <c r="AV12" s="10" t="s">
        <v>9</v>
      </c>
      <c r="AW12" s="10" t="s">
        <v>9</v>
      </c>
      <c r="AX12" s="87" t="s">
        <v>39</v>
      </c>
      <c r="AY12" s="88"/>
      <c r="AZ12" s="89"/>
      <c r="BA12" s="75"/>
      <c r="BB12" s="55" t="s">
        <v>65</v>
      </c>
      <c r="BC12" s="54">
        <f>((BE5+(INT((BF5*5)/2)-0.5)*0.18)-0.2)*7</f>
        <v>6024.9699999999993</v>
      </c>
      <c r="BD12" s="54">
        <f>((BE5+(INT((BF5*5)/2)-0.5)*0.18)+0.2)*7</f>
        <v>6027.77</v>
      </c>
      <c r="BE12" s="10" t="s">
        <v>9</v>
      </c>
      <c r="BF12" s="10" t="s">
        <v>9</v>
      </c>
      <c r="BG12" s="87" t="s">
        <v>39</v>
      </c>
      <c r="BH12" s="88"/>
      <c r="BI12" s="89"/>
      <c r="BJ12" s="75"/>
      <c r="BK12" s="55" t="s">
        <v>65</v>
      </c>
      <c r="BL12" s="54">
        <f>(BN5-BO5/2)*7</f>
        <v>5824</v>
      </c>
      <c r="BM12" s="54">
        <f>(BN5+BO5/2)*7</f>
        <v>5964</v>
      </c>
      <c r="BN12" s="10" t="s">
        <v>9</v>
      </c>
      <c r="BO12" s="10" t="s">
        <v>9</v>
      </c>
      <c r="BP12" s="87" t="s">
        <v>39</v>
      </c>
      <c r="BQ12" s="88"/>
      <c r="BR12" s="89"/>
      <c r="BS12" s="75"/>
      <c r="BT12" s="55" t="s">
        <v>65</v>
      </c>
      <c r="BU12" s="54">
        <f>(BW5-BX5/2)*7</f>
        <v>5894</v>
      </c>
      <c r="BV12" s="54">
        <f>(BW5+BX5/2)*7</f>
        <v>6034</v>
      </c>
      <c r="BW12" s="10" t="s">
        <v>9</v>
      </c>
      <c r="BX12" s="10" t="s">
        <v>9</v>
      </c>
      <c r="BY12" s="87" t="s">
        <v>64</v>
      </c>
      <c r="BZ12" s="88"/>
      <c r="CA12" s="89"/>
      <c r="CB12" s="75"/>
      <c r="CC12" s="55" t="s">
        <v>65</v>
      </c>
    </row>
    <row r="13" spans="1:81" ht="15">
      <c r="A13" s="54">
        <f>((C5-INT((D5*5)/2)*0.18)-0.2)*8</f>
        <v>6657.12</v>
      </c>
      <c r="B13" s="54">
        <f>((C5-INT((D5*5)/2)*0.18)+0.2)*8</f>
        <v>6660.3200000000006</v>
      </c>
      <c r="C13" s="10" t="s">
        <v>9</v>
      </c>
      <c r="D13" s="10" t="s">
        <v>9</v>
      </c>
      <c r="E13" s="87" t="s">
        <v>39</v>
      </c>
      <c r="F13" s="88"/>
      <c r="G13" s="89"/>
      <c r="H13" s="75"/>
      <c r="I13" s="55" t="s">
        <v>66</v>
      </c>
      <c r="J13" s="54">
        <f>((L5-INT((M5*5)/2)*0.18)-0.2)*8</f>
        <v>6757.12</v>
      </c>
      <c r="K13" s="54">
        <f>((L5-INT((M5*5)/2)*0.18)+0.2)*8</f>
        <v>6760.3200000000006</v>
      </c>
      <c r="L13" s="10" t="s">
        <v>9</v>
      </c>
      <c r="M13" s="10" t="s">
        <v>9</v>
      </c>
      <c r="N13" s="90" t="s">
        <v>67</v>
      </c>
      <c r="O13" s="90"/>
      <c r="P13" s="90"/>
      <c r="Q13" s="75"/>
      <c r="R13" s="55" t="s">
        <v>68</v>
      </c>
      <c r="S13" s="54">
        <f>((U5+INT((V5*5)/2)*0.18)-0.2)*8</f>
        <v>6891.6799999999994</v>
      </c>
      <c r="T13" s="54">
        <f>((U5+INT((V5*5)/2)*0.18)+0.2)*8</f>
        <v>6894.88</v>
      </c>
      <c r="U13" s="10" t="s">
        <v>9</v>
      </c>
      <c r="V13" s="10" t="s">
        <v>9</v>
      </c>
      <c r="W13" s="87" t="s">
        <v>39</v>
      </c>
      <c r="X13" s="88"/>
      <c r="Y13" s="89"/>
      <c r="Z13" s="75"/>
      <c r="AA13" s="55" t="s">
        <v>68</v>
      </c>
      <c r="AB13" s="54">
        <f>(AD5-AE5/2)*8</f>
        <v>6656</v>
      </c>
      <c r="AC13" s="54">
        <f>(AD5+AE5/2)*8</f>
        <v>6696</v>
      </c>
      <c r="AD13" s="10" t="s">
        <v>9</v>
      </c>
      <c r="AE13" s="10" t="s">
        <v>9</v>
      </c>
      <c r="AF13" s="87" t="s">
        <v>39</v>
      </c>
      <c r="AG13" s="88"/>
      <c r="AH13" s="89"/>
      <c r="AI13" s="75"/>
      <c r="AJ13" s="55" t="s">
        <v>68</v>
      </c>
      <c r="AK13" s="54">
        <f>(AM5-AN5/2)*8</f>
        <v>6856</v>
      </c>
      <c r="AL13" s="54">
        <f>(AM5+AN5/2)*8</f>
        <v>6896</v>
      </c>
      <c r="AM13" s="10" t="s">
        <v>9</v>
      </c>
      <c r="AN13" s="10" t="s">
        <v>9</v>
      </c>
      <c r="AO13" s="87" t="s">
        <v>67</v>
      </c>
      <c r="AP13" s="88"/>
      <c r="AQ13" s="89"/>
      <c r="AR13" s="75"/>
      <c r="AS13" s="55" t="s">
        <v>68</v>
      </c>
      <c r="AT13" s="54">
        <f>((AV5-(INT((AW5*5)/2)-0.5)*0.18)-0.2)*8</f>
        <v>6663.12</v>
      </c>
      <c r="AU13" s="54">
        <f>((AV5-(INT((AW5*5)/2)-0.5)*0.18)+0.2)*8</f>
        <v>6666.3200000000006</v>
      </c>
      <c r="AV13" s="10" t="s">
        <v>9</v>
      </c>
      <c r="AW13" s="10" t="s">
        <v>9</v>
      </c>
      <c r="AX13" s="87" t="s">
        <v>39</v>
      </c>
      <c r="AY13" s="88"/>
      <c r="AZ13" s="89"/>
      <c r="BA13" s="75"/>
      <c r="BB13" s="55" t="s">
        <v>68</v>
      </c>
      <c r="BC13" s="54">
        <f>((BE5+(INT((BF5*5)/2)-0.5)*0.18)-0.2)*8</f>
        <v>6885.6799999999994</v>
      </c>
      <c r="BD13" s="54">
        <f>((BE5+(INT((BF5*5)/2)-0.5)*0.18)+0.2)*8</f>
        <v>6888.88</v>
      </c>
      <c r="BE13" s="10" t="s">
        <v>9</v>
      </c>
      <c r="BF13" s="10" t="s">
        <v>9</v>
      </c>
      <c r="BG13" s="87" t="s">
        <v>39</v>
      </c>
      <c r="BH13" s="88"/>
      <c r="BI13" s="89"/>
      <c r="BJ13" s="75"/>
      <c r="BK13" s="55" t="s">
        <v>68</v>
      </c>
      <c r="BL13" s="54">
        <f>(BN5-BO5/2)*8</f>
        <v>6656</v>
      </c>
      <c r="BM13" s="54">
        <f>(BN5+BO5/2)*8</f>
        <v>6816</v>
      </c>
      <c r="BN13" s="10" t="s">
        <v>9</v>
      </c>
      <c r="BO13" s="10" t="s">
        <v>9</v>
      </c>
      <c r="BP13" s="87" t="s">
        <v>39</v>
      </c>
      <c r="BQ13" s="88"/>
      <c r="BR13" s="89"/>
      <c r="BS13" s="75"/>
      <c r="BT13" s="55" t="s">
        <v>68</v>
      </c>
      <c r="BU13" s="54">
        <f>(BW5-BX5/2)*8</f>
        <v>6736</v>
      </c>
      <c r="BV13" s="54">
        <f>(BW5+BX5/2)*8</f>
        <v>6896</v>
      </c>
      <c r="BW13" s="10" t="s">
        <v>9</v>
      </c>
      <c r="BX13" s="10" t="s">
        <v>9</v>
      </c>
      <c r="BY13" s="87" t="s">
        <v>67</v>
      </c>
      <c r="BZ13" s="88"/>
      <c r="CA13" s="89"/>
      <c r="CB13" s="75"/>
      <c r="CC13" s="55" t="s">
        <v>68</v>
      </c>
    </row>
    <row r="14" spans="1:81" ht="15">
      <c r="A14" s="54">
        <f>((C5-INT((D5*5)/2)*0.18)-0.2)*9</f>
        <v>7489.26</v>
      </c>
      <c r="B14" s="54">
        <f>((C5-INT((D5*5)/2)*0.18)+0.2)*9</f>
        <v>7492.8600000000006</v>
      </c>
      <c r="C14" s="10" t="s">
        <v>9</v>
      </c>
      <c r="D14" s="10" t="s">
        <v>9</v>
      </c>
      <c r="E14" s="87" t="s">
        <v>39</v>
      </c>
      <c r="F14" s="88"/>
      <c r="G14" s="89"/>
      <c r="H14" s="75"/>
      <c r="I14" s="55" t="s">
        <v>69</v>
      </c>
      <c r="J14" s="54">
        <f>((L5-INT((M5*5)/2)*0.18)-0.2)*9</f>
        <v>7601.76</v>
      </c>
      <c r="K14" s="54">
        <f>((L5-INT((M5*5)/2)*0.18)+0.2)*9</f>
        <v>7605.3600000000006</v>
      </c>
      <c r="L14" s="10" t="s">
        <v>9</v>
      </c>
      <c r="M14" s="10" t="s">
        <v>9</v>
      </c>
      <c r="N14" s="90" t="s">
        <v>70</v>
      </c>
      <c r="O14" s="90"/>
      <c r="P14" s="90"/>
      <c r="Q14" s="75"/>
      <c r="R14" s="55" t="s">
        <v>71</v>
      </c>
      <c r="S14" s="54">
        <f>((U5+INT((V5*5)/2)*0.18)-0.2)*9</f>
        <v>7753.1399999999994</v>
      </c>
      <c r="T14" s="54">
        <f>((U5+INT((V5*5)/2)*0.18)+0.2)*9</f>
        <v>7756.74</v>
      </c>
      <c r="U14" s="10" t="s">
        <v>9</v>
      </c>
      <c r="V14" s="10" t="s">
        <v>9</v>
      </c>
      <c r="W14" s="87" t="s">
        <v>39</v>
      </c>
      <c r="X14" s="88"/>
      <c r="Y14" s="89"/>
      <c r="Z14" s="75"/>
      <c r="AA14" s="55" t="s">
        <v>71</v>
      </c>
      <c r="AB14" s="54">
        <f>(AD5-AE5/2)*9</f>
        <v>7488</v>
      </c>
      <c r="AC14" s="54">
        <f>(AD5+AE5/2)*9</f>
        <v>7533</v>
      </c>
      <c r="AD14" s="10" t="s">
        <v>9</v>
      </c>
      <c r="AE14" s="10" t="s">
        <v>9</v>
      </c>
      <c r="AF14" s="87" t="s">
        <v>39</v>
      </c>
      <c r="AG14" s="88"/>
      <c r="AH14" s="89"/>
      <c r="AI14" s="75"/>
      <c r="AJ14" s="55" t="s">
        <v>71</v>
      </c>
      <c r="AK14" s="54">
        <f>(AM5-AN5/2)*9</f>
        <v>7713</v>
      </c>
      <c r="AL14" s="54">
        <f>(AM5+AN5/2)*9</f>
        <v>7758</v>
      </c>
      <c r="AM14" s="10" t="s">
        <v>9</v>
      </c>
      <c r="AN14" s="10" t="s">
        <v>9</v>
      </c>
      <c r="AO14" s="87" t="s">
        <v>70</v>
      </c>
      <c r="AP14" s="88"/>
      <c r="AQ14" s="89"/>
      <c r="AR14" s="75"/>
      <c r="AS14" s="55" t="s">
        <v>71</v>
      </c>
      <c r="AT14" s="54">
        <f>((AV5-(INT((AW5*5)/2)-0.5)*0.18)-0.2)*9</f>
        <v>7496.01</v>
      </c>
      <c r="AU14" s="54">
        <f>((AV5-(INT((AW5*5)/2)-0.5)*0.18)+0.2)*9</f>
        <v>7499.6100000000006</v>
      </c>
      <c r="AV14" s="10" t="s">
        <v>9</v>
      </c>
      <c r="AW14" s="10" t="s">
        <v>9</v>
      </c>
      <c r="AX14" s="87" t="s">
        <v>39</v>
      </c>
      <c r="AY14" s="88"/>
      <c r="AZ14" s="89"/>
      <c r="BA14" s="75"/>
      <c r="BB14" s="55" t="s">
        <v>71</v>
      </c>
      <c r="BC14" s="54">
        <f>((BE5+(INT((BF5*5)/2)-0.5)*0.18)-0.2)*9</f>
        <v>7746.3899999999994</v>
      </c>
      <c r="BD14" s="54">
        <f>((BE5+(INT((BF5*5)/2)-0.5)*0.18)+0.2)*9</f>
        <v>7749.99</v>
      </c>
      <c r="BE14" s="10" t="s">
        <v>9</v>
      </c>
      <c r="BF14" s="10" t="s">
        <v>9</v>
      </c>
      <c r="BG14" s="87" t="s">
        <v>39</v>
      </c>
      <c r="BH14" s="88"/>
      <c r="BI14" s="89"/>
      <c r="BJ14" s="75"/>
      <c r="BK14" s="55" t="s">
        <v>71</v>
      </c>
      <c r="BL14" s="54">
        <f>(BN5-BO5/2)*9</f>
        <v>7488</v>
      </c>
      <c r="BM14" s="54">
        <f>(BN5+BO5/2)*9</f>
        <v>7668</v>
      </c>
      <c r="BN14" s="10" t="s">
        <v>9</v>
      </c>
      <c r="BO14" s="10" t="s">
        <v>9</v>
      </c>
      <c r="BP14" s="87" t="s">
        <v>39</v>
      </c>
      <c r="BQ14" s="88"/>
      <c r="BR14" s="89"/>
      <c r="BS14" s="75"/>
      <c r="BT14" s="55" t="s">
        <v>71</v>
      </c>
      <c r="BU14" s="54">
        <f>(BW5-BX5/2)*9</f>
        <v>7578</v>
      </c>
      <c r="BV14" s="54">
        <f>(BW5+BX5/2)*9</f>
        <v>7758</v>
      </c>
      <c r="BW14" s="10" t="s">
        <v>9</v>
      </c>
      <c r="BX14" s="10" t="s">
        <v>9</v>
      </c>
      <c r="BY14" s="87" t="s">
        <v>70</v>
      </c>
      <c r="BZ14" s="88"/>
      <c r="CA14" s="89"/>
      <c r="CB14" s="75"/>
      <c r="CC14" s="55" t="s">
        <v>71</v>
      </c>
    </row>
    <row r="15" spans="1:81" ht="15">
      <c r="A15" s="54">
        <f>((C5-INT((D5*5)/2)*0.18)-0.2)*10</f>
        <v>8321.4</v>
      </c>
      <c r="B15" s="54">
        <f>((C5-INT((D5*5)/2)*0.18)+0.2)*10</f>
        <v>8325.4000000000015</v>
      </c>
      <c r="C15" s="10" t="s">
        <v>9</v>
      </c>
      <c r="D15" s="10" t="s">
        <v>9</v>
      </c>
      <c r="E15" s="87" t="s">
        <v>39</v>
      </c>
      <c r="F15" s="88"/>
      <c r="G15" s="89"/>
      <c r="H15" s="75"/>
      <c r="I15" s="55" t="s">
        <v>72</v>
      </c>
      <c r="J15" s="54">
        <f>((L5-INT((M5*5)/2)*0.18)-0.2)*10</f>
        <v>8446.4</v>
      </c>
      <c r="K15" s="54">
        <f>((L5-INT((M5*5)/2)*0.18)+0.2)*10</f>
        <v>8450.4000000000015</v>
      </c>
      <c r="L15" s="10" t="s">
        <v>9</v>
      </c>
      <c r="M15" s="10" t="s">
        <v>9</v>
      </c>
      <c r="N15" s="90" t="s">
        <v>73</v>
      </c>
      <c r="O15" s="90"/>
      <c r="P15" s="90"/>
      <c r="Q15" s="75"/>
      <c r="R15" s="55" t="s">
        <v>74</v>
      </c>
      <c r="S15" s="54">
        <f>((U5+INT((V5*5)/2)*0.18)-0.2)*10</f>
        <v>8614.5999999999985</v>
      </c>
      <c r="T15" s="54">
        <f>((U5+INT((V5*5)/2)*0.18)+0.2)*10</f>
        <v>8618.6</v>
      </c>
      <c r="U15" s="10" t="s">
        <v>9</v>
      </c>
      <c r="V15" s="10" t="s">
        <v>9</v>
      </c>
      <c r="W15" s="87" t="s">
        <v>39</v>
      </c>
      <c r="X15" s="88"/>
      <c r="Y15" s="89"/>
      <c r="Z15" s="75"/>
      <c r="AA15" s="55" t="s">
        <v>74</v>
      </c>
      <c r="AB15" s="54">
        <f>(AD5-AE5/2)*10</f>
        <v>8320</v>
      </c>
      <c r="AC15" s="54">
        <f>(AD5+AE5/2)*10</f>
        <v>8370</v>
      </c>
      <c r="AD15" s="10" t="s">
        <v>9</v>
      </c>
      <c r="AE15" s="10" t="s">
        <v>9</v>
      </c>
      <c r="AF15" s="87" t="s">
        <v>39</v>
      </c>
      <c r="AG15" s="88"/>
      <c r="AH15" s="89"/>
      <c r="AI15" s="75"/>
      <c r="AJ15" s="55" t="s">
        <v>74</v>
      </c>
      <c r="AK15" s="54">
        <f>(AM5-AN5/2)*10</f>
        <v>8570</v>
      </c>
      <c r="AL15" s="54">
        <f>(AM5+AN5/2)*10</f>
        <v>8620</v>
      </c>
      <c r="AM15" s="10" t="s">
        <v>9</v>
      </c>
      <c r="AN15" s="10" t="s">
        <v>9</v>
      </c>
      <c r="AO15" s="87" t="s">
        <v>73</v>
      </c>
      <c r="AP15" s="88"/>
      <c r="AQ15" s="89"/>
      <c r="AR15" s="75"/>
      <c r="AS15" s="55" t="s">
        <v>74</v>
      </c>
      <c r="AT15" s="54">
        <f>((AV5-(INT((AW5*5)/2)-0.5)*0.18)-0.2)*10</f>
        <v>8328.9</v>
      </c>
      <c r="AU15" s="54">
        <f>((AV5-(INT((AW5*5)/2)-0.5)*0.18)+0.2)*10</f>
        <v>8332.9000000000015</v>
      </c>
      <c r="AV15" s="10" t="s">
        <v>9</v>
      </c>
      <c r="AW15" s="10" t="s">
        <v>9</v>
      </c>
      <c r="AX15" s="87" t="s">
        <v>39</v>
      </c>
      <c r="AY15" s="88"/>
      <c r="AZ15" s="89"/>
      <c r="BA15" s="75"/>
      <c r="BB15" s="55" t="s">
        <v>74</v>
      </c>
      <c r="BC15" s="54">
        <f>((BE5+(INT((BF5*5)/2)-0.5)*0.18)-0.2)*10</f>
        <v>8607.0999999999985</v>
      </c>
      <c r="BD15" s="54">
        <f>((BE5+(INT((BF5*5)/2)-0.5)*0.18)+0.2)*10</f>
        <v>8611.1</v>
      </c>
      <c r="BE15" s="10" t="s">
        <v>9</v>
      </c>
      <c r="BF15" s="10" t="s">
        <v>9</v>
      </c>
      <c r="BG15" s="87" t="s">
        <v>39</v>
      </c>
      <c r="BH15" s="88"/>
      <c r="BI15" s="89"/>
      <c r="BJ15" s="75"/>
      <c r="BK15" s="55" t="s">
        <v>74</v>
      </c>
      <c r="BL15" s="54">
        <f>(BN5-BO5/2)*10</f>
        <v>8320</v>
      </c>
      <c r="BM15" s="54">
        <f>(BN5+BO5/2)*10</f>
        <v>8520</v>
      </c>
      <c r="BN15" s="10" t="s">
        <v>9</v>
      </c>
      <c r="BO15" s="10" t="s">
        <v>9</v>
      </c>
      <c r="BP15" s="87" t="s">
        <v>39</v>
      </c>
      <c r="BQ15" s="88"/>
      <c r="BR15" s="89"/>
      <c r="BS15" s="75"/>
      <c r="BT15" s="55" t="s">
        <v>74</v>
      </c>
      <c r="BU15" s="54">
        <f>(BW5-BX5/2)*10</f>
        <v>8420</v>
      </c>
      <c r="BV15" s="54">
        <f>(BW5+BX5/2)*10</f>
        <v>8620</v>
      </c>
      <c r="BW15" s="10" t="s">
        <v>9</v>
      </c>
      <c r="BX15" s="10" t="s">
        <v>9</v>
      </c>
      <c r="BY15" s="87" t="s">
        <v>73</v>
      </c>
      <c r="BZ15" s="88"/>
      <c r="CA15" s="89"/>
      <c r="CB15" s="75"/>
      <c r="CC15" s="55" t="s">
        <v>74</v>
      </c>
    </row>
    <row r="16" spans="1:81" ht="15">
      <c r="A16" s="54">
        <f>((C5-INT((D5*5)/2)*0.18)-0.2)*11</f>
        <v>9153.5399999999991</v>
      </c>
      <c r="B16" s="54">
        <f>((C5-INT((D5*5)/2)*0.18)+0.2)*12</f>
        <v>9990.4800000000014</v>
      </c>
      <c r="C16" s="10" t="s">
        <v>9</v>
      </c>
      <c r="D16" s="10" t="s">
        <v>9</v>
      </c>
      <c r="E16" s="87" t="s">
        <v>39</v>
      </c>
      <c r="F16" s="88"/>
      <c r="G16" s="89"/>
      <c r="H16" s="75"/>
      <c r="I16" s="55" t="s">
        <v>75</v>
      </c>
      <c r="J16" s="54">
        <f>((L5-INT((M5*5)/2)*0.18)-0.2)*11</f>
        <v>9291.0399999999991</v>
      </c>
      <c r="K16" s="54">
        <f>((L5-INT((M5*5)/2)*0.18)+0.2)*11</f>
        <v>9295.44</v>
      </c>
      <c r="L16" s="10" t="s">
        <v>9</v>
      </c>
      <c r="M16" s="10" t="s">
        <v>9</v>
      </c>
      <c r="N16" s="90" t="s">
        <v>76</v>
      </c>
      <c r="O16" s="90"/>
      <c r="P16" s="90"/>
      <c r="Q16" s="75"/>
      <c r="R16" s="55" t="s">
        <v>77</v>
      </c>
      <c r="S16" s="54">
        <f>((U5+INT((V5*5)/2)*0.18)-0.2)*11</f>
        <v>9476.06</v>
      </c>
      <c r="T16" s="54">
        <f>((U5+INT((V5*5)/2)*0.18)+0.2)*11</f>
        <v>9480.4600000000009</v>
      </c>
      <c r="U16" s="10" t="s">
        <v>9</v>
      </c>
      <c r="V16" s="10" t="s">
        <v>9</v>
      </c>
      <c r="W16" s="87" t="s">
        <v>39</v>
      </c>
      <c r="X16" s="88"/>
      <c r="Y16" s="89"/>
      <c r="Z16" s="75"/>
      <c r="AA16" s="55" t="s">
        <v>77</v>
      </c>
      <c r="AB16" s="54">
        <f>(AD5-AE5/2)*11</f>
        <v>9152</v>
      </c>
      <c r="AC16" s="54">
        <f>(AD5+AE5/2)*11</f>
        <v>9207</v>
      </c>
      <c r="AD16" s="10" t="s">
        <v>9</v>
      </c>
      <c r="AE16" s="10" t="s">
        <v>9</v>
      </c>
      <c r="AF16" s="87" t="s">
        <v>39</v>
      </c>
      <c r="AG16" s="88"/>
      <c r="AH16" s="89"/>
      <c r="AI16" s="75"/>
      <c r="AJ16" s="55" t="s">
        <v>77</v>
      </c>
      <c r="AK16" s="54">
        <f>(AM5-AN5/2)*11</f>
        <v>9427</v>
      </c>
      <c r="AL16" s="54">
        <f>(AM5+AN5/2)*11</f>
        <v>9482</v>
      </c>
      <c r="AM16" s="10" t="s">
        <v>9</v>
      </c>
      <c r="AN16" s="10" t="s">
        <v>9</v>
      </c>
      <c r="AO16" s="87" t="s">
        <v>76</v>
      </c>
      <c r="AP16" s="88"/>
      <c r="AQ16" s="89"/>
      <c r="AR16" s="75"/>
      <c r="AS16" s="55" t="s">
        <v>77</v>
      </c>
      <c r="AT16" s="54">
        <f>((AV5-(INT((AW5*5)/2)-0.5)*0.18)-0.2)*11</f>
        <v>9161.7899999999991</v>
      </c>
      <c r="AU16" s="54">
        <f>((AV5-(INT((AW5*5)/2)-0.5)*0.18)+0.2)*11</f>
        <v>9166.19</v>
      </c>
      <c r="AV16" s="10" t="s">
        <v>9</v>
      </c>
      <c r="AW16" s="10" t="s">
        <v>9</v>
      </c>
      <c r="AX16" s="87" t="s">
        <v>39</v>
      </c>
      <c r="AY16" s="88"/>
      <c r="AZ16" s="89"/>
      <c r="BA16" s="75"/>
      <c r="BB16" s="55" t="s">
        <v>77</v>
      </c>
      <c r="BC16" s="54">
        <f>((BE5+(INT((BF5*5)/2)-0.5)*0.18)-0.2)*11</f>
        <v>9467.81</v>
      </c>
      <c r="BD16" s="54">
        <f>((BE5+(INT((BF5*5)/2)-0.5)*0.18)+0.2)*11</f>
        <v>9472.2100000000009</v>
      </c>
      <c r="BE16" s="10" t="s">
        <v>9</v>
      </c>
      <c r="BF16" s="10" t="s">
        <v>9</v>
      </c>
      <c r="BG16" s="87" t="s">
        <v>39</v>
      </c>
      <c r="BH16" s="88"/>
      <c r="BI16" s="89"/>
      <c r="BJ16" s="75"/>
      <c r="BK16" s="55" t="s">
        <v>77</v>
      </c>
      <c r="BL16" s="54">
        <f>(BN5-BO5/2)*11</f>
        <v>9152</v>
      </c>
      <c r="BM16" s="54">
        <f>(BN5+BO5/2)*11</f>
        <v>9372</v>
      </c>
      <c r="BN16" s="10" t="s">
        <v>9</v>
      </c>
      <c r="BO16" s="10" t="s">
        <v>9</v>
      </c>
      <c r="BP16" s="87" t="s">
        <v>39</v>
      </c>
      <c r="BQ16" s="88"/>
      <c r="BR16" s="89"/>
      <c r="BS16" s="75"/>
      <c r="BT16" s="55" t="s">
        <v>77</v>
      </c>
      <c r="BU16" s="54">
        <f>(BW5-BX5/2)*11</f>
        <v>9262</v>
      </c>
      <c r="BV16" s="54">
        <f>(BW5+BX5/2)*11</f>
        <v>9482</v>
      </c>
      <c r="BW16" s="10" t="s">
        <v>9</v>
      </c>
      <c r="BX16" s="10" t="s">
        <v>9</v>
      </c>
      <c r="BY16" s="87" t="s">
        <v>76</v>
      </c>
      <c r="BZ16" s="88"/>
      <c r="CA16" s="89"/>
      <c r="CB16" s="75"/>
      <c r="CC16" s="55" t="s">
        <v>77</v>
      </c>
    </row>
    <row r="17" spans="1:81" ht="15">
      <c r="A17" s="54">
        <f>((C5-INT((D5*5)/2)*0.18)-0.2)*13</f>
        <v>10817.82</v>
      </c>
      <c r="B17" s="54">
        <f>((C5-INT((D5*5)/2)*0.18)+0.2)*14</f>
        <v>11655.560000000001</v>
      </c>
      <c r="C17" s="10" t="s">
        <v>9</v>
      </c>
      <c r="D17" s="10" t="s">
        <v>9</v>
      </c>
      <c r="E17" s="87" t="s">
        <v>39</v>
      </c>
      <c r="F17" s="88"/>
      <c r="G17" s="89"/>
      <c r="H17" s="75"/>
      <c r="I17" s="55" t="s">
        <v>78</v>
      </c>
      <c r="J17" s="54">
        <f>((L5-INT((M5*5)/2)*0.18)-0.2)*12</f>
        <v>10135.68</v>
      </c>
      <c r="K17" s="54">
        <f>((L5-INT((M5*5)/2)*0.18)+0.2)*12</f>
        <v>10140.480000000001</v>
      </c>
      <c r="L17" s="10" t="s">
        <v>9</v>
      </c>
      <c r="M17" s="10" t="s">
        <v>9</v>
      </c>
      <c r="N17" s="90" t="s">
        <v>79</v>
      </c>
      <c r="O17" s="90"/>
      <c r="P17" s="90"/>
      <c r="Q17" s="75"/>
      <c r="R17" s="55" t="s">
        <v>80</v>
      </c>
      <c r="S17" s="54">
        <f>((U5+INT((V5*5)/2)*0.18)-0.2)*12</f>
        <v>10337.519999999999</v>
      </c>
      <c r="T17" s="54">
        <f>((U5+INT((V5*5)/2)*0.18)+0.2)*12</f>
        <v>10342.32</v>
      </c>
      <c r="U17" s="10" t="s">
        <v>9</v>
      </c>
      <c r="V17" s="10" t="s">
        <v>9</v>
      </c>
      <c r="W17" s="87" t="s">
        <v>39</v>
      </c>
      <c r="X17" s="88"/>
      <c r="Y17" s="89"/>
      <c r="Z17" s="75"/>
      <c r="AA17" s="55" t="s">
        <v>80</v>
      </c>
      <c r="AB17" s="54">
        <f>(AD5-AE5/2)*12</f>
        <v>9984</v>
      </c>
      <c r="AC17" s="54">
        <f>(AD5+AE5/2)*12</f>
        <v>10044</v>
      </c>
      <c r="AD17" s="10" t="s">
        <v>9</v>
      </c>
      <c r="AE17" s="10" t="s">
        <v>9</v>
      </c>
      <c r="AF17" s="87" t="s">
        <v>39</v>
      </c>
      <c r="AG17" s="88"/>
      <c r="AH17" s="89"/>
      <c r="AI17" s="75"/>
      <c r="AJ17" s="55" t="s">
        <v>80</v>
      </c>
      <c r="AK17" s="54">
        <f>(AM5-AN5/2)*12</f>
        <v>10284</v>
      </c>
      <c r="AL17" s="54">
        <f>(AM5+AN5/2)*12</f>
        <v>10344</v>
      </c>
      <c r="AM17" s="10" t="s">
        <v>9</v>
      </c>
      <c r="AN17" s="10" t="s">
        <v>9</v>
      </c>
      <c r="AO17" s="87" t="s">
        <v>79</v>
      </c>
      <c r="AP17" s="88"/>
      <c r="AQ17" s="89"/>
      <c r="AR17" s="75"/>
      <c r="AS17" s="55" t="s">
        <v>80</v>
      </c>
      <c r="AT17" s="54">
        <f>((AV5-(INT((AW5*5)/2)-0.5)*0.18)-0.2)*12</f>
        <v>9994.68</v>
      </c>
      <c r="AU17" s="54">
        <f>((AV5-(INT((AW5*5)/2)-0.5)*0.18)+0.2)*12</f>
        <v>9999.4800000000014</v>
      </c>
      <c r="AV17" s="10" t="s">
        <v>9</v>
      </c>
      <c r="AW17" s="10" t="s">
        <v>9</v>
      </c>
      <c r="AX17" s="87" t="s">
        <v>39</v>
      </c>
      <c r="AY17" s="88"/>
      <c r="AZ17" s="89"/>
      <c r="BA17" s="75"/>
      <c r="BB17" s="55" t="s">
        <v>80</v>
      </c>
      <c r="BC17" s="54">
        <f>((BE5+(INT((BF5*5)/2)-0.5)*0.18)-0.2)*12</f>
        <v>10328.519999999999</v>
      </c>
      <c r="BD17" s="54">
        <f>((BE5+(INT((BF5*5)/2)-0.5)*0.18)+0.2)*12</f>
        <v>10333.32</v>
      </c>
      <c r="BE17" s="10" t="s">
        <v>9</v>
      </c>
      <c r="BF17" s="10" t="s">
        <v>9</v>
      </c>
      <c r="BG17" s="87" t="s">
        <v>39</v>
      </c>
      <c r="BH17" s="88"/>
      <c r="BI17" s="89"/>
      <c r="BJ17" s="75"/>
      <c r="BK17" s="55" t="s">
        <v>80</v>
      </c>
      <c r="BL17" s="54">
        <f>(BN5-BO5/2)*12</f>
        <v>9984</v>
      </c>
      <c r="BM17" s="54">
        <f>(BN5+BO5/2)*12</f>
        <v>10224</v>
      </c>
      <c r="BN17" s="10" t="s">
        <v>9</v>
      </c>
      <c r="BO17" s="10" t="s">
        <v>9</v>
      </c>
      <c r="BP17" s="87" t="s">
        <v>39</v>
      </c>
      <c r="BQ17" s="88"/>
      <c r="BR17" s="89"/>
      <c r="BS17" s="75"/>
      <c r="BT17" s="55" t="s">
        <v>80</v>
      </c>
      <c r="BU17" s="54">
        <f>(BW5-BX5/2)*12</f>
        <v>10104</v>
      </c>
      <c r="BV17" s="54">
        <f>(BW5+BX5/2)*12</f>
        <v>10344</v>
      </c>
      <c r="BW17" s="10" t="s">
        <v>9</v>
      </c>
      <c r="BX17" s="10" t="s">
        <v>9</v>
      </c>
      <c r="BY17" s="87" t="s">
        <v>79</v>
      </c>
      <c r="BZ17" s="88"/>
      <c r="CA17" s="89"/>
      <c r="CB17" s="75"/>
      <c r="CC17" s="55" t="s">
        <v>80</v>
      </c>
    </row>
    <row r="18" spans="1:81" ht="15">
      <c r="A18" s="54">
        <f>((C5-INT((D5*5)/2)*0.18)-0.2)*13</f>
        <v>10817.82</v>
      </c>
      <c r="B18" s="54">
        <f>((C5-INT((D5*5)/2)*0.18)+0.2)*13</f>
        <v>10823.02</v>
      </c>
      <c r="C18" s="10" t="s">
        <v>9</v>
      </c>
      <c r="D18" s="10" t="s">
        <v>9</v>
      </c>
      <c r="E18" s="87" t="s">
        <v>39</v>
      </c>
      <c r="F18" s="88"/>
      <c r="G18" s="89"/>
      <c r="H18" s="75"/>
      <c r="I18" s="55" t="s">
        <v>81</v>
      </c>
      <c r="J18" s="54">
        <f>((L5-INT((M5*5)/2)*0.18)-0.2)*13</f>
        <v>10980.32</v>
      </c>
      <c r="K18" s="54">
        <f>((L5-INT((M5*5)/2)*0.18)+0.2)*13</f>
        <v>10985.52</v>
      </c>
      <c r="L18" s="10" t="s">
        <v>9</v>
      </c>
      <c r="M18" s="10" t="s">
        <v>9</v>
      </c>
      <c r="N18" s="90" t="s">
        <v>82</v>
      </c>
      <c r="O18" s="90"/>
      <c r="P18" s="90"/>
      <c r="Q18" s="75"/>
      <c r="R18" s="55" t="s">
        <v>83</v>
      </c>
      <c r="S18" s="54">
        <f>((U5+INT((V5*5)/2)*0.18)-0.2)*13</f>
        <v>11198.98</v>
      </c>
      <c r="T18" s="54">
        <f>((U5+INT((V5*5)/2)*0.18)+0.2)*13</f>
        <v>11204.18</v>
      </c>
      <c r="U18" s="10" t="s">
        <v>9</v>
      </c>
      <c r="V18" s="10" t="s">
        <v>9</v>
      </c>
      <c r="W18" s="87" t="s">
        <v>39</v>
      </c>
      <c r="X18" s="88"/>
      <c r="Y18" s="89"/>
      <c r="Z18" s="75"/>
      <c r="AA18" s="55" t="s">
        <v>83</v>
      </c>
      <c r="AB18" s="54">
        <f>(AD5-AE5/2)*13</f>
        <v>10816</v>
      </c>
      <c r="AC18" s="54">
        <f>(AD5+AE5/2)*13</f>
        <v>10881</v>
      </c>
      <c r="AD18" s="10" t="s">
        <v>9</v>
      </c>
      <c r="AE18" s="10" t="s">
        <v>9</v>
      </c>
      <c r="AF18" s="87" t="s">
        <v>39</v>
      </c>
      <c r="AG18" s="88"/>
      <c r="AH18" s="89"/>
      <c r="AI18" s="75"/>
      <c r="AJ18" s="55" t="s">
        <v>83</v>
      </c>
      <c r="AK18" s="54">
        <f>(AM5-AN5/2)*13</f>
        <v>11141</v>
      </c>
      <c r="AL18" s="54">
        <f>(AM5+AN5/2)*13</f>
        <v>11206</v>
      </c>
      <c r="AM18" s="10" t="s">
        <v>9</v>
      </c>
      <c r="AN18" s="10" t="s">
        <v>9</v>
      </c>
      <c r="AO18" s="87" t="s">
        <v>82</v>
      </c>
      <c r="AP18" s="88"/>
      <c r="AQ18" s="89"/>
      <c r="AR18" s="75"/>
      <c r="AS18" s="55" t="s">
        <v>83</v>
      </c>
      <c r="AT18" s="54">
        <f>((AV5-(INT((AW5*5)/2)-0.5)*0.18)-0.2)*13</f>
        <v>10827.57</v>
      </c>
      <c r="AU18" s="54">
        <f>((AV5-(INT((AW5*5)/2)-0.5)*0.18)+0.2)*13</f>
        <v>10832.77</v>
      </c>
      <c r="AV18" s="10" t="s">
        <v>9</v>
      </c>
      <c r="AW18" s="10" t="s">
        <v>9</v>
      </c>
      <c r="AX18" s="87" t="s">
        <v>39</v>
      </c>
      <c r="AY18" s="88"/>
      <c r="AZ18" s="89"/>
      <c r="BA18" s="75"/>
      <c r="BB18" s="55" t="s">
        <v>83</v>
      </c>
      <c r="BC18" s="54">
        <f>((BE5+(INT((BF5*5)/2)-0.5)*0.18)-0.2)*13</f>
        <v>11189.23</v>
      </c>
      <c r="BD18" s="54">
        <f>((BE5+(INT((BF5*5)/2)-0.5)*0.18)+0.2)*13</f>
        <v>11194.43</v>
      </c>
      <c r="BE18" s="10" t="s">
        <v>9</v>
      </c>
      <c r="BF18" s="10" t="s">
        <v>9</v>
      </c>
      <c r="BG18" s="87" t="s">
        <v>39</v>
      </c>
      <c r="BH18" s="88"/>
      <c r="BI18" s="89"/>
      <c r="BJ18" s="75"/>
      <c r="BK18" s="55" t="s">
        <v>83</v>
      </c>
      <c r="BL18" s="54">
        <f>(BN5-BO5/2)*13</f>
        <v>10816</v>
      </c>
      <c r="BM18" s="54">
        <f>(BN5+BO5/2)*13</f>
        <v>11076</v>
      </c>
      <c r="BN18" s="10" t="s">
        <v>9</v>
      </c>
      <c r="BO18" s="10" t="s">
        <v>9</v>
      </c>
      <c r="BP18" s="87" t="s">
        <v>39</v>
      </c>
      <c r="BQ18" s="88"/>
      <c r="BR18" s="89"/>
      <c r="BS18" s="75"/>
      <c r="BT18" s="55" t="s">
        <v>83</v>
      </c>
      <c r="BU18" s="54">
        <f>(BW5-BX5/2)*13</f>
        <v>10946</v>
      </c>
      <c r="BV18" s="54">
        <f>(BW5+BX5/2)*13</f>
        <v>11206</v>
      </c>
      <c r="BW18" s="10" t="s">
        <v>9</v>
      </c>
      <c r="BX18" s="10" t="s">
        <v>9</v>
      </c>
      <c r="BY18" s="87" t="s">
        <v>82</v>
      </c>
      <c r="BZ18" s="88"/>
      <c r="CA18" s="89"/>
      <c r="CB18" s="75"/>
      <c r="CC18" s="55" t="s">
        <v>83</v>
      </c>
    </row>
    <row r="19" spans="1:81" ht="15">
      <c r="A19" s="54">
        <f>((C5-INT((D5*5)/2)*0.18)-0.2)*14</f>
        <v>11649.96</v>
      </c>
      <c r="B19" s="54">
        <f>((C5-INT((D5*5)/2)*0.18)+0.2)*14</f>
        <v>11655.560000000001</v>
      </c>
      <c r="C19" s="10" t="s">
        <v>9</v>
      </c>
      <c r="D19" s="10" t="s">
        <v>9</v>
      </c>
      <c r="E19" s="87" t="s">
        <v>39</v>
      </c>
      <c r="F19" s="88"/>
      <c r="G19" s="89"/>
      <c r="H19" s="75"/>
      <c r="I19" s="55" t="s">
        <v>86</v>
      </c>
      <c r="J19" s="54">
        <f>((L5-INT((M5*5)/2)*0.18)-0.2)*14</f>
        <v>11824.96</v>
      </c>
      <c r="K19" s="54">
        <f>((L5-INT((M5*5)/2)*0.18)+0.2)*14</f>
        <v>11830.560000000001</v>
      </c>
      <c r="L19" s="10" t="s">
        <v>9</v>
      </c>
      <c r="M19" s="10" t="s">
        <v>9</v>
      </c>
      <c r="N19" s="90" t="s">
        <v>82</v>
      </c>
      <c r="O19" s="90"/>
      <c r="P19" s="90"/>
      <c r="Q19" s="75"/>
      <c r="R19" s="55" t="s">
        <v>86</v>
      </c>
      <c r="S19" s="54">
        <f>((U5+INT((V5*5)/2)*0.18)-0.2)*14</f>
        <v>12060.439999999999</v>
      </c>
      <c r="T19" s="54">
        <f>((U5+INT((V5*5)/2)*0.18)+0.2)*14</f>
        <v>12066.04</v>
      </c>
      <c r="U19" s="10" t="s">
        <v>9</v>
      </c>
      <c r="V19" s="10" t="s">
        <v>9</v>
      </c>
      <c r="W19" s="87" t="s">
        <v>39</v>
      </c>
      <c r="X19" s="88"/>
      <c r="Y19" s="89"/>
      <c r="Z19" s="75"/>
      <c r="AA19" s="55" t="s">
        <v>86</v>
      </c>
      <c r="AB19" s="54">
        <f>(AD5-AE5/2)*14</f>
        <v>11648</v>
      </c>
      <c r="AC19" s="54">
        <f>(AD5+AE5/2)*14</f>
        <v>11718</v>
      </c>
      <c r="AD19" s="10" t="s">
        <v>9</v>
      </c>
      <c r="AE19" s="10" t="s">
        <v>9</v>
      </c>
      <c r="AF19" s="87" t="s">
        <v>39</v>
      </c>
      <c r="AG19" s="88"/>
      <c r="AH19" s="89"/>
      <c r="AI19" s="75"/>
      <c r="AJ19" s="55" t="s">
        <v>83</v>
      </c>
      <c r="AK19" s="54">
        <f>(AM5-AN5/2)*14</f>
        <v>11998</v>
      </c>
      <c r="AL19" s="54">
        <f>(AM5+AN5/2)*14</f>
        <v>12068</v>
      </c>
      <c r="AM19" s="10" t="s">
        <v>9</v>
      </c>
      <c r="AN19" s="10" t="s">
        <v>9</v>
      </c>
      <c r="AO19" s="87" t="s">
        <v>82</v>
      </c>
      <c r="AP19" s="88"/>
      <c r="AQ19" s="89"/>
      <c r="AR19" s="75"/>
      <c r="AS19" s="55" t="s">
        <v>83</v>
      </c>
      <c r="AT19" s="54">
        <f>((AV5-(INT((AW5*5)/2)-0.5)*0.18)-0.2)*14</f>
        <v>11660.46</v>
      </c>
      <c r="AU19" s="54">
        <f>((AV5-(INT((AW5*5)/2)-0.5)*0.18)+0.2)*14</f>
        <v>11666.060000000001</v>
      </c>
      <c r="AV19" s="10" t="s">
        <v>9</v>
      </c>
      <c r="AW19" s="10" t="s">
        <v>9</v>
      </c>
      <c r="AX19" s="87" t="s">
        <v>39</v>
      </c>
      <c r="AY19" s="88"/>
      <c r="AZ19" s="89"/>
      <c r="BA19" s="75"/>
      <c r="BB19" s="55" t="s">
        <v>83</v>
      </c>
      <c r="BC19" s="54">
        <f>((BE5+(INT((BF5*5)/2)-0.5)*0.18)-0.2)*14</f>
        <v>12049.939999999999</v>
      </c>
      <c r="BD19" s="54">
        <f>((BE5+(INT((BF5*5)/2)-0.5)*0.18)+0.2)*14</f>
        <v>12055.54</v>
      </c>
      <c r="BE19" s="10" t="s">
        <v>9</v>
      </c>
      <c r="BF19" s="10" t="s">
        <v>9</v>
      </c>
      <c r="BG19" s="87" t="s">
        <v>39</v>
      </c>
      <c r="BH19" s="88"/>
      <c r="BI19" s="89"/>
      <c r="BJ19" s="75"/>
      <c r="BK19" s="55" t="s">
        <v>83</v>
      </c>
      <c r="BL19" s="54">
        <f>(BN5-BO5/2)*14</f>
        <v>11648</v>
      </c>
      <c r="BM19" s="54">
        <f>(BN5+BO5/2)*14</f>
        <v>11928</v>
      </c>
      <c r="BN19" s="10" t="s">
        <v>9</v>
      </c>
      <c r="BO19" s="10" t="s">
        <v>9</v>
      </c>
      <c r="BP19" s="87" t="s">
        <v>39</v>
      </c>
      <c r="BQ19" s="88"/>
      <c r="BR19" s="89"/>
      <c r="BS19" s="75"/>
      <c r="BT19" s="55" t="s">
        <v>83</v>
      </c>
      <c r="BU19" s="54">
        <f>(BW5-BX5/2)*14</f>
        <v>11788</v>
      </c>
      <c r="BV19" s="54">
        <f>(BW5+BX5/2)*14</f>
        <v>12068</v>
      </c>
      <c r="BW19" s="10" t="s">
        <v>9</v>
      </c>
      <c r="BX19" s="10" t="s">
        <v>9</v>
      </c>
      <c r="BY19" s="87" t="s">
        <v>82</v>
      </c>
      <c r="BZ19" s="88"/>
      <c r="CA19" s="89"/>
      <c r="CB19" s="75"/>
      <c r="CC19" s="55" t="s">
        <v>83</v>
      </c>
    </row>
  </sheetData>
  <mergeCells count="133">
    <mergeCell ref="AO18:AQ18"/>
    <mergeCell ref="AX18:AZ18"/>
    <mergeCell ref="BG18:BI18"/>
    <mergeCell ref="BP18:BR18"/>
    <mergeCell ref="BY18:CA18"/>
    <mergeCell ref="AO19:AQ19"/>
    <mergeCell ref="AX19:AZ19"/>
    <mergeCell ref="BG19:BI19"/>
    <mergeCell ref="BP19:BR19"/>
    <mergeCell ref="BY19:CA19"/>
    <mergeCell ref="AO16:AQ16"/>
    <mergeCell ref="AX16:AZ16"/>
    <mergeCell ref="BG16:BI16"/>
    <mergeCell ref="BP16:BR16"/>
    <mergeCell ref="BY16:CA16"/>
    <mergeCell ref="AO17:AQ17"/>
    <mergeCell ref="AX17:AZ17"/>
    <mergeCell ref="BG17:BI17"/>
    <mergeCell ref="BP17:BR17"/>
    <mergeCell ref="BY17:CA17"/>
    <mergeCell ref="AO14:AQ14"/>
    <mergeCell ref="AX14:AZ14"/>
    <mergeCell ref="BG14:BI14"/>
    <mergeCell ref="BP14:BR14"/>
    <mergeCell ref="BY14:CA14"/>
    <mergeCell ref="AO15:AQ15"/>
    <mergeCell ref="AX15:AZ15"/>
    <mergeCell ref="BG15:BI15"/>
    <mergeCell ref="BP15:BR15"/>
    <mergeCell ref="BY15:CA15"/>
    <mergeCell ref="AO12:AQ12"/>
    <mergeCell ref="AX12:AZ12"/>
    <mergeCell ref="BG12:BI12"/>
    <mergeCell ref="BP12:BR12"/>
    <mergeCell ref="BY12:CA12"/>
    <mergeCell ref="AO13:AQ13"/>
    <mergeCell ref="AX13:AZ13"/>
    <mergeCell ref="BG13:BI13"/>
    <mergeCell ref="BP13:BR13"/>
    <mergeCell ref="BY13:CA13"/>
    <mergeCell ref="AO10:AQ10"/>
    <mergeCell ref="AX10:AZ10"/>
    <mergeCell ref="BG10:BI10"/>
    <mergeCell ref="BP10:BR10"/>
    <mergeCell ref="BY10:CA10"/>
    <mergeCell ref="AO11:AQ11"/>
    <mergeCell ref="AX11:AZ11"/>
    <mergeCell ref="BG11:BI11"/>
    <mergeCell ref="BP11:BR11"/>
    <mergeCell ref="BY11:CA11"/>
    <mergeCell ref="AO8:AQ8"/>
    <mergeCell ref="AX8:AZ8"/>
    <mergeCell ref="BG8:BI8"/>
    <mergeCell ref="BP8:BR8"/>
    <mergeCell ref="BY8:CA8"/>
    <mergeCell ref="AO9:AQ9"/>
    <mergeCell ref="AX9:AZ9"/>
    <mergeCell ref="BG9:BI9"/>
    <mergeCell ref="BP9:BR9"/>
    <mergeCell ref="BY9:CA9"/>
    <mergeCell ref="AO6:AQ6"/>
    <mergeCell ref="AX6:AZ6"/>
    <mergeCell ref="BG6:BI6"/>
    <mergeCell ref="BP6:BR6"/>
    <mergeCell ref="BY6:CA6"/>
    <mergeCell ref="AO7:AQ7"/>
    <mergeCell ref="AX7:AZ7"/>
    <mergeCell ref="BG7:BI7"/>
    <mergeCell ref="BP7:BR7"/>
    <mergeCell ref="BY7:CA7"/>
    <mergeCell ref="E14:G14"/>
    <mergeCell ref="N14:P14"/>
    <mergeCell ref="E13:G13"/>
    <mergeCell ref="N13:P13"/>
    <mergeCell ref="W19:Y19"/>
    <mergeCell ref="W18:Y18"/>
    <mergeCell ref="W17:Y17"/>
    <mergeCell ref="W16:Y16"/>
    <mergeCell ref="W15:Y15"/>
    <mergeCell ref="W14:Y14"/>
    <mergeCell ref="W13:Y13"/>
    <mergeCell ref="E19:G19"/>
    <mergeCell ref="N19:P19"/>
    <mergeCell ref="E18:G18"/>
    <mergeCell ref="N18:P18"/>
    <mergeCell ref="E17:G17"/>
    <mergeCell ref="N17:P17"/>
    <mergeCell ref="E16:G16"/>
    <mergeCell ref="N16:P16"/>
    <mergeCell ref="E15:G15"/>
    <mergeCell ref="N15:P15"/>
    <mergeCell ref="AF9:AH9"/>
    <mergeCell ref="AF10:AH10"/>
    <mergeCell ref="AF11:AH11"/>
    <mergeCell ref="AF6:AH6"/>
    <mergeCell ref="AF7:AH7"/>
    <mergeCell ref="AF8:AH8"/>
    <mergeCell ref="AF18:AH18"/>
    <mergeCell ref="AF19:AH19"/>
    <mergeCell ref="AF15:AH15"/>
    <mergeCell ref="AF16:AH16"/>
    <mergeCell ref="AF17:AH17"/>
    <mergeCell ref="AF12:AH12"/>
    <mergeCell ref="AF13:AH13"/>
    <mergeCell ref="AF14:AH14"/>
    <mergeCell ref="E12:G12"/>
    <mergeCell ref="N12:P12"/>
    <mergeCell ref="W12:Y12"/>
    <mergeCell ref="E11:G11"/>
    <mergeCell ref="N11:P11"/>
    <mergeCell ref="W11:Y11"/>
    <mergeCell ref="E10:G10"/>
    <mergeCell ref="N10:P10"/>
    <mergeCell ref="W10:Y10"/>
    <mergeCell ref="E9:G9"/>
    <mergeCell ref="N9:P9"/>
    <mergeCell ref="W9:Y9"/>
    <mergeCell ref="E8:G8"/>
    <mergeCell ref="N8:P8"/>
    <mergeCell ref="W8:Y8"/>
    <mergeCell ref="B1:K1"/>
    <mergeCell ref="B2:J2"/>
    <mergeCell ref="B3:J3"/>
    <mergeCell ref="I4:I5"/>
    <mergeCell ref="R4:R5"/>
    <mergeCell ref="E7:G7"/>
    <mergeCell ref="N7:P7"/>
    <mergeCell ref="W7:Y7"/>
    <mergeCell ref="A6:B6"/>
    <mergeCell ref="E6:G6"/>
    <mergeCell ref="J6:K6"/>
    <mergeCell ref="N6:P6"/>
    <mergeCell ref="W6:Y6"/>
  </mergeCells>
  <phoneticPr fontId="18" type="noConversion"/>
  <conditionalFormatting sqref="BJ10">
    <cfRule type="containsBlanks" priority="100" stopIfTrue="1">
      <formula>LEN(TRIM(BJ10))=0</formula>
    </cfRule>
    <cfRule type="cellIs" dxfId="1551" priority="101" stopIfTrue="1" operator="greaterThan">
      <formula>-30</formula>
    </cfRule>
    <cfRule type="cellIs" dxfId="1550" priority="102" stopIfTrue="1" operator="between">
      <formula>-33</formula>
      <formula>-30</formula>
    </cfRule>
  </conditionalFormatting>
  <conditionalFormatting sqref="BJ11:BJ18">
    <cfRule type="containsBlanks" priority="97" stopIfTrue="1">
      <formula>LEN(TRIM(BJ11))=0</formula>
    </cfRule>
    <cfRule type="cellIs" dxfId="1549" priority="98" stopIfTrue="1" operator="greaterThan">
      <formula>-30</formula>
    </cfRule>
    <cfRule type="cellIs" dxfId="1548" priority="99" stopIfTrue="1" operator="between">
      <formula>-33</formula>
      <formula>-30</formula>
    </cfRule>
  </conditionalFormatting>
  <conditionalFormatting sqref="H10">
    <cfRule type="containsBlanks" priority="94" stopIfTrue="1">
      <formula>LEN(TRIM(H10))=0</formula>
    </cfRule>
    <cfRule type="cellIs" dxfId="1547" priority="95" stopIfTrue="1" operator="greaterThan">
      <formula>-30</formula>
    </cfRule>
    <cfRule type="cellIs" dxfId="1546" priority="96" stopIfTrue="1" operator="between">
      <formula>-33</formula>
      <formula>-30</formula>
    </cfRule>
  </conditionalFormatting>
  <conditionalFormatting sqref="H11">
    <cfRule type="containsBlanks" priority="91" stopIfTrue="1">
      <formula>LEN(TRIM(H11))=0</formula>
    </cfRule>
    <cfRule type="cellIs" dxfId="1545" priority="92" stopIfTrue="1" operator="greaterThan">
      <formula>-30</formula>
    </cfRule>
    <cfRule type="cellIs" dxfId="1544" priority="93" stopIfTrue="1" operator="between">
      <formula>-33</formula>
      <formula>-30</formula>
    </cfRule>
  </conditionalFormatting>
  <conditionalFormatting sqref="Q10">
    <cfRule type="containsBlanks" priority="88" stopIfTrue="1">
      <formula>LEN(TRIM(Q10))=0</formula>
    </cfRule>
    <cfRule type="cellIs" dxfId="1543" priority="89" stopIfTrue="1" operator="greaterThan">
      <formula>-30</formula>
    </cfRule>
    <cfRule type="cellIs" dxfId="1542" priority="90" stopIfTrue="1" operator="between">
      <formula>-33</formula>
      <formula>-30</formula>
    </cfRule>
  </conditionalFormatting>
  <conditionalFormatting sqref="Q11:Q18">
    <cfRule type="containsBlanks" priority="85" stopIfTrue="1">
      <formula>LEN(TRIM(Q11))=0</formula>
    </cfRule>
    <cfRule type="cellIs" dxfId="1541" priority="86" stopIfTrue="1" operator="greaterThan">
      <formula>-30</formula>
    </cfRule>
    <cfRule type="cellIs" dxfId="1540" priority="87" stopIfTrue="1" operator="between">
      <formula>-33</formula>
      <formula>-30</formula>
    </cfRule>
  </conditionalFormatting>
  <conditionalFormatting sqref="Z10">
    <cfRule type="containsBlanks" priority="82" stopIfTrue="1">
      <formula>LEN(TRIM(Z10))=0</formula>
    </cfRule>
    <cfRule type="cellIs" dxfId="1539" priority="83" stopIfTrue="1" operator="greaterThan">
      <formula>-30</formula>
    </cfRule>
    <cfRule type="cellIs" dxfId="1538" priority="84" stopIfTrue="1" operator="between">
      <formula>-33</formula>
      <formula>-30</formula>
    </cfRule>
  </conditionalFormatting>
  <conditionalFormatting sqref="Z11:Z18">
    <cfRule type="containsBlanks" priority="79" stopIfTrue="1">
      <formula>LEN(TRIM(Z11))=0</formula>
    </cfRule>
    <cfRule type="cellIs" dxfId="1537" priority="80" stopIfTrue="1" operator="greaterThan">
      <formula>-30</formula>
    </cfRule>
    <cfRule type="cellIs" dxfId="1536" priority="81" stopIfTrue="1" operator="between">
      <formula>-33</formula>
      <formula>-30</formula>
    </cfRule>
  </conditionalFormatting>
  <conditionalFormatting sqref="AI10">
    <cfRule type="containsBlanks" priority="76" stopIfTrue="1">
      <formula>LEN(TRIM(AI10))=0</formula>
    </cfRule>
    <cfRule type="cellIs" dxfId="1535" priority="77" stopIfTrue="1" operator="greaterThan">
      <formula>-30</formula>
    </cfRule>
    <cfRule type="cellIs" dxfId="1534" priority="78" stopIfTrue="1" operator="between">
      <formula>-33</formula>
      <formula>-30</formula>
    </cfRule>
  </conditionalFormatting>
  <conditionalFormatting sqref="AI11:AI18">
    <cfRule type="containsBlanks" priority="73" stopIfTrue="1">
      <formula>LEN(TRIM(AI11))=0</formula>
    </cfRule>
    <cfRule type="cellIs" dxfId="1533" priority="74" stopIfTrue="1" operator="greaterThan">
      <formula>-30</formula>
    </cfRule>
    <cfRule type="cellIs" dxfId="1532" priority="75" stopIfTrue="1" operator="between">
      <formula>-33</formula>
      <formula>-30</formula>
    </cfRule>
  </conditionalFormatting>
  <conditionalFormatting sqref="AR10">
    <cfRule type="containsBlanks" priority="70" stopIfTrue="1">
      <formula>LEN(TRIM(AR10))=0</formula>
    </cfRule>
    <cfRule type="cellIs" dxfId="1531" priority="71" stopIfTrue="1" operator="greaterThan">
      <formula>-30</formula>
    </cfRule>
    <cfRule type="cellIs" dxfId="1530" priority="72" stopIfTrue="1" operator="between">
      <formula>-33</formula>
      <formula>-30</formula>
    </cfRule>
  </conditionalFormatting>
  <conditionalFormatting sqref="AR11:AR18">
    <cfRule type="containsBlanks" priority="67" stopIfTrue="1">
      <formula>LEN(TRIM(AR11))=0</formula>
    </cfRule>
    <cfRule type="cellIs" dxfId="1529" priority="68" stopIfTrue="1" operator="greaterThan">
      <formula>-30</formula>
    </cfRule>
    <cfRule type="cellIs" dxfId="1528" priority="69" stopIfTrue="1" operator="between">
      <formula>-33</formula>
      <formula>-30</formula>
    </cfRule>
  </conditionalFormatting>
  <conditionalFormatting sqref="BA10">
    <cfRule type="containsBlanks" priority="64" stopIfTrue="1">
      <formula>LEN(TRIM(BA10))=0</formula>
    </cfRule>
    <cfRule type="cellIs" dxfId="1527" priority="65" stopIfTrue="1" operator="greaterThan">
      <formula>-30</formula>
    </cfRule>
    <cfRule type="cellIs" dxfId="1526" priority="66" stopIfTrue="1" operator="between">
      <formula>-33</formula>
      <formula>-30</formula>
    </cfRule>
  </conditionalFormatting>
  <conditionalFormatting sqref="BA11:BA18">
    <cfRule type="containsBlanks" priority="61" stopIfTrue="1">
      <formula>LEN(TRIM(BA11))=0</formula>
    </cfRule>
    <cfRule type="cellIs" dxfId="1525" priority="62" stopIfTrue="1" operator="greaterThan">
      <formula>-30</formula>
    </cfRule>
    <cfRule type="cellIs" dxfId="1524" priority="63" stopIfTrue="1" operator="between">
      <formula>-33</formula>
      <formula>-30</formula>
    </cfRule>
  </conditionalFormatting>
  <conditionalFormatting sqref="BJ10">
    <cfRule type="containsBlanks" priority="58" stopIfTrue="1">
      <formula>LEN(TRIM(BJ10))=0</formula>
    </cfRule>
    <cfRule type="cellIs" dxfId="1523" priority="59" stopIfTrue="1" operator="greaterThan">
      <formula>-30</formula>
    </cfRule>
    <cfRule type="cellIs" dxfId="1522" priority="60" stopIfTrue="1" operator="between">
      <formula>-33</formula>
      <formula>-30</formula>
    </cfRule>
  </conditionalFormatting>
  <conditionalFormatting sqref="BJ11:BJ18">
    <cfRule type="containsBlanks" priority="55" stopIfTrue="1">
      <formula>LEN(TRIM(BJ11))=0</formula>
    </cfRule>
    <cfRule type="cellIs" dxfId="1521" priority="56" stopIfTrue="1" operator="greaterThan">
      <formula>-30</formula>
    </cfRule>
    <cfRule type="cellIs" dxfId="1520" priority="57" stopIfTrue="1" operator="between">
      <formula>-33</formula>
      <formula>-30</formula>
    </cfRule>
  </conditionalFormatting>
  <conditionalFormatting sqref="BS10">
    <cfRule type="containsBlanks" priority="52" stopIfTrue="1">
      <formula>LEN(TRIM(BS10))=0</formula>
    </cfRule>
    <cfRule type="cellIs" dxfId="1519" priority="53" stopIfTrue="1" operator="greaterThan">
      <formula>-30</formula>
    </cfRule>
    <cfRule type="cellIs" dxfId="1518" priority="54" stopIfTrue="1" operator="between">
      <formula>-33</formula>
      <formula>-30</formula>
    </cfRule>
  </conditionalFormatting>
  <conditionalFormatting sqref="BS11:BS18">
    <cfRule type="containsBlanks" priority="49" stopIfTrue="1">
      <formula>LEN(TRIM(BS11))=0</formula>
    </cfRule>
    <cfRule type="cellIs" dxfId="1517" priority="50" stopIfTrue="1" operator="greaterThan">
      <formula>-30</formula>
    </cfRule>
    <cfRule type="cellIs" dxfId="1516" priority="51" stopIfTrue="1" operator="between">
      <formula>-33</formula>
      <formula>-30</formula>
    </cfRule>
  </conditionalFormatting>
  <conditionalFormatting sqref="CB10">
    <cfRule type="containsBlanks" priority="46" stopIfTrue="1">
      <formula>LEN(TRIM(CB10))=0</formula>
    </cfRule>
    <cfRule type="cellIs" dxfId="1515" priority="47" stopIfTrue="1" operator="greaterThan">
      <formula>-30</formula>
    </cfRule>
    <cfRule type="cellIs" dxfId="1514" priority="48" stopIfTrue="1" operator="between">
      <formula>-33</formula>
      <formula>-30</formula>
    </cfRule>
  </conditionalFormatting>
  <conditionalFormatting sqref="CB11:CB18">
    <cfRule type="containsBlanks" priority="43" stopIfTrue="1">
      <formula>LEN(TRIM(CB11))=0</formula>
    </cfRule>
    <cfRule type="cellIs" dxfId="1513" priority="44" stopIfTrue="1" operator="greaterThan">
      <formula>-30</formula>
    </cfRule>
    <cfRule type="cellIs" dxfId="1512" priority="45" stopIfTrue="1" operator="between">
      <formula>-33</formula>
      <formula>-30</formula>
    </cfRule>
  </conditionalFormatting>
  <conditionalFormatting sqref="AI19">
    <cfRule type="containsBlanks" priority="34" stopIfTrue="1">
      <formula>LEN(TRIM(AI19))=0</formula>
    </cfRule>
    <cfRule type="cellIs" dxfId="1511" priority="35" stopIfTrue="1" operator="greaterThan">
      <formula>-30</formula>
    </cfRule>
    <cfRule type="cellIs" dxfId="1510" priority="36" stopIfTrue="1" operator="between">
      <formula>-33</formula>
      <formula>-30</formula>
    </cfRule>
  </conditionalFormatting>
  <conditionalFormatting sqref="AR19">
    <cfRule type="containsBlanks" priority="31" stopIfTrue="1">
      <formula>LEN(TRIM(AR19))=0</formula>
    </cfRule>
    <cfRule type="cellIs" dxfId="1509" priority="32" stopIfTrue="1" operator="greaterThan">
      <formula>-30</formula>
    </cfRule>
    <cfRule type="cellIs" dxfId="1508" priority="33" stopIfTrue="1" operator="between">
      <formula>-33</formula>
      <formula>-30</formula>
    </cfRule>
  </conditionalFormatting>
  <conditionalFormatting sqref="BA19">
    <cfRule type="containsBlanks" priority="28" stopIfTrue="1">
      <formula>LEN(TRIM(BA19))=0</formula>
    </cfRule>
    <cfRule type="cellIs" dxfId="1507" priority="29" stopIfTrue="1" operator="greaterThan">
      <formula>-30</formula>
    </cfRule>
    <cfRule type="cellIs" dxfId="1506" priority="30" stopIfTrue="1" operator="between">
      <formula>-33</formula>
      <formula>-30</formula>
    </cfRule>
  </conditionalFormatting>
  <conditionalFormatting sqref="BJ19">
    <cfRule type="containsBlanks" priority="25" stopIfTrue="1">
      <formula>LEN(TRIM(BJ19))=0</formula>
    </cfRule>
    <cfRule type="cellIs" dxfId="1505" priority="26" stopIfTrue="1" operator="greaterThan">
      <formula>-30</formula>
    </cfRule>
    <cfRule type="cellIs" dxfId="1504" priority="27" stopIfTrue="1" operator="between">
      <formula>-33</formula>
      <formula>-30</formula>
    </cfRule>
  </conditionalFormatting>
  <conditionalFormatting sqref="Q19">
    <cfRule type="containsBlanks" priority="22" stopIfTrue="1">
      <formula>LEN(TRIM(Q19))=0</formula>
    </cfRule>
    <cfRule type="cellIs" dxfId="1503" priority="23" stopIfTrue="1" operator="greaterThan">
      <formula>-30</formula>
    </cfRule>
    <cfRule type="cellIs" dxfId="1502" priority="24" stopIfTrue="1" operator="between">
      <formula>-33</formula>
      <formula>-30</formula>
    </cfRule>
  </conditionalFormatting>
  <conditionalFormatting sqref="Z19">
    <cfRule type="containsBlanks" priority="19" stopIfTrue="1">
      <formula>LEN(TRIM(Z19))=0</formula>
    </cfRule>
    <cfRule type="cellIs" dxfId="1501" priority="20" stopIfTrue="1" operator="greaterThan">
      <formula>-30</formula>
    </cfRule>
    <cfRule type="cellIs" dxfId="1500" priority="21" stopIfTrue="1" operator="between">
      <formula>-33</formula>
      <formula>-30</formula>
    </cfRule>
  </conditionalFormatting>
  <conditionalFormatting sqref="AI19">
    <cfRule type="containsBlanks" priority="16" stopIfTrue="1">
      <formula>LEN(TRIM(AI19))=0</formula>
    </cfRule>
    <cfRule type="cellIs" dxfId="1499" priority="17" stopIfTrue="1" operator="greaterThan">
      <formula>-30</formula>
    </cfRule>
    <cfRule type="cellIs" dxfId="1498" priority="18" stopIfTrue="1" operator="between">
      <formula>-33</formula>
      <formula>-30</formula>
    </cfRule>
  </conditionalFormatting>
  <conditionalFormatting sqref="AR19">
    <cfRule type="containsBlanks" priority="13" stopIfTrue="1">
      <formula>LEN(TRIM(AR19))=0</formula>
    </cfRule>
    <cfRule type="cellIs" dxfId="1497" priority="14" stopIfTrue="1" operator="greaterThan">
      <formula>-30</formula>
    </cfRule>
    <cfRule type="cellIs" dxfId="1496" priority="15" stopIfTrue="1" operator="between">
      <formula>-33</formula>
      <formula>-30</formula>
    </cfRule>
  </conditionalFormatting>
  <conditionalFormatting sqref="BA19">
    <cfRule type="containsBlanks" priority="10" stopIfTrue="1">
      <formula>LEN(TRIM(BA19))=0</formula>
    </cfRule>
    <cfRule type="cellIs" dxfId="1495" priority="11" stopIfTrue="1" operator="greaterThan">
      <formula>-30</formula>
    </cfRule>
    <cfRule type="cellIs" dxfId="1494" priority="12" stopIfTrue="1" operator="between">
      <formula>-33</formula>
      <formula>-30</formula>
    </cfRule>
  </conditionalFormatting>
  <conditionalFormatting sqref="BJ19">
    <cfRule type="containsBlanks" priority="7" stopIfTrue="1">
      <formula>LEN(TRIM(BJ19))=0</formula>
    </cfRule>
    <cfRule type="cellIs" dxfId="1493" priority="8" stopIfTrue="1" operator="greaterThan">
      <formula>-30</formula>
    </cfRule>
    <cfRule type="cellIs" dxfId="1492" priority="9" stopIfTrue="1" operator="between">
      <formula>-33</formula>
      <formula>-30</formula>
    </cfRule>
  </conditionalFormatting>
  <conditionalFormatting sqref="BS19">
    <cfRule type="containsBlanks" priority="4" stopIfTrue="1">
      <formula>LEN(TRIM(BS19))=0</formula>
    </cfRule>
    <cfRule type="cellIs" dxfId="1491" priority="5" stopIfTrue="1" operator="greaterThan">
      <formula>-30</formula>
    </cfRule>
    <cfRule type="cellIs" dxfId="1490" priority="6" stopIfTrue="1" operator="between">
      <formula>-33</formula>
      <formula>-30</formula>
    </cfRule>
  </conditionalFormatting>
  <conditionalFormatting sqref="CB19">
    <cfRule type="containsBlanks" priority="1" stopIfTrue="1">
      <formula>LEN(TRIM(CB19))=0</formula>
    </cfRule>
    <cfRule type="cellIs" dxfId="1489" priority="2" stopIfTrue="1" operator="greaterThan">
      <formula>-30</formula>
    </cfRule>
    <cfRule type="cellIs" dxfId="1488" priority="3" stopIfTrue="1" operator="between">
      <formula>-33</formula>
      <formula>-30</formula>
    </cfRule>
  </conditionalFormatting>
  <conditionalFormatting sqref="H8">
    <cfRule type="containsBlanks" priority="214" stopIfTrue="1">
      <formula>LEN(TRIM(H8))=0</formula>
    </cfRule>
    <cfRule type="cellIs" dxfId="1487" priority="215" stopIfTrue="1" operator="greaterThan">
      <formula>-30</formula>
    </cfRule>
    <cfRule type="cellIs" dxfId="1486" priority="216" stopIfTrue="1" operator="between">
      <formula>-33</formula>
      <formula>-30</formula>
    </cfRule>
  </conditionalFormatting>
  <conditionalFormatting sqref="H9">
    <cfRule type="containsBlanks" priority="211" stopIfTrue="1">
      <formula>LEN(TRIM(H9))=0</formula>
    </cfRule>
    <cfRule type="cellIs" dxfId="1485" priority="212" stopIfTrue="1" operator="greaterThan">
      <formula>-30</formula>
    </cfRule>
    <cfRule type="cellIs" dxfId="1484" priority="213" stopIfTrue="1" operator="between">
      <formula>-33</formula>
      <formula>-30</formula>
    </cfRule>
  </conditionalFormatting>
  <conditionalFormatting sqref="Q7">
    <cfRule type="containsBlanks" priority="208" stopIfTrue="1">
      <formula>LEN(TRIM(Q7))=0</formula>
    </cfRule>
    <cfRule type="cellIs" dxfId="1483" priority="209" stopIfTrue="1" operator="greaterThan">
      <formula>-30</formula>
    </cfRule>
    <cfRule type="cellIs" dxfId="1482" priority="210" stopIfTrue="1" operator="between">
      <formula>-33</formula>
      <formula>-30</formula>
    </cfRule>
  </conditionalFormatting>
  <conditionalFormatting sqref="Q8">
    <cfRule type="containsBlanks" priority="205" stopIfTrue="1">
      <formula>LEN(TRIM(Q8))=0</formula>
    </cfRule>
    <cfRule type="cellIs" dxfId="1481" priority="206" stopIfTrue="1" operator="greaterThan">
      <formula>-30</formula>
    </cfRule>
    <cfRule type="cellIs" dxfId="1480" priority="207" stopIfTrue="1" operator="between">
      <formula>-33</formula>
      <formula>-30</formula>
    </cfRule>
  </conditionalFormatting>
  <conditionalFormatting sqref="Q9">
    <cfRule type="containsBlanks" priority="202" stopIfTrue="1">
      <formula>LEN(TRIM(Q9))=0</formula>
    </cfRule>
    <cfRule type="cellIs" dxfId="1479" priority="203" stopIfTrue="1" operator="greaterThan">
      <formula>-30</formula>
    </cfRule>
    <cfRule type="cellIs" dxfId="1478" priority="204" stopIfTrue="1" operator="between">
      <formula>-33</formula>
      <formula>-30</formula>
    </cfRule>
  </conditionalFormatting>
  <conditionalFormatting sqref="Z7">
    <cfRule type="containsBlanks" priority="199" stopIfTrue="1">
      <formula>LEN(TRIM(Z7))=0</formula>
    </cfRule>
    <cfRule type="cellIs" dxfId="1477" priority="200" stopIfTrue="1" operator="greaterThan">
      <formula>-30</formula>
    </cfRule>
    <cfRule type="cellIs" dxfId="1476" priority="201" stopIfTrue="1" operator="between">
      <formula>-33</formula>
      <formula>-30</formula>
    </cfRule>
  </conditionalFormatting>
  <conditionalFormatting sqref="H7">
    <cfRule type="containsBlanks" priority="280" stopIfTrue="1">
      <formula>LEN(TRIM(H7))=0</formula>
    </cfRule>
    <cfRule type="cellIs" dxfId="1475" priority="281" stopIfTrue="1" operator="greaterThan">
      <formula>-30</formula>
    </cfRule>
    <cfRule type="cellIs" dxfId="1474" priority="282" stopIfTrue="1" operator="between">
      <formula>-33</formula>
      <formula>-30</formula>
    </cfRule>
  </conditionalFormatting>
  <conditionalFormatting sqref="H8">
    <cfRule type="containsBlanks" priority="277" stopIfTrue="1">
      <formula>LEN(TRIM(H8))=0</formula>
    </cfRule>
    <cfRule type="cellIs" dxfId="1473" priority="278" stopIfTrue="1" operator="greaterThan">
      <formula>-30</formula>
    </cfRule>
    <cfRule type="cellIs" dxfId="1472" priority="279" stopIfTrue="1" operator="between">
      <formula>-33</formula>
      <formula>-30</formula>
    </cfRule>
  </conditionalFormatting>
  <conditionalFormatting sqref="H9">
    <cfRule type="containsBlanks" priority="274" stopIfTrue="1">
      <formula>LEN(TRIM(H9))=0</formula>
    </cfRule>
    <cfRule type="cellIs" dxfId="1471" priority="275" stopIfTrue="1" operator="greaterThan">
      <formula>-30</formula>
    </cfRule>
    <cfRule type="cellIs" dxfId="1470" priority="276" stopIfTrue="1" operator="between">
      <formula>-33</formula>
      <formula>-30</formula>
    </cfRule>
  </conditionalFormatting>
  <conditionalFormatting sqref="Q7">
    <cfRule type="containsBlanks" priority="271" stopIfTrue="1">
      <formula>LEN(TRIM(Q7))=0</formula>
    </cfRule>
    <cfRule type="cellIs" dxfId="1469" priority="272" stopIfTrue="1" operator="greaterThan">
      <formula>-30</formula>
    </cfRule>
    <cfRule type="cellIs" dxfId="1468" priority="273" stopIfTrue="1" operator="between">
      <formula>-33</formula>
      <formula>-30</formula>
    </cfRule>
  </conditionalFormatting>
  <conditionalFormatting sqref="Q8">
    <cfRule type="containsBlanks" priority="268" stopIfTrue="1">
      <formula>LEN(TRIM(Q8))=0</formula>
    </cfRule>
    <cfRule type="cellIs" dxfId="1467" priority="269" stopIfTrue="1" operator="greaterThan">
      <formula>-30</formula>
    </cfRule>
    <cfRule type="cellIs" dxfId="1466" priority="270" stopIfTrue="1" operator="between">
      <formula>-33</formula>
      <formula>-30</formula>
    </cfRule>
  </conditionalFormatting>
  <conditionalFormatting sqref="Q9">
    <cfRule type="containsBlanks" priority="265" stopIfTrue="1">
      <formula>LEN(TRIM(Q9))=0</formula>
    </cfRule>
    <cfRule type="cellIs" dxfId="1465" priority="266" stopIfTrue="1" operator="greaterThan">
      <formula>-30</formula>
    </cfRule>
    <cfRule type="cellIs" dxfId="1464" priority="267" stopIfTrue="1" operator="between">
      <formula>-33</formula>
      <formula>-30</formula>
    </cfRule>
  </conditionalFormatting>
  <conditionalFormatting sqref="Z7">
    <cfRule type="containsBlanks" priority="262" stopIfTrue="1">
      <formula>LEN(TRIM(Z7))=0</formula>
    </cfRule>
    <cfRule type="cellIs" dxfId="1463" priority="263" stopIfTrue="1" operator="greaterThan">
      <formula>-30</formula>
    </cfRule>
    <cfRule type="cellIs" dxfId="1462" priority="264" stopIfTrue="1" operator="between">
      <formula>-33</formula>
      <formula>-30</formula>
    </cfRule>
  </conditionalFormatting>
  <conditionalFormatting sqref="Z8">
    <cfRule type="containsBlanks" priority="259" stopIfTrue="1">
      <formula>LEN(TRIM(Z8))=0</formula>
    </cfRule>
    <cfRule type="cellIs" dxfId="1461" priority="260" stopIfTrue="1" operator="greaterThan">
      <formula>-30</formula>
    </cfRule>
    <cfRule type="cellIs" dxfId="1460" priority="261" stopIfTrue="1" operator="between">
      <formula>-33</formula>
      <formula>-30</formula>
    </cfRule>
  </conditionalFormatting>
  <conditionalFormatting sqref="Z9">
    <cfRule type="containsBlanks" priority="256" stopIfTrue="1">
      <formula>LEN(TRIM(Z9))=0</formula>
    </cfRule>
    <cfRule type="cellIs" dxfId="1459" priority="257" stopIfTrue="1" operator="greaterThan">
      <formula>-30</formula>
    </cfRule>
    <cfRule type="cellIs" dxfId="1458" priority="258" stopIfTrue="1" operator="between">
      <formula>-33</formula>
      <formula>-30</formula>
    </cfRule>
  </conditionalFormatting>
  <conditionalFormatting sqref="AI7">
    <cfRule type="containsBlanks" priority="253" stopIfTrue="1">
      <formula>LEN(TRIM(AI7))=0</formula>
    </cfRule>
    <cfRule type="cellIs" dxfId="1457" priority="254" stopIfTrue="1" operator="greaterThan">
      <formula>-30</formula>
    </cfRule>
    <cfRule type="cellIs" dxfId="1456" priority="255" stopIfTrue="1" operator="between">
      <formula>-33</formula>
      <formula>-30</formula>
    </cfRule>
  </conditionalFormatting>
  <conditionalFormatting sqref="AI8">
    <cfRule type="containsBlanks" priority="250" stopIfTrue="1">
      <formula>LEN(TRIM(AI8))=0</formula>
    </cfRule>
    <cfRule type="cellIs" dxfId="1455" priority="251" stopIfTrue="1" operator="greaterThan">
      <formula>-30</formula>
    </cfRule>
    <cfRule type="cellIs" dxfId="1454" priority="252" stopIfTrue="1" operator="between">
      <formula>-33</formula>
      <formula>-30</formula>
    </cfRule>
  </conditionalFormatting>
  <conditionalFormatting sqref="AI9">
    <cfRule type="containsBlanks" priority="247" stopIfTrue="1">
      <formula>LEN(TRIM(AI9))=0</formula>
    </cfRule>
    <cfRule type="cellIs" dxfId="1453" priority="248" stopIfTrue="1" operator="greaterThan">
      <formula>-30</formula>
    </cfRule>
    <cfRule type="cellIs" dxfId="1452" priority="249" stopIfTrue="1" operator="between">
      <formula>-33</formula>
      <formula>-30</formula>
    </cfRule>
  </conditionalFormatting>
  <conditionalFormatting sqref="AR7">
    <cfRule type="containsBlanks" priority="244" stopIfTrue="1">
      <formula>LEN(TRIM(AR7))=0</formula>
    </cfRule>
    <cfRule type="cellIs" dxfId="1451" priority="245" stopIfTrue="1" operator="greaterThan">
      <formula>-30</formula>
    </cfRule>
    <cfRule type="cellIs" dxfId="1450" priority="246" stopIfTrue="1" operator="between">
      <formula>-33</formula>
      <formula>-30</formula>
    </cfRule>
  </conditionalFormatting>
  <conditionalFormatting sqref="AR8">
    <cfRule type="containsBlanks" priority="241" stopIfTrue="1">
      <formula>LEN(TRIM(AR8))=0</formula>
    </cfRule>
    <cfRule type="cellIs" dxfId="1449" priority="242" stopIfTrue="1" operator="greaterThan">
      <formula>-30</formula>
    </cfRule>
    <cfRule type="cellIs" dxfId="1448" priority="243" stopIfTrue="1" operator="between">
      <formula>-33</formula>
      <formula>-30</formula>
    </cfRule>
  </conditionalFormatting>
  <conditionalFormatting sqref="AR9">
    <cfRule type="containsBlanks" priority="238" stopIfTrue="1">
      <formula>LEN(TRIM(AR9))=0</formula>
    </cfRule>
    <cfRule type="cellIs" dxfId="1447" priority="239" stopIfTrue="1" operator="greaterThan">
      <formula>-30</formula>
    </cfRule>
    <cfRule type="cellIs" dxfId="1446" priority="240" stopIfTrue="1" operator="between">
      <formula>-33</formula>
      <formula>-30</formula>
    </cfRule>
  </conditionalFormatting>
  <conditionalFormatting sqref="BA7">
    <cfRule type="containsBlanks" priority="235" stopIfTrue="1">
      <formula>LEN(TRIM(BA7))=0</formula>
    </cfRule>
    <cfRule type="cellIs" dxfId="1445" priority="236" stopIfTrue="1" operator="greaterThan">
      <formula>-30</formula>
    </cfRule>
    <cfRule type="cellIs" dxfId="1444" priority="237" stopIfTrue="1" operator="between">
      <formula>-33</formula>
      <formula>-30</formula>
    </cfRule>
  </conditionalFormatting>
  <conditionalFormatting sqref="BA8">
    <cfRule type="containsBlanks" priority="232" stopIfTrue="1">
      <formula>LEN(TRIM(BA8))=0</formula>
    </cfRule>
    <cfRule type="cellIs" dxfId="1443" priority="233" stopIfTrue="1" operator="greaterThan">
      <formula>-30</formula>
    </cfRule>
    <cfRule type="cellIs" dxfId="1442" priority="234" stopIfTrue="1" operator="between">
      <formula>-33</formula>
      <formula>-30</formula>
    </cfRule>
  </conditionalFormatting>
  <conditionalFormatting sqref="BA9">
    <cfRule type="containsBlanks" priority="229" stopIfTrue="1">
      <formula>LEN(TRIM(BA9))=0</formula>
    </cfRule>
    <cfRule type="cellIs" dxfId="1441" priority="230" stopIfTrue="1" operator="greaterThan">
      <formula>-30</formula>
    </cfRule>
    <cfRule type="cellIs" dxfId="1440" priority="231" stopIfTrue="1" operator="between">
      <formula>-33</formula>
      <formula>-30</formula>
    </cfRule>
  </conditionalFormatting>
  <conditionalFormatting sqref="BJ7">
    <cfRule type="containsBlanks" priority="226" stopIfTrue="1">
      <formula>LEN(TRIM(BJ7))=0</formula>
    </cfRule>
    <cfRule type="cellIs" dxfId="1439" priority="227" stopIfTrue="1" operator="greaterThan">
      <formula>-30</formula>
    </cfRule>
    <cfRule type="cellIs" dxfId="1438" priority="228" stopIfTrue="1" operator="between">
      <formula>-33</formula>
      <formula>-30</formula>
    </cfRule>
  </conditionalFormatting>
  <conditionalFormatting sqref="BJ8">
    <cfRule type="containsBlanks" priority="223" stopIfTrue="1">
      <formula>LEN(TRIM(BJ8))=0</formula>
    </cfRule>
    <cfRule type="cellIs" dxfId="1437" priority="224" stopIfTrue="1" operator="greaterThan">
      <formula>-30</formula>
    </cfRule>
    <cfRule type="cellIs" dxfId="1436" priority="225" stopIfTrue="1" operator="between">
      <formula>-33</formula>
      <formula>-30</formula>
    </cfRule>
  </conditionalFormatting>
  <conditionalFormatting sqref="BJ9">
    <cfRule type="containsBlanks" priority="220" stopIfTrue="1">
      <formula>LEN(TRIM(BJ9))=0</formula>
    </cfRule>
    <cfRule type="cellIs" dxfId="1435" priority="221" stopIfTrue="1" operator="greaterThan">
      <formula>-30</formula>
    </cfRule>
    <cfRule type="cellIs" dxfId="1434" priority="222" stopIfTrue="1" operator="between">
      <formula>-33</formula>
      <formula>-30</formula>
    </cfRule>
  </conditionalFormatting>
  <conditionalFormatting sqref="H7">
    <cfRule type="containsBlanks" priority="217" stopIfTrue="1">
      <formula>LEN(TRIM(H7))=0</formula>
    </cfRule>
    <cfRule type="cellIs" dxfId="1433" priority="218" stopIfTrue="1" operator="greaterThan">
      <formula>-30</formula>
    </cfRule>
    <cfRule type="cellIs" dxfId="1432" priority="219" stopIfTrue="1" operator="between">
      <formula>-33</formula>
      <formula>-30</formula>
    </cfRule>
  </conditionalFormatting>
  <conditionalFormatting sqref="Z8">
    <cfRule type="containsBlanks" priority="196" stopIfTrue="1">
      <formula>LEN(TRIM(Z8))=0</formula>
    </cfRule>
    <cfRule type="cellIs" dxfId="1431" priority="197" stopIfTrue="1" operator="greaterThan">
      <formula>-30</formula>
    </cfRule>
    <cfRule type="cellIs" dxfId="1430" priority="198" stopIfTrue="1" operator="between">
      <formula>-33</formula>
      <formula>-30</formula>
    </cfRule>
  </conditionalFormatting>
  <conditionalFormatting sqref="Z9">
    <cfRule type="containsBlanks" priority="193" stopIfTrue="1">
      <formula>LEN(TRIM(Z9))=0</formula>
    </cfRule>
    <cfRule type="cellIs" dxfId="1429" priority="194" stopIfTrue="1" operator="greaterThan">
      <formula>-30</formula>
    </cfRule>
    <cfRule type="cellIs" dxfId="1428" priority="195" stopIfTrue="1" operator="between">
      <formula>-33</formula>
      <formula>-30</formula>
    </cfRule>
  </conditionalFormatting>
  <conditionalFormatting sqref="AI7">
    <cfRule type="containsBlanks" priority="190" stopIfTrue="1">
      <formula>LEN(TRIM(AI7))=0</formula>
    </cfRule>
    <cfRule type="cellIs" dxfId="1427" priority="191" stopIfTrue="1" operator="greaterThan">
      <formula>-30</formula>
    </cfRule>
    <cfRule type="cellIs" dxfId="1426" priority="192" stopIfTrue="1" operator="between">
      <formula>-33</formula>
      <formula>-30</formula>
    </cfRule>
  </conditionalFormatting>
  <conditionalFormatting sqref="AI8">
    <cfRule type="containsBlanks" priority="187" stopIfTrue="1">
      <formula>LEN(TRIM(AI8))=0</formula>
    </cfRule>
    <cfRule type="cellIs" dxfId="1425" priority="188" stopIfTrue="1" operator="greaterThan">
      <formula>-30</formula>
    </cfRule>
    <cfRule type="cellIs" dxfId="1424" priority="189" stopIfTrue="1" operator="between">
      <formula>-33</formula>
      <formula>-30</formula>
    </cfRule>
  </conditionalFormatting>
  <conditionalFormatting sqref="AI9">
    <cfRule type="containsBlanks" priority="184" stopIfTrue="1">
      <formula>LEN(TRIM(AI9))=0</formula>
    </cfRule>
    <cfRule type="cellIs" dxfId="1423" priority="185" stopIfTrue="1" operator="greaterThan">
      <formula>-30</formula>
    </cfRule>
    <cfRule type="cellIs" dxfId="1422" priority="186" stopIfTrue="1" operator="between">
      <formula>-33</formula>
      <formula>-30</formula>
    </cfRule>
  </conditionalFormatting>
  <conditionalFormatting sqref="AR7">
    <cfRule type="containsBlanks" priority="181" stopIfTrue="1">
      <formula>LEN(TRIM(AR7))=0</formula>
    </cfRule>
    <cfRule type="cellIs" dxfId="1421" priority="182" stopIfTrue="1" operator="greaterThan">
      <formula>-30</formula>
    </cfRule>
    <cfRule type="cellIs" dxfId="1420" priority="183" stopIfTrue="1" operator="between">
      <formula>-33</formula>
      <formula>-30</formula>
    </cfRule>
  </conditionalFormatting>
  <conditionalFormatting sqref="AR8">
    <cfRule type="containsBlanks" priority="178" stopIfTrue="1">
      <formula>LEN(TRIM(AR8))=0</formula>
    </cfRule>
    <cfRule type="cellIs" dxfId="1419" priority="179" stopIfTrue="1" operator="greaterThan">
      <formula>-30</formula>
    </cfRule>
    <cfRule type="cellIs" dxfId="1418" priority="180" stopIfTrue="1" operator="between">
      <formula>-33</formula>
      <formula>-30</formula>
    </cfRule>
  </conditionalFormatting>
  <conditionalFormatting sqref="AR9">
    <cfRule type="containsBlanks" priority="175" stopIfTrue="1">
      <formula>LEN(TRIM(AR9))=0</formula>
    </cfRule>
    <cfRule type="cellIs" dxfId="1417" priority="176" stopIfTrue="1" operator="greaterThan">
      <formula>-30</formula>
    </cfRule>
    <cfRule type="cellIs" dxfId="1416" priority="177" stopIfTrue="1" operator="between">
      <formula>-33</formula>
      <formula>-30</formula>
    </cfRule>
  </conditionalFormatting>
  <conditionalFormatting sqref="BA7">
    <cfRule type="containsBlanks" priority="172" stopIfTrue="1">
      <formula>LEN(TRIM(BA7))=0</formula>
    </cfRule>
    <cfRule type="cellIs" dxfId="1415" priority="173" stopIfTrue="1" operator="greaterThan">
      <formula>-30</formula>
    </cfRule>
    <cfRule type="cellIs" dxfId="1414" priority="174" stopIfTrue="1" operator="between">
      <formula>-33</formula>
      <formula>-30</formula>
    </cfRule>
  </conditionalFormatting>
  <conditionalFormatting sqref="BA8">
    <cfRule type="containsBlanks" priority="169" stopIfTrue="1">
      <formula>LEN(TRIM(BA8))=0</formula>
    </cfRule>
    <cfRule type="cellIs" dxfId="1413" priority="170" stopIfTrue="1" operator="greaterThan">
      <formula>-30</formula>
    </cfRule>
    <cfRule type="cellIs" dxfId="1412" priority="171" stopIfTrue="1" operator="between">
      <formula>-33</formula>
      <formula>-30</formula>
    </cfRule>
  </conditionalFormatting>
  <conditionalFormatting sqref="BA9">
    <cfRule type="containsBlanks" priority="166" stopIfTrue="1">
      <formula>LEN(TRIM(BA9))=0</formula>
    </cfRule>
    <cfRule type="cellIs" dxfId="1411" priority="167" stopIfTrue="1" operator="greaterThan">
      <formula>-30</formula>
    </cfRule>
    <cfRule type="cellIs" dxfId="1410" priority="168" stopIfTrue="1" operator="between">
      <formula>-33</formula>
      <formula>-30</formula>
    </cfRule>
  </conditionalFormatting>
  <conditionalFormatting sqref="BJ7">
    <cfRule type="containsBlanks" priority="163" stopIfTrue="1">
      <formula>LEN(TRIM(BJ7))=0</formula>
    </cfRule>
    <cfRule type="cellIs" dxfId="1409" priority="164" stopIfTrue="1" operator="greaterThan">
      <formula>-30</formula>
    </cfRule>
    <cfRule type="cellIs" dxfId="1408" priority="165" stopIfTrue="1" operator="between">
      <formula>-33</formula>
      <formula>-30</formula>
    </cfRule>
  </conditionalFormatting>
  <conditionalFormatting sqref="BJ8">
    <cfRule type="containsBlanks" priority="160" stopIfTrue="1">
      <formula>LEN(TRIM(BJ8))=0</formula>
    </cfRule>
    <cfRule type="cellIs" dxfId="1407" priority="161" stopIfTrue="1" operator="greaterThan">
      <formula>-30</formula>
    </cfRule>
    <cfRule type="cellIs" dxfId="1406" priority="162" stopIfTrue="1" operator="between">
      <formula>-33</formula>
      <formula>-30</formula>
    </cfRule>
  </conditionalFormatting>
  <conditionalFormatting sqref="BJ9">
    <cfRule type="containsBlanks" priority="157" stopIfTrue="1">
      <formula>LEN(TRIM(BJ9))=0</formula>
    </cfRule>
    <cfRule type="cellIs" dxfId="1405" priority="158" stopIfTrue="1" operator="greaterThan">
      <formula>-30</formula>
    </cfRule>
    <cfRule type="cellIs" dxfId="1404" priority="159" stopIfTrue="1" operator="between">
      <formula>-33</formula>
      <formula>-30</formula>
    </cfRule>
  </conditionalFormatting>
  <conditionalFormatting sqref="BS7">
    <cfRule type="containsBlanks" priority="154" stopIfTrue="1">
      <formula>LEN(TRIM(BS7))=0</formula>
    </cfRule>
    <cfRule type="cellIs" dxfId="1403" priority="155" stopIfTrue="1" operator="greaterThan">
      <formula>-30</formula>
    </cfRule>
    <cfRule type="cellIs" dxfId="1402" priority="156" stopIfTrue="1" operator="between">
      <formula>-33</formula>
      <formula>-30</formula>
    </cfRule>
  </conditionalFormatting>
  <conditionalFormatting sqref="BS8">
    <cfRule type="containsBlanks" priority="151" stopIfTrue="1">
      <formula>LEN(TRIM(BS8))=0</formula>
    </cfRule>
    <cfRule type="cellIs" dxfId="1401" priority="152" stopIfTrue="1" operator="greaterThan">
      <formula>-30</formula>
    </cfRule>
    <cfRule type="cellIs" dxfId="1400" priority="153" stopIfTrue="1" operator="between">
      <formula>-33</formula>
      <formula>-30</formula>
    </cfRule>
  </conditionalFormatting>
  <conditionalFormatting sqref="BS9">
    <cfRule type="containsBlanks" priority="148" stopIfTrue="1">
      <formula>LEN(TRIM(BS9))=0</formula>
    </cfRule>
    <cfRule type="cellIs" dxfId="1399" priority="149" stopIfTrue="1" operator="greaterThan">
      <formula>-30</formula>
    </cfRule>
    <cfRule type="cellIs" dxfId="1398" priority="150" stopIfTrue="1" operator="between">
      <formula>-33</formula>
      <formula>-30</formula>
    </cfRule>
  </conditionalFormatting>
  <conditionalFormatting sqref="CB7">
    <cfRule type="containsBlanks" priority="145" stopIfTrue="1">
      <formula>LEN(TRIM(CB7))=0</formula>
    </cfRule>
    <cfRule type="cellIs" dxfId="1397" priority="146" stopIfTrue="1" operator="greaterThan">
      <formula>-30</formula>
    </cfRule>
    <cfRule type="cellIs" dxfId="1396" priority="147" stopIfTrue="1" operator="between">
      <formula>-33</formula>
      <formula>-30</formula>
    </cfRule>
  </conditionalFormatting>
  <conditionalFormatting sqref="CB8">
    <cfRule type="containsBlanks" priority="142" stopIfTrue="1">
      <formula>LEN(TRIM(CB8))=0</formula>
    </cfRule>
    <cfRule type="cellIs" dxfId="1395" priority="143" stopIfTrue="1" operator="greaterThan">
      <formula>-30</formula>
    </cfRule>
    <cfRule type="cellIs" dxfId="1394" priority="144" stopIfTrue="1" operator="between">
      <formula>-33</formula>
      <formula>-30</formula>
    </cfRule>
  </conditionalFormatting>
  <conditionalFormatting sqref="CB9">
    <cfRule type="containsBlanks" priority="139" stopIfTrue="1">
      <formula>LEN(TRIM(CB9))=0</formula>
    </cfRule>
    <cfRule type="cellIs" dxfId="1393" priority="140" stopIfTrue="1" operator="greaterThan">
      <formula>-30</formula>
    </cfRule>
    <cfRule type="cellIs" dxfId="1392" priority="141" stopIfTrue="1" operator="between">
      <formula>-33</formula>
      <formula>-30</formula>
    </cfRule>
  </conditionalFormatting>
  <conditionalFormatting sqref="H10">
    <cfRule type="containsBlanks" priority="136" stopIfTrue="1">
      <formula>LEN(TRIM(H10))=0</formula>
    </cfRule>
    <cfRule type="cellIs" dxfId="1391" priority="137" stopIfTrue="1" operator="greaterThan">
      <formula>-30</formula>
    </cfRule>
    <cfRule type="cellIs" dxfId="1390" priority="138" stopIfTrue="1" operator="between">
      <formula>-33</formula>
      <formula>-30</formula>
    </cfRule>
  </conditionalFormatting>
  <conditionalFormatting sqref="H11">
    <cfRule type="containsBlanks" priority="133" stopIfTrue="1">
      <formula>LEN(TRIM(H11))=0</formula>
    </cfRule>
    <cfRule type="cellIs" dxfId="1389" priority="134" stopIfTrue="1" operator="greaterThan">
      <formula>-30</formula>
    </cfRule>
    <cfRule type="cellIs" dxfId="1388" priority="135" stopIfTrue="1" operator="between">
      <formula>-33</formula>
      <formula>-30</formula>
    </cfRule>
  </conditionalFormatting>
  <conditionalFormatting sqref="Q10">
    <cfRule type="containsBlanks" priority="130" stopIfTrue="1">
      <formula>LEN(TRIM(Q10))=0</formula>
    </cfRule>
    <cfRule type="cellIs" dxfId="1387" priority="131" stopIfTrue="1" operator="greaterThan">
      <formula>-30</formula>
    </cfRule>
    <cfRule type="cellIs" dxfId="1386" priority="132" stopIfTrue="1" operator="between">
      <formula>-33</formula>
      <formula>-30</formula>
    </cfRule>
  </conditionalFormatting>
  <conditionalFormatting sqref="Q11:Q18">
    <cfRule type="containsBlanks" priority="127" stopIfTrue="1">
      <formula>LEN(TRIM(Q11))=0</formula>
    </cfRule>
    <cfRule type="cellIs" dxfId="1385" priority="128" stopIfTrue="1" operator="greaterThan">
      <formula>-30</formula>
    </cfRule>
    <cfRule type="cellIs" dxfId="1384" priority="129" stopIfTrue="1" operator="between">
      <formula>-33</formula>
      <formula>-30</formula>
    </cfRule>
  </conditionalFormatting>
  <conditionalFormatting sqref="Z10">
    <cfRule type="containsBlanks" priority="124" stopIfTrue="1">
      <formula>LEN(TRIM(Z10))=0</formula>
    </cfRule>
    <cfRule type="cellIs" dxfId="1383" priority="125" stopIfTrue="1" operator="greaterThan">
      <formula>-30</formula>
    </cfRule>
    <cfRule type="cellIs" dxfId="1382" priority="126" stopIfTrue="1" operator="between">
      <formula>-33</formula>
      <formula>-30</formula>
    </cfRule>
  </conditionalFormatting>
  <conditionalFormatting sqref="Z11:Z18">
    <cfRule type="containsBlanks" priority="121" stopIfTrue="1">
      <formula>LEN(TRIM(Z11))=0</formula>
    </cfRule>
    <cfRule type="cellIs" dxfId="1381" priority="122" stopIfTrue="1" operator="greaterThan">
      <formula>-30</formula>
    </cfRule>
    <cfRule type="cellIs" dxfId="1380" priority="123" stopIfTrue="1" operator="between">
      <formula>-33</formula>
      <formula>-30</formula>
    </cfRule>
  </conditionalFormatting>
  <conditionalFormatting sqref="AI10">
    <cfRule type="containsBlanks" priority="118" stopIfTrue="1">
      <formula>LEN(TRIM(AI10))=0</formula>
    </cfRule>
    <cfRule type="cellIs" dxfId="1379" priority="119" stopIfTrue="1" operator="greaterThan">
      <formula>-30</formula>
    </cfRule>
    <cfRule type="cellIs" dxfId="1378" priority="120" stopIfTrue="1" operator="between">
      <formula>-33</formula>
      <formula>-30</formula>
    </cfRule>
  </conditionalFormatting>
  <conditionalFormatting sqref="AI11:AI18">
    <cfRule type="containsBlanks" priority="115" stopIfTrue="1">
      <formula>LEN(TRIM(AI11))=0</formula>
    </cfRule>
    <cfRule type="cellIs" dxfId="1377" priority="116" stopIfTrue="1" operator="greaterThan">
      <formula>-30</formula>
    </cfRule>
    <cfRule type="cellIs" dxfId="1376" priority="117" stopIfTrue="1" operator="between">
      <formula>-33</formula>
      <formula>-30</formula>
    </cfRule>
  </conditionalFormatting>
  <conditionalFormatting sqref="AR10">
    <cfRule type="containsBlanks" priority="112" stopIfTrue="1">
      <formula>LEN(TRIM(AR10))=0</formula>
    </cfRule>
    <cfRule type="cellIs" dxfId="1375" priority="113" stopIfTrue="1" operator="greaterThan">
      <formula>-30</formula>
    </cfRule>
    <cfRule type="cellIs" dxfId="1374" priority="114" stopIfTrue="1" operator="between">
      <formula>-33</formula>
      <formula>-30</formula>
    </cfRule>
  </conditionalFormatting>
  <conditionalFormatting sqref="AR11:AR18">
    <cfRule type="containsBlanks" priority="109" stopIfTrue="1">
      <formula>LEN(TRIM(AR11))=0</formula>
    </cfRule>
    <cfRule type="cellIs" dxfId="1373" priority="110" stopIfTrue="1" operator="greaterThan">
      <formula>-30</formula>
    </cfRule>
    <cfRule type="cellIs" dxfId="1372" priority="111" stopIfTrue="1" operator="between">
      <formula>-33</formula>
      <formula>-30</formula>
    </cfRule>
  </conditionalFormatting>
  <conditionalFormatting sqref="BA10">
    <cfRule type="containsBlanks" priority="106" stopIfTrue="1">
      <formula>LEN(TRIM(BA10))=0</formula>
    </cfRule>
    <cfRule type="cellIs" dxfId="1371" priority="107" stopIfTrue="1" operator="greaterThan">
      <formula>-30</formula>
    </cfRule>
    <cfRule type="cellIs" dxfId="1370" priority="108" stopIfTrue="1" operator="between">
      <formula>-33</formula>
      <formula>-30</formula>
    </cfRule>
  </conditionalFormatting>
  <conditionalFormatting sqref="BA11:BA18">
    <cfRule type="containsBlanks" priority="103" stopIfTrue="1">
      <formula>LEN(TRIM(BA11))=0</formula>
    </cfRule>
    <cfRule type="cellIs" dxfId="1369" priority="104" stopIfTrue="1" operator="greaterThan">
      <formula>-30</formula>
    </cfRule>
    <cfRule type="cellIs" dxfId="1368" priority="105" stopIfTrue="1" operator="between">
      <formula>-33</formula>
      <formula>-30</formula>
    </cfRule>
  </conditionalFormatting>
  <conditionalFormatting sqref="Z19">
    <cfRule type="containsBlanks" priority="37" stopIfTrue="1">
      <formula>LEN(TRIM(Z19))=0</formula>
    </cfRule>
    <cfRule type="cellIs" dxfId="1367" priority="38" stopIfTrue="1" operator="greaterThan">
      <formula>-30</formula>
    </cfRule>
    <cfRule type="cellIs" dxfId="1366" priority="39" stopIfTrue="1" operator="between">
      <formula>-33</formula>
      <formula>-30</formula>
    </cfRule>
  </conditionalFormatting>
  <conditionalFormatting sqref="Q19">
    <cfRule type="containsBlanks" priority="40" stopIfTrue="1">
      <formula>LEN(TRIM(Q19))=0</formula>
    </cfRule>
    <cfRule type="cellIs" dxfId="1365" priority="41" stopIfTrue="1" operator="greaterThan">
      <formula>-30</formula>
    </cfRule>
    <cfRule type="cellIs" dxfId="1364" priority="42" stopIfTrue="1" operator="between">
      <formula>-33</formula>
      <formula>-30</formula>
    </cfRule>
  </conditionalFormatting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CU11"/>
  <sheetViews>
    <sheetView topLeftCell="BP1" zoomScale="80" zoomScaleNormal="80" workbookViewId="0">
      <selection activeCell="CB7" sqref="CB7:CB16"/>
    </sheetView>
  </sheetViews>
  <sheetFormatPr defaultRowHeight="13.5"/>
  <cols>
    <col min="3" max="3" width="9.875" bestFit="1" customWidth="1"/>
    <col min="4" max="4" width="9" customWidth="1"/>
    <col min="9" max="9" width="7.625" bestFit="1" customWidth="1"/>
    <col min="10" max="10" width="7.75" bestFit="1" customWidth="1"/>
    <col min="11" max="11" width="8" bestFit="1" customWidth="1"/>
    <col min="12" max="12" width="9.875" bestFit="1" customWidth="1"/>
    <col min="18" max="18" width="7.625" bestFit="1" customWidth="1"/>
    <col min="19" max="19" width="7.75" bestFit="1" customWidth="1"/>
    <col min="20" max="20" width="8" bestFit="1" customWidth="1"/>
    <col min="21" max="21" width="9.875" bestFit="1" customWidth="1"/>
    <col min="27" max="27" width="7.625" bestFit="1" customWidth="1"/>
    <col min="259" max="259" width="9.875" bestFit="1" customWidth="1"/>
    <col min="260" max="260" width="9" customWidth="1"/>
    <col min="265" max="265" width="7.625" bestFit="1" customWidth="1"/>
    <col min="266" max="266" width="7.75" bestFit="1" customWidth="1"/>
    <col min="267" max="267" width="8" bestFit="1" customWidth="1"/>
    <col min="268" max="268" width="9.875" bestFit="1" customWidth="1"/>
    <col min="274" max="274" width="7.625" bestFit="1" customWidth="1"/>
    <col min="275" max="275" width="7.75" bestFit="1" customWidth="1"/>
    <col min="276" max="276" width="8" bestFit="1" customWidth="1"/>
    <col min="277" max="277" width="9.875" bestFit="1" customWidth="1"/>
    <col min="283" max="283" width="7.625" bestFit="1" customWidth="1"/>
    <col min="515" max="515" width="9.875" bestFit="1" customWidth="1"/>
    <col min="516" max="516" width="9" customWidth="1"/>
    <col min="521" max="521" width="7.625" bestFit="1" customWidth="1"/>
    <col min="522" max="522" width="7.75" bestFit="1" customWidth="1"/>
    <col min="523" max="523" width="8" bestFit="1" customWidth="1"/>
    <col min="524" max="524" width="9.875" bestFit="1" customWidth="1"/>
    <col min="530" max="530" width="7.625" bestFit="1" customWidth="1"/>
    <col min="531" max="531" width="7.75" bestFit="1" customWidth="1"/>
    <col min="532" max="532" width="8" bestFit="1" customWidth="1"/>
    <col min="533" max="533" width="9.875" bestFit="1" customWidth="1"/>
    <col min="539" max="539" width="7.625" bestFit="1" customWidth="1"/>
    <col min="771" max="771" width="9.875" bestFit="1" customWidth="1"/>
    <col min="772" max="772" width="9" customWidth="1"/>
    <col min="777" max="777" width="7.625" bestFit="1" customWidth="1"/>
    <col min="778" max="778" width="7.75" bestFit="1" customWidth="1"/>
    <col min="779" max="779" width="8" bestFit="1" customWidth="1"/>
    <col min="780" max="780" width="9.875" bestFit="1" customWidth="1"/>
    <col min="786" max="786" width="7.625" bestFit="1" customWidth="1"/>
    <col min="787" max="787" width="7.75" bestFit="1" customWidth="1"/>
    <col min="788" max="788" width="8" bestFit="1" customWidth="1"/>
    <col min="789" max="789" width="9.875" bestFit="1" customWidth="1"/>
    <col min="795" max="795" width="7.625" bestFit="1" customWidth="1"/>
    <col min="1027" max="1027" width="9.875" bestFit="1" customWidth="1"/>
    <col min="1028" max="1028" width="9" customWidth="1"/>
    <col min="1033" max="1033" width="7.625" bestFit="1" customWidth="1"/>
    <col min="1034" max="1034" width="7.75" bestFit="1" customWidth="1"/>
    <col min="1035" max="1035" width="8" bestFit="1" customWidth="1"/>
    <col min="1036" max="1036" width="9.875" bestFit="1" customWidth="1"/>
    <col min="1042" max="1042" width="7.625" bestFit="1" customWidth="1"/>
    <col min="1043" max="1043" width="7.75" bestFit="1" customWidth="1"/>
    <col min="1044" max="1044" width="8" bestFit="1" customWidth="1"/>
    <col min="1045" max="1045" width="9.875" bestFit="1" customWidth="1"/>
    <col min="1051" max="1051" width="7.625" bestFit="1" customWidth="1"/>
    <col min="1283" max="1283" width="9.875" bestFit="1" customWidth="1"/>
    <col min="1284" max="1284" width="9" customWidth="1"/>
    <col min="1289" max="1289" width="7.625" bestFit="1" customWidth="1"/>
    <col min="1290" max="1290" width="7.75" bestFit="1" customWidth="1"/>
    <col min="1291" max="1291" width="8" bestFit="1" customWidth="1"/>
    <col min="1292" max="1292" width="9.875" bestFit="1" customWidth="1"/>
    <col min="1298" max="1298" width="7.625" bestFit="1" customWidth="1"/>
    <col min="1299" max="1299" width="7.75" bestFit="1" customWidth="1"/>
    <col min="1300" max="1300" width="8" bestFit="1" customWidth="1"/>
    <col min="1301" max="1301" width="9.875" bestFit="1" customWidth="1"/>
    <col min="1307" max="1307" width="7.625" bestFit="1" customWidth="1"/>
    <col min="1539" max="1539" width="9.875" bestFit="1" customWidth="1"/>
    <col min="1540" max="1540" width="9" customWidth="1"/>
    <col min="1545" max="1545" width="7.625" bestFit="1" customWidth="1"/>
    <col min="1546" max="1546" width="7.75" bestFit="1" customWidth="1"/>
    <col min="1547" max="1547" width="8" bestFit="1" customWidth="1"/>
    <col min="1548" max="1548" width="9.875" bestFit="1" customWidth="1"/>
    <col min="1554" max="1554" width="7.625" bestFit="1" customWidth="1"/>
    <col min="1555" max="1555" width="7.75" bestFit="1" customWidth="1"/>
    <col min="1556" max="1556" width="8" bestFit="1" customWidth="1"/>
    <col min="1557" max="1557" width="9.875" bestFit="1" customWidth="1"/>
    <col min="1563" max="1563" width="7.625" bestFit="1" customWidth="1"/>
    <col min="1795" max="1795" width="9.875" bestFit="1" customWidth="1"/>
    <col min="1796" max="1796" width="9" customWidth="1"/>
    <col min="1801" max="1801" width="7.625" bestFit="1" customWidth="1"/>
    <col min="1802" max="1802" width="7.75" bestFit="1" customWidth="1"/>
    <col min="1803" max="1803" width="8" bestFit="1" customWidth="1"/>
    <col min="1804" max="1804" width="9.875" bestFit="1" customWidth="1"/>
    <col min="1810" max="1810" width="7.625" bestFit="1" customWidth="1"/>
    <col min="1811" max="1811" width="7.75" bestFit="1" customWidth="1"/>
    <col min="1812" max="1812" width="8" bestFit="1" customWidth="1"/>
    <col min="1813" max="1813" width="9.875" bestFit="1" customWidth="1"/>
    <col min="1819" max="1819" width="7.625" bestFit="1" customWidth="1"/>
    <col min="2051" max="2051" width="9.875" bestFit="1" customWidth="1"/>
    <col min="2052" max="2052" width="9" customWidth="1"/>
    <col min="2057" max="2057" width="7.625" bestFit="1" customWidth="1"/>
    <col min="2058" max="2058" width="7.75" bestFit="1" customWidth="1"/>
    <col min="2059" max="2059" width="8" bestFit="1" customWidth="1"/>
    <col min="2060" max="2060" width="9.875" bestFit="1" customWidth="1"/>
    <col min="2066" max="2066" width="7.625" bestFit="1" customWidth="1"/>
    <col min="2067" max="2067" width="7.75" bestFit="1" customWidth="1"/>
    <col min="2068" max="2068" width="8" bestFit="1" customWidth="1"/>
    <col min="2069" max="2069" width="9.875" bestFit="1" customWidth="1"/>
    <col min="2075" max="2075" width="7.625" bestFit="1" customWidth="1"/>
    <col min="2307" max="2307" width="9.875" bestFit="1" customWidth="1"/>
    <col min="2308" max="2308" width="9" customWidth="1"/>
    <col min="2313" max="2313" width="7.625" bestFit="1" customWidth="1"/>
    <col min="2314" max="2314" width="7.75" bestFit="1" customWidth="1"/>
    <col min="2315" max="2315" width="8" bestFit="1" customWidth="1"/>
    <col min="2316" max="2316" width="9.875" bestFit="1" customWidth="1"/>
    <col min="2322" max="2322" width="7.625" bestFit="1" customWidth="1"/>
    <col min="2323" max="2323" width="7.75" bestFit="1" customWidth="1"/>
    <col min="2324" max="2324" width="8" bestFit="1" customWidth="1"/>
    <col min="2325" max="2325" width="9.875" bestFit="1" customWidth="1"/>
    <col min="2331" max="2331" width="7.625" bestFit="1" customWidth="1"/>
    <col min="2563" max="2563" width="9.875" bestFit="1" customWidth="1"/>
    <col min="2564" max="2564" width="9" customWidth="1"/>
    <col min="2569" max="2569" width="7.625" bestFit="1" customWidth="1"/>
    <col min="2570" max="2570" width="7.75" bestFit="1" customWidth="1"/>
    <col min="2571" max="2571" width="8" bestFit="1" customWidth="1"/>
    <col min="2572" max="2572" width="9.875" bestFit="1" customWidth="1"/>
    <col min="2578" max="2578" width="7.625" bestFit="1" customWidth="1"/>
    <col min="2579" max="2579" width="7.75" bestFit="1" customWidth="1"/>
    <col min="2580" max="2580" width="8" bestFit="1" customWidth="1"/>
    <col min="2581" max="2581" width="9.875" bestFit="1" customWidth="1"/>
    <col min="2587" max="2587" width="7.625" bestFit="1" customWidth="1"/>
    <col min="2819" max="2819" width="9.875" bestFit="1" customWidth="1"/>
    <col min="2820" max="2820" width="9" customWidth="1"/>
    <col min="2825" max="2825" width="7.625" bestFit="1" customWidth="1"/>
    <col min="2826" max="2826" width="7.75" bestFit="1" customWidth="1"/>
    <col min="2827" max="2827" width="8" bestFit="1" customWidth="1"/>
    <col min="2828" max="2828" width="9.875" bestFit="1" customWidth="1"/>
    <col min="2834" max="2834" width="7.625" bestFit="1" customWidth="1"/>
    <col min="2835" max="2835" width="7.75" bestFit="1" customWidth="1"/>
    <col min="2836" max="2836" width="8" bestFit="1" customWidth="1"/>
    <col min="2837" max="2837" width="9.875" bestFit="1" customWidth="1"/>
    <col min="2843" max="2843" width="7.625" bestFit="1" customWidth="1"/>
    <col min="3075" max="3075" width="9.875" bestFit="1" customWidth="1"/>
    <col min="3076" max="3076" width="9" customWidth="1"/>
    <col min="3081" max="3081" width="7.625" bestFit="1" customWidth="1"/>
    <col min="3082" max="3082" width="7.75" bestFit="1" customWidth="1"/>
    <col min="3083" max="3083" width="8" bestFit="1" customWidth="1"/>
    <col min="3084" max="3084" width="9.875" bestFit="1" customWidth="1"/>
    <col min="3090" max="3090" width="7.625" bestFit="1" customWidth="1"/>
    <col min="3091" max="3091" width="7.75" bestFit="1" customWidth="1"/>
    <col min="3092" max="3092" width="8" bestFit="1" customWidth="1"/>
    <col min="3093" max="3093" width="9.875" bestFit="1" customWidth="1"/>
    <col min="3099" max="3099" width="7.625" bestFit="1" customWidth="1"/>
    <col min="3331" max="3331" width="9.875" bestFit="1" customWidth="1"/>
    <col min="3332" max="3332" width="9" customWidth="1"/>
    <col min="3337" max="3337" width="7.625" bestFit="1" customWidth="1"/>
    <col min="3338" max="3338" width="7.75" bestFit="1" customWidth="1"/>
    <col min="3339" max="3339" width="8" bestFit="1" customWidth="1"/>
    <col min="3340" max="3340" width="9.875" bestFit="1" customWidth="1"/>
    <col min="3346" max="3346" width="7.625" bestFit="1" customWidth="1"/>
    <col min="3347" max="3347" width="7.75" bestFit="1" customWidth="1"/>
    <col min="3348" max="3348" width="8" bestFit="1" customWidth="1"/>
    <col min="3349" max="3349" width="9.875" bestFit="1" customWidth="1"/>
    <col min="3355" max="3355" width="7.625" bestFit="1" customWidth="1"/>
    <col min="3587" max="3587" width="9.875" bestFit="1" customWidth="1"/>
    <col min="3588" max="3588" width="9" customWidth="1"/>
    <col min="3593" max="3593" width="7.625" bestFit="1" customWidth="1"/>
    <col min="3594" max="3594" width="7.75" bestFit="1" customWidth="1"/>
    <col min="3595" max="3595" width="8" bestFit="1" customWidth="1"/>
    <col min="3596" max="3596" width="9.875" bestFit="1" customWidth="1"/>
    <col min="3602" max="3602" width="7.625" bestFit="1" customWidth="1"/>
    <col min="3603" max="3603" width="7.75" bestFit="1" customWidth="1"/>
    <col min="3604" max="3604" width="8" bestFit="1" customWidth="1"/>
    <col min="3605" max="3605" width="9.875" bestFit="1" customWidth="1"/>
    <col min="3611" max="3611" width="7.625" bestFit="1" customWidth="1"/>
    <col min="3843" max="3843" width="9.875" bestFit="1" customWidth="1"/>
    <col min="3844" max="3844" width="9" customWidth="1"/>
    <col min="3849" max="3849" width="7.625" bestFit="1" customWidth="1"/>
    <col min="3850" max="3850" width="7.75" bestFit="1" customWidth="1"/>
    <col min="3851" max="3851" width="8" bestFit="1" customWidth="1"/>
    <col min="3852" max="3852" width="9.875" bestFit="1" customWidth="1"/>
    <col min="3858" max="3858" width="7.625" bestFit="1" customWidth="1"/>
    <col min="3859" max="3859" width="7.75" bestFit="1" customWidth="1"/>
    <col min="3860" max="3860" width="8" bestFit="1" customWidth="1"/>
    <col min="3861" max="3861" width="9.875" bestFit="1" customWidth="1"/>
    <col min="3867" max="3867" width="7.625" bestFit="1" customWidth="1"/>
    <col min="4099" max="4099" width="9.875" bestFit="1" customWidth="1"/>
    <col min="4100" max="4100" width="9" customWidth="1"/>
    <col min="4105" max="4105" width="7.625" bestFit="1" customWidth="1"/>
    <col min="4106" max="4106" width="7.75" bestFit="1" customWidth="1"/>
    <col min="4107" max="4107" width="8" bestFit="1" customWidth="1"/>
    <col min="4108" max="4108" width="9.875" bestFit="1" customWidth="1"/>
    <col min="4114" max="4114" width="7.625" bestFit="1" customWidth="1"/>
    <col min="4115" max="4115" width="7.75" bestFit="1" customWidth="1"/>
    <col min="4116" max="4116" width="8" bestFit="1" customWidth="1"/>
    <col min="4117" max="4117" width="9.875" bestFit="1" customWidth="1"/>
    <col min="4123" max="4123" width="7.625" bestFit="1" customWidth="1"/>
    <col min="4355" max="4355" width="9.875" bestFit="1" customWidth="1"/>
    <col min="4356" max="4356" width="9" customWidth="1"/>
    <col min="4361" max="4361" width="7.625" bestFit="1" customWidth="1"/>
    <col min="4362" max="4362" width="7.75" bestFit="1" customWidth="1"/>
    <col min="4363" max="4363" width="8" bestFit="1" customWidth="1"/>
    <col min="4364" max="4364" width="9.875" bestFit="1" customWidth="1"/>
    <col min="4370" max="4370" width="7.625" bestFit="1" customWidth="1"/>
    <col min="4371" max="4371" width="7.75" bestFit="1" customWidth="1"/>
    <col min="4372" max="4372" width="8" bestFit="1" customWidth="1"/>
    <col min="4373" max="4373" width="9.875" bestFit="1" customWidth="1"/>
    <col min="4379" max="4379" width="7.625" bestFit="1" customWidth="1"/>
    <col min="4611" max="4611" width="9.875" bestFit="1" customWidth="1"/>
    <col min="4612" max="4612" width="9" customWidth="1"/>
    <col min="4617" max="4617" width="7.625" bestFit="1" customWidth="1"/>
    <col min="4618" max="4618" width="7.75" bestFit="1" customWidth="1"/>
    <col min="4619" max="4619" width="8" bestFit="1" customWidth="1"/>
    <col min="4620" max="4620" width="9.875" bestFit="1" customWidth="1"/>
    <col min="4626" max="4626" width="7.625" bestFit="1" customWidth="1"/>
    <col min="4627" max="4627" width="7.75" bestFit="1" customWidth="1"/>
    <col min="4628" max="4628" width="8" bestFit="1" customWidth="1"/>
    <col min="4629" max="4629" width="9.875" bestFit="1" customWidth="1"/>
    <col min="4635" max="4635" width="7.625" bestFit="1" customWidth="1"/>
    <col min="4867" max="4867" width="9.875" bestFit="1" customWidth="1"/>
    <col min="4868" max="4868" width="9" customWidth="1"/>
    <col min="4873" max="4873" width="7.625" bestFit="1" customWidth="1"/>
    <col min="4874" max="4874" width="7.75" bestFit="1" customWidth="1"/>
    <col min="4875" max="4875" width="8" bestFit="1" customWidth="1"/>
    <col min="4876" max="4876" width="9.875" bestFit="1" customWidth="1"/>
    <col min="4882" max="4882" width="7.625" bestFit="1" customWidth="1"/>
    <col min="4883" max="4883" width="7.75" bestFit="1" customWidth="1"/>
    <col min="4884" max="4884" width="8" bestFit="1" customWidth="1"/>
    <col min="4885" max="4885" width="9.875" bestFit="1" customWidth="1"/>
    <col min="4891" max="4891" width="7.625" bestFit="1" customWidth="1"/>
    <col min="5123" max="5123" width="9.875" bestFit="1" customWidth="1"/>
    <col min="5124" max="5124" width="9" customWidth="1"/>
    <col min="5129" max="5129" width="7.625" bestFit="1" customWidth="1"/>
    <col min="5130" max="5130" width="7.75" bestFit="1" customWidth="1"/>
    <col min="5131" max="5131" width="8" bestFit="1" customWidth="1"/>
    <col min="5132" max="5132" width="9.875" bestFit="1" customWidth="1"/>
    <col min="5138" max="5138" width="7.625" bestFit="1" customWidth="1"/>
    <col min="5139" max="5139" width="7.75" bestFit="1" customWidth="1"/>
    <col min="5140" max="5140" width="8" bestFit="1" customWidth="1"/>
    <col min="5141" max="5141" width="9.875" bestFit="1" customWidth="1"/>
    <col min="5147" max="5147" width="7.625" bestFit="1" customWidth="1"/>
    <col min="5379" max="5379" width="9.875" bestFit="1" customWidth="1"/>
    <col min="5380" max="5380" width="9" customWidth="1"/>
    <col min="5385" max="5385" width="7.625" bestFit="1" customWidth="1"/>
    <col min="5386" max="5386" width="7.75" bestFit="1" customWidth="1"/>
    <col min="5387" max="5387" width="8" bestFit="1" customWidth="1"/>
    <col min="5388" max="5388" width="9.875" bestFit="1" customWidth="1"/>
    <col min="5394" max="5394" width="7.625" bestFit="1" customWidth="1"/>
    <col min="5395" max="5395" width="7.75" bestFit="1" customWidth="1"/>
    <col min="5396" max="5396" width="8" bestFit="1" customWidth="1"/>
    <col min="5397" max="5397" width="9.875" bestFit="1" customWidth="1"/>
    <col min="5403" max="5403" width="7.625" bestFit="1" customWidth="1"/>
    <col min="5635" max="5635" width="9.875" bestFit="1" customWidth="1"/>
    <col min="5636" max="5636" width="9" customWidth="1"/>
    <col min="5641" max="5641" width="7.625" bestFit="1" customWidth="1"/>
    <col min="5642" max="5642" width="7.75" bestFit="1" customWidth="1"/>
    <col min="5643" max="5643" width="8" bestFit="1" customWidth="1"/>
    <col min="5644" max="5644" width="9.875" bestFit="1" customWidth="1"/>
    <col min="5650" max="5650" width="7.625" bestFit="1" customWidth="1"/>
    <col min="5651" max="5651" width="7.75" bestFit="1" customWidth="1"/>
    <col min="5652" max="5652" width="8" bestFit="1" customWidth="1"/>
    <col min="5653" max="5653" width="9.875" bestFit="1" customWidth="1"/>
    <col min="5659" max="5659" width="7.625" bestFit="1" customWidth="1"/>
    <col min="5891" max="5891" width="9.875" bestFit="1" customWidth="1"/>
    <col min="5892" max="5892" width="9" customWidth="1"/>
    <col min="5897" max="5897" width="7.625" bestFit="1" customWidth="1"/>
    <col min="5898" max="5898" width="7.75" bestFit="1" customWidth="1"/>
    <col min="5899" max="5899" width="8" bestFit="1" customWidth="1"/>
    <col min="5900" max="5900" width="9.875" bestFit="1" customWidth="1"/>
    <col min="5906" max="5906" width="7.625" bestFit="1" customWidth="1"/>
    <col min="5907" max="5907" width="7.75" bestFit="1" customWidth="1"/>
    <col min="5908" max="5908" width="8" bestFit="1" customWidth="1"/>
    <col min="5909" max="5909" width="9.875" bestFit="1" customWidth="1"/>
    <col min="5915" max="5915" width="7.625" bestFit="1" customWidth="1"/>
    <col min="6147" max="6147" width="9.875" bestFit="1" customWidth="1"/>
    <col min="6148" max="6148" width="9" customWidth="1"/>
    <col min="6153" max="6153" width="7.625" bestFit="1" customWidth="1"/>
    <col min="6154" max="6154" width="7.75" bestFit="1" customWidth="1"/>
    <col min="6155" max="6155" width="8" bestFit="1" customWidth="1"/>
    <col min="6156" max="6156" width="9.875" bestFit="1" customWidth="1"/>
    <col min="6162" max="6162" width="7.625" bestFit="1" customWidth="1"/>
    <col min="6163" max="6163" width="7.75" bestFit="1" customWidth="1"/>
    <col min="6164" max="6164" width="8" bestFit="1" customWidth="1"/>
    <col min="6165" max="6165" width="9.875" bestFit="1" customWidth="1"/>
    <col min="6171" max="6171" width="7.625" bestFit="1" customWidth="1"/>
    <col min="6403" max="6403" width="9.875" bestFit="1" customWidth="1"/>
    <col min="6404" max="6404" width="9" customWidth="1"/>
    <col min="6409" max="6409" width="7.625" bestFit="1" customWidth="1"/>
    <col min="6410" max="6410" width="7.75" bestFit="1" customWidth="1"/>
    <col min="6411" max="6411" width="8" bestFit="1" customWidth="1"/>
    <col min="6412" max="6412" width="9.875" bestFit="1" customWidth="1"/>
    <col min="6418" max="6418" width="7.625" bestFit="1" customWidth="1"/>
    <col min="6419" max="6419" width="7.75" bestFit="1" customWidth="1"/>
    <col min="6420" max="6420" width="8" bestFit="1" customWidth="1"/>
    <col min="6421" max="6421" width="9.875" bestFit="1" customWidth="1"/>
    <col min="6427" max="6427" width="7.625" bestFit="1" customWidth="1"/>
    <col min="6659" max="6659" width="9.875" bestFit="1" customWidth="1"/>
    <col min="6660" max="6660" width="9" customWidth="1"/>
    <col min="6665" max="6665" width="7.625" bestFit="1" customWidth="1"/>
    <col min="6666" max="6666" width="7.75" bestFit="1" customWidth="1"/>
    <col min="6667" max="6667" width="8" bestFit="1" customWidth="1"/>
    <col min="6668" max="6668" width="9.875" bestFit="1" customWidth="1"/>
    <col min="6674" max="6674" width="7.625" bestFit="1" customWidth="1"/>
    <col min="6675" max="6675" width="7.75" bestFit="1" customWidth="1"/>
    <col min="6676" max="6676" width="8" bestFit="1" customWidth="1"/>
    <col min="6677" max="6677" width="9.875" bestFit="1" customWidth="1"/>
    <col min="6683" max="6683" width="7.625" bestFit="1" customWidth="1"/>
    <col min="6915" max="6915" width="9.875" bestFit="1" customWidth="1"/>
    <col min="6916" max="6916" width="9" customWidth="1"/>
    <col min="6921" max="6921" width="7.625" bestFit="1" customWidth="1"/>
    <col min="6922" max="6922" width="7.75" bestFit="1" customWidth="1"/>
    <col min="6923" max="6923" width="8" bestFit="1" customWidth="1"/>
    <col min="6924" max="6924" width="9.875" bestFit="1" customWidth="1"/>
    <col min="6930" max="6930" width="7.625" bestFit="1" customWidth="1"/>
    <col min="6931" max="6931" width="7.75" bestFit="1" customWidth="1"/>
    <col min="6932" max="6932" width="8" bestFit="1" customWidth="1"/>
    <col min="6933" max="6933" width="9.875" bestFit="1" customWidth="1"/>
    <col min="6939" max="6939" width="7.625" bestFit="1" customWidth="1"/>
    <col min="7171" max="7171" width="9.875" bestFit="1" customWidth="1"/>
    <col min="7172" max="7172" width="9" customWidth="1"/>
    <col min="7177" max="7177" width="7.625" bestFit="1" customWidth="1"/>
    <col min="7178" max="7178" width="7.75" bestFit="1" customWidth="1"/>
    <col min="7179" max="7179" width="8" bestFit="1" customWidth="1"/>
    <col min="7180" max="7180" width="9.875" bestFit="1" customWidth="1"/>
    <col min="7186" max="7186" width="7.625" bestFit="1" customWidth="1"/>
    <col min="7187" max="7187" width="7.75" bestFit="1" customWidth="1"/>
    <col min="7188" max="7188" width="8" bestFit="1" customWidth="1"/>
    <col min="7189" max="7189" width="9.875" bestFit="1" customWidth="1"/>
    <col min="7195" max="7195" width="7.625" bestFit="1" customWidth="1"/>
    <col min="7427" max="7427" width="9.875" bestFit="1" customWidth="1"/>
    <col min="7428" max="7428" width="9" customWidth="1"/>
    <col min="7433" max="7433" width="7.625" bestFit="1" customWidth="1"/>
    <col min="7434" max="7434" width="7.75" bestFit="1" customWidth="1"/>
    <col min="7435" max="7435" width="8" bestFit="1" customWidth="1"/>
    <col min="7436" max="7436" width="9.875" bestFit="1" customWidth="1"/>
    <col min="7442" max="7442" width="7.625" bestFit="1" customWidth="1"/>
    <col min="7443" max="7443" width="7.75" bestFit="1" customWidth="1"/>
    <col min="7444" max="7444" width="8" bestFit="1" customWidth="1"/>
    <col min="7445" max="7445" width="9.875" bestFit="1" customWidth="1"/>
    <col min="7451" max="7451" width="7.625" bestFit="1" customWidth="1"/>
    <col min="7683" max="7683" width="9.875" bestFit="1" customWidth="1"/>
    <col min="7684" max="7684" width="9" customWidth="1"/>
    <col min="7689" max="7689" width="7.625" bestFit="1" customWidth="1"/>
    <col min="7690" max="7690" width="7.75" bestFit="1" customWidth="1"/>
    <col min="7691" max="7691" width="8" bestFit="1" customWidth="1"/>
    <col min="7692" max="7692" width="9.875" bestFit="1" customWidth="1"/>
    <col min="7698" max="7698" width="7.625" bestFit="1" customWidth="1"/>
    <col min="7699" max="7699" width="7.75" bestFit="1" customWidth="1"/>
    <col min="7700" max="7700" width="8" bestFit="1" customWidth="1"/>
    <col min="7701" max="7701" width="9.875" bestFit="1" customWidth="1"/>
    <col min="7707" max="7707" width="7.625" bestFit="1" customWidth="1"/>
    <col min="7939" max="7939" width="9.875" bestFit="1" customWidth="1"/>
    <col min="7940" max="7940" width="9" customWidth="1"/>
    <col min="7945" max="7945" width="7.625" bestFit="1" customWidth="1"/>
    <col min="7946" max="7946" width="7.75" bestFit="1" customWidth="1"/>
    <col min="7947" max="7947" width="8" bestFit="1" customWidth="1"/>
    <col min="7948" max="7948" width="9.875" bestFit="1" customWidth="1"/>
    <col min="7954" max="7954" width="7.625" bestFit="1" customWidth="1"/>
    <col min="7955" max="7955" width="7.75" bestFit="1" customWidth="1"/>
    <col min="7956" max="7956" width="8" bestFit="1" customWidth="1"/>
    <col min="7957" max="7957" width="9.875" bestFit="1" customWidth="1"/>
    <col min="7963" max="7963" width="7.625" bestFit="1" customWidth="1"/>
    <col min="8195" max="8195" width="9.875" bestFit="1" customWidth="1"/>
    <col min="8196" max="8196" width="9" customWidth="1"/>
    <col min="8201" max="8201" width="7.625" bestFit="1" customWidth="1"/>
    <col min="8202" max="8202" width="7.75" bestFit="1" customWidth="1"/>
    <col min="8203" max="8203" width="8" bestFit="1" customWidth="1"/>
    <col min="8204" max="8204" width="9.875" bestFit="1" customWidth="1"/>
    <col min="8210" max="8210" width="7.625" bestFit="1" customWidth="1"/>
    <col min="8211" max="8211" width="7.75" bestFit="1" customWidth="1"/>
    <col min="8212" max="8212" width="8" bestFit="1" customWidth="1"/>
    <col min="8213" max="8213" width="9.875" bestFit="1" customWidth="1"/>
    <col min="8219" max="8219" width="7.625" bestFit="1" customWidth="1"/>
    <col min="8451" max="8451" width="9.875" bestFit="1" customWidth="1"/>
    <col min="8452" max="8452" width="9" customWidth="1"/>
    <col min="8457" max="8457" width="7.625" bestFit="1" customWidth="1"/>
    <col min="8458" max="8458" width="7.75" bestFit="1" customWidth="1"/>
    <col min="8459" max="8459" width="8" bestFit="1" customWidth="1"/>
    <col min="8460" max="8460" width="9.875" bestFit="1" customWidth="1"/>
    <col min="8466" max="8466" width="7.625" bestFit="1" customWidth="1"/>
    <col min="8467" max="8467" width="7.75" bestFit="1" customWidth="1"/>
    <col min="8468" max="8468" width="8" bestFit="1" customWidth="1"/>
    <col min="8469" max="8469" width="9.875" bestFit="1" customWidth="1"/>
    <col min="8475" max="8475" width="7.625" bestFit="1" customWidth="1"/>
    <col min="8707" max="8707" width="9.875" bestFit="1" customWidth="1"/>
    <col min="8708" max="8708" width="9" customWidth="1"/>
    <col min="8713" max="8713" width="7.625" bestFit="1" customWidth="1"/>
    <col min="8714" max="8714" width="7.75" bestFit="1" customWidth="1"/>
    <col min="8715" max="8715" width="8" bestFit="1" customWidth="1"/>
    <col min="8716" max="8716" width="9.875" bestFit="1" customWidth="1"/>
    <col min="8722" max="8722" width="7.625" bestFit="1" customWidth="1"/>
    <col min="8723" max="8723" width="7.75" bestFit="1" customWidth="1"/>
    <col min="8724" max="8724" width="8" bestFit="1" customWidth="1"/>
    <col min="8725" max="8725" width="9.875" bestFit="1" customWidth="1"/>
    <col min="8731" max="8731" width="7.625" bestFit="1" customWidth="1"/>
    <col min="8963" max="8963" width="9.875" bestFit="1" customWidth="1"/>
    <col min="8964" max="8964" width="9" customWidth="1"/>
    <col min="8969" max="8969" width="7.625" bestFit="1" customWidth="1"/>
    <col min="8970" max="8970" width="7.75" bestFit="1" customWidth="1"/>
    <col min="8971" max="8971" width="8" bestFit="1" customWidth="1"/>
    <col min="8972" max="8972" width="9.875" bestFit="1" customWidth="1"/>
    <col min="8978" max="8978" width="7.625" bestFit="1" customWidth="1"/>
    <col min="8979" max="8979" width="7.75" bestFit="1" customWidth="1"/>
    <col min="8980" max="8980" width="8" bestFit="1" customWidth="1"/>
    <col min="8981" max="8981" width="9.875" bestFit="1" customWidth="1"/>
    <col min="8987" max="8987" width="7.625" bestFit="1" customWidth="1"/>
    <col min="9219" max="9219" width="9.875" bestFit="1" customWidth="1"/>
    <col min="9220" max="9220" width="9" customWidth="1"/>
    <col min="9225" max="9225" width="7.625" bestFit="1" customWidth="1"/>
    <col min="9226" max="9226" width="7.75" bestFit="1" customWidth="1"/>
    <col min="9227" max="9227" width="8" bestFit="1" customWidth="1"/>
    <col min="9228" max="9228" width="9.875" bestFit="1" customWidth="1"/>
    <col min="9234" max="9234" width="7.625" bestFit="1" customWidth="1"/>
    <col min="9235" max="9235" width="7.75" bestFit="1" customWidth="1"/>
    <col min="9236" max="9236" width="8" bestFit="1" customWidth="1"/>
    <col min="9237" max="9237" width="9.875" bestFit="1" customWidth="1"/>
    <col min="9243" max="9243" width="7.625" bestFit="1" customWidth="1"/>
    <col min="9475" max="9475" width="9.875" bestFit="1" customWidth="1"/>
    <col min="9476" max="9476" width="9" customWidth="1"/>
    <col min="9481" max="9481" width="7.625" bestFit="1" customWidth="1"/>
    <col min="9482" max="9482" width="7.75" bestFit="1" customWidth="1"/>
    <col min="9483" max="9483" width="8" bestFit="1" customWidth="1"/>
    <col min="9484" max="9484" width="9.875" bestFit="1" customWidth="1"/>
    <col min="9490" max="9490" width="7.625" bestFit="1" customWidth="1"/>
    <col min="9491" max="9491" width="7.75" bestFit="1" customWidth="1"/>
    <col min="9492" max="9492" width="8" bestFit="1" customWidth="1"/>
    <col min="9493" max="9493" width="9.875" bestFit="1" customWidth="1"/>
    <col min="9499" max="9499" width="7.625" bestFit="1" customWidth="1"/>
    <col min="9731" max="9731" width="9.875" bestFit="1" customWidth="1"/>
    <col min="9732" max="9732" width="9" customWidth="1"/>
    <col min="9737" max="9737" width="7.625" bestFit="1" customWidth="1"/>
    <col min="9738" max="9738" width="7.75" bestFit="1" customWidth="1"/>
    <col min="9739" max="9739" width="8" bestFit="1" customWidth="1"/>
    <col min="9740" max="9740" width="9.875" bestFit="1" customWidth="1"/>
    <col min="9746" max="9746" width="7.625" bestFit="1" customWidth="1"/>
    <col min="9747" max="9747" width="7.75" bestFit="1" customWidth="1"/>
    <col min="9748" max="9748" width="8" bestFit="1" customWidth="1"/>
    <col min="9749" max="9749" width="9.875" bestFit="1" customWidth="1"/>
    <col min="9755" max="9755" width="7.625" bestFit="1" customWidth="1"/>
    <col min="9987" max="9987" width="9.875" bestFit="1" customWidth="1"/>
    <col min="9988" max="9988" width="9" customWidth="1"/>
    <col min="9993" max="9993" width="7.625" bestFit="1" customWidth="1"/>
    <col min="9994" max="9994" width="7.75" bestFit="1" customWidth="1"/>
    <col min="9995" max="9995" width="8" bestFit="1" customWidth="1"/>
    <col min="9996" max="9996" width="9.875" bestFit="1" customWidth="1"/>
    <col min="10002" max="10002" width="7.625" bestFit="1" customWidth="1"/>
    <col min="10003" max="10003" width="7.75" bestFit="1" customWidth="1"/>
    <col min="10004" max="10004" width="8" bestFit="1" customWidth="1"/>
    <col min="10005" max="10005" width="9.875" bestFit="1" customWidth="1"/>
    <col min="10011" max="10011" width="7.625" bestFit="1" customWidth="1"/>
    <col min="10243" max="10243" width="9.875" bestFit="1" customWidth="1"/>
    <col min="10244" max="10244" width="9" customWidth="1"/>
    <col min="10249" max="10249" width="7.625" bestFit="1" customWidth="1"/>
    <col min="10250" max="10250" width="7.75" bestFit="1" customWidth="1"/>
    <col min="10251" max="10251" width="8" bestFit="1" customWidth="1"/>
    <col min="10252" max="10252" width="9.875" bestFit="1" customWidth="1"/>
    <col min="10258" max="10258" width="7.625" bestFit="1" customWidth="1"/>
    <col min="10259" max="10259" width="7.75" bestFit="1" customWidth="1"/>
    <col min="10260" max="10260" width="8" bestFit="1" customWidth="1"/>
    <col min="10261" max="10261" width="9.875" bestFit="1" customWidth="1"/>
    <col min="10267" max="10267" width="7.625" bestFit="1" customWidth="1"/>
    <col min="10499" max="10499" width="9.875" bestFit="1" customWidth="1"/>
    <col min="10500" max="10500" width="9" customWidth="1"/>
    <col min="10505" max="10505" width="7.625" bestFit="1" customWidth="1"/>
    <col min="10506" max="10506" width="7.75" bestFit="1" customWidth="1"/>
    <col min="10507" max="10507" width="8" bestFit="1" customWidth="1"/>
    <col min="10508" max="10508" width="9.875" bestFit="1" customWidth="1"/>
    <col min="10514" max="10514" width="7.625" bestFit="1" customWidth="1"/>
    <col min="10515" max="10515" width="7.75" bestFit="1" customWidth="1"/>
    <col min="10516" max="10516" width="8" bestFit="1" customWidth="1"/>
    <col min="10517" max="10517" width="9.875" bestFit="1" customWidth="1"/>
    <col min="10523" max="10523" width="7.625" bestFit="1" customWidth="1"/>
    <col min="10755" max="10755" width="9.875" bestFit="1" customWidth="1"/>
    <col min="10756" max="10756" width="9" customWidth="1"/>
    <col min="10761" max="10761" width="7.625" bestFit="1" customWidth="1"/>
    <col min="10762" max="10762" width="7.75" bestFit="1" customWidth="1"/>
    <col min="10763" max="10763" width="8" bestFit="1" customWidth="1"/>
    <col min="10764" max="10764" width="9.875" bestFit="1" customWidth="1"/>
    <col min="10770" max="10770" width="7.625" bestFit="1" customWidth="1"/>
    <col min="10771" max="10771" width="7.75" bestFit="1" customWidth="1"/>
    <col min="10772" max="10772" width="8" bestFit="1" customWidth="1"/>
    <col min="10773" max="10773" width="9.875" bestFit="1" customWidth="1"/>
    <col min="10779" max="10779" width="7.625" bestFit="1" customWidth="1"/>
    <col min="11011" max="11011" width="9.875" bestFit="1" customWidth="1"/>
    <col min="11012" max="11012" width="9" customWidth="1"/>
    <col min="11017" max="11017" width="7.625" bestFit="1" customWidth="1"/>
    <col min="11018" max="11018" width="7.75" bestFit="1" customWidth="1"/>
    <col min="11019" max="11019" width="8" bestFit="1" customWidth="1"/>
    <col min="11020" max="11020" width="9.875" bestFit="1" customWidth="1"/>
    <col min="11026" max="11026" width="7.625" bestFit="1" customWidth="1"/>
    <col min="11027" max="11027" width="7.75" bestFit="1" customWidth="1"/>
    <col min="11028" max="11028" width="8" bestFit="1" customWidth="1"/>
    <col min="11029" max="11029" width="9.875" bestFit="1" customWidth="1"/>
    <col min="11035" max="11035" width="7.625" bestFit="1" customWidth="1"/>
    <col min="11267" max="11267" width="9.875" bestFit="1" customWidth="1"/>
    <col min="11268" max="11268" width="9" customWidth="1"/>
    <col min="11273" max="11273" width="7.625" bestFit="1" customWidth="1"/>
    <col min="11274" max="11274" width="7.75" bestFit="1" customWidth="1"/>
    <col min="11275" max="11275" width="8" bestFit="1" customWidth="1"/>
    <col min="11276" max="11276" width="9.875" bestFit="1" customWidth="1"/>
    <col min="11282" max="11282" width="7.625" bestFit="1" customWidth="1"/>
    <col min="11283" max="11283" width="7.75" bestFit="1" customWidth="1"/>
    <col min="11284" max="11284" width="8" bestFit="1" customWidth="1"/>
    <col min="11285" max="11285" width="9.875" bestFit="1" customWidth="1"/>
    <col min="11291" max="11291" width="7.625" bestFit="1" customWidth="1"/>
    <col min="11523" max="11523" width="9.875" bestFit="1" customWidth="1"/>
    <col min="11524" max="11524" width="9" customWidth="1"/>
    <col min="11529" max="11529" width="7.625" bestFit="1" customWidth="1"/>
    <col min="11530" max="11530" width="7.75" bestFit="1" customWidth="1"/>
    <col min="11531" max="11531" width="8" bestFit="1" customWidth="1"/>
    <col min="11532" max="11532" width="9.875" bestFit="1" customWidth="1"/>
    <col min="11538" max="11538" width="7.625" bestFit="1" customWidth="1"/>
    <col min="11539" max="11539" width="7.75" bestFit="1" customWidth="1"/>
    <col min="11540" max="11540" width="8" bestFit="1" customWidth="1"/>
    <col min="11541" max="11541" width="9.875" bestFit="1" customWidth="1"/>
    <col min="11547" max="11547" width="7.625" bestFit="1" customWidth="1"/>
    <col min="11779" max="11779" width="9.875" bestFit="1" customWidth="1"/>
    <col min="11780" max="11780" width="9" customWidth="1"/>
    <col min="11785" max="11785" width="7.625" bestFit="1" customWidth="1"/>
    <col min="11786" max="11786" width="7.75" bestFit="1" customWidth="1"/>
    <col min="11787" max="11787" width="8" bestFit="1" customWidth="1"/>
    <col min="11788" max="11788" width="9.875" bestFit="1" customWidth="1"/>
    <col min="11794" max="11794" width="7.625" bestFit="1" customWidth="1"/>
    <col min="11795" max="11795" width="7.75" bestFit="1" customWidth="1"/>
    <col min="11796" max="11796" width="8" bestFit="1" customWidth="1"/>
    <col min="11797" max="11797" width="9.875" bestFit="1" customWidth="1"/>
    <col min="11803" max="11803" width="7.625" bestFit="1" customWidth="1"/>
    <col min="12035" max="12035" width="9.875" bestFit="1" customWidth="1"/>
    <col min="12036" max="12036" width="9" customWidth="1"/>
    <col min="12041" max="12041" width="7.625" bestFit="1" customWidth="1"/>
    <col min="12042" max="12042" width="7.75" bestFit="1" customWidth="1"/>
    <col min="12043" max="12043" width="8" bestFit="1" customWidth="1"/>
    <col min="12044" max="12044" width="9.875" bestFit="1" customWidth="1"/>
    <col min="12050" max="12050" width="7.625" bestFit="1" customWidth="1"/>
    <col min="12051" max="12051" width="7.75" bestFit="1" customWidth="1"/>
    <col min="12052" max="12052" width="8" bestFit="1" customWidth="1"/>
    <col min="12053" max="12053" width="9.875" bestFit="1" customWidth="1"/>
    <col min="12059" max="12059" width="7.625" bestFit="1" customWidth="1"/>
    <col min="12291" max="12291" width="9.875" bestFit="1" customWidth="1"/>
    <col min="12292" max="12292" width="9" customWidth="1"/>
    <col min="12297" max="12297" width="7.625" bestFit="1" customWidth="1"/>
    <col min="12298" max="12298" width="7.75" bestFit="1" customWidth="1"/>
    <col min="12299" max="12299" width="8" bestFit="1" customWidth="1"/>
    <col min="12300" max="12300" width="9.875" bestFit="1" customWidth="1"/>
    <col min="12306" max="12306" width="7.625" bestFit="1" customWidth="1"/>
    <col min="12307" max="12307" width="7.75" bestFit="1" customWidth="1"/>
    <col min="12308" max="12308" width="8" bestFit="1" customWidth="1"/>
    <col min="12309" max="12309" width="9.875" bestFit="1" customWidth="1"/>
    <col min="12315" max="12315" width="7.625" bestFit="1" customWidth="1"/>
    <col min="12547" max="12547" width="9.875" bestFit="1" customWidth="1"/>
    <col min="12548" max="12548" width="9" customWidth="1"/>
    <col min="12553" max="12553" width="7.625" bestFit="1" customWidth="1"/>
    <col min="12554" max="12554" width="7.75" bestFit="1" customWidth="1"/>
    <col min="12555" max="12555" width="8" bestFit="1" customWidth="1"/>
    <col min="12556" max="12556" width="9.875" bestFit="1" customWidth="1"/>
    <col min="12562" max="12562" width="7.625" bestFit="1" customWidth="1"/>
    <col min="12563" max="12563" width="7.75" bestFit="1" customWidth="1"/>
    <col min="12564" max="12564" width="8" bestFit="1" customWidth="1"/>
    <col min="12565" max="12565" width="9.875" bestFit="1" customWidth="1"/>
    <col min="12571" max="12571" width="7.625" bestFit="1" customWidth="1"/>
    <col min="12803" max="12803" width="9.875" bestFit="1" customWidth="1"/>
    <col min="12804" max="12804" width="9" customWidth="1"/>
    <col min="12809" max="12809" width="7.625" bestFit="1" customWidth="1"/>
    <col min="12810" max="12810" width="7.75" bestFit="1" customWidth="1"/>
    <col min="12811" max="12811" width="8" bestFit="1" customWidth="1"/>
    <col min="12812" max="12812" width="9.875" bestFit="1" customWidth="1"/>
    <col min="12818" max="12818" width="7.625" bestFit="1" customWidth="1"/>
    <col min="12819" max="12819" width="7.75" bestFit="1" customWidth="1"/>
    <col min="12820" max="12820" width="8" bestFit="1" customWidth="1"/>
    <col min="12821" max="12821" width="9.875" bestFit="1" customWidth="1"/>
    <col min="12827" max="12827" width="7.625" bestFit="1" customWidth="1"/>
    <col min="13059" max="13059" width="9.875" bestFit="1" customWidth="1"/>
    <col min="13060" max="13060" width="9" customWidth="1"/>
    <col min="13065" max="13065" width="7.625" bestFit="1" customWidth="1"/>
    <col min="13066" max="13066" width="7.75" bestFit="1" customWidth="1"/>
    <col min="13067" max="13067" width="8" bestFit="1" customWidth="1"/>
    <col min="13068" max="13068" width="9.875" bestFit="1" customWidth="1"/>
    <col min="13074" max="13074" width="7.625" bestFit="1" customWidth="1"/>
    <col min="13075" max="13075" width="7.75" bestFit="1" customWidth="1"/>
    <col min="13076" max="13076" width="8" bestFit="1" customWidth="1"/>
    <col min="13077" max="13077" width="9.875" bestFit="1" customWidth="1"/>
    <col min="13083" max="13083" width="7.625" bestFit="1" customWidth="1"/>
    <col min="13315" max="13315" width="9.875" bestFit="1" customWidth="1"/>
    <col min="13316" max="13316" width="9" customWidth="1"/>
    <col min="13321" max="13321" width="7.625" bestFit="1" customWidth="1"/>
    <col min="13322" max="13322" width="7.75" bestFit="1" customWidth="1"/>
    <col min="13323" max="13323" width="8" bestFit="1" customWidth="1"/>
    <col min="13324" max="13324" width="9.875" bestFit="1" customWidth="1"/>
    <col min="13330" max="13330" width="7.625" bestFit="1" customWidth="1"/>
    <col min="13331" max="13331" width="7.75" bestFit="1" customWidth="1"/>
    <col min="13332" max="13332" width="8" bestFit="1" customWidth="1"/>
    <col min="13333" max="13333" width="9.875" bestFit="1" customWidth="1"/>
    <col min="13339" max="13339" width="7.625" bestFit="1" customWidth="1"/>
    <col min="13571" max="13571" width="9.875" bestFit="1" customWidth="1"/>
    <col min="13572" max="13572" width="9" customWidth="1"/>
    <col min="13577" max="13577" width="7.625" bestFit="1" customWidth="1"/>
    <col min="13578" max="13578" width="7.75" bestFit="1" customWidth="1"/>
    <col min="13579" max="13579" width="8" bestFit="1" customWidth="1"/>
    <col min="13580" max="13580" width="9.875" bestFit="1" customWidth="1"/>
    <col min="13586" max="13586" width="7.625" bestFit="1" customWidth="1"/>
    <col min="13587" max="13587" width="7.75" bestFit="1" customWidth="1"/>
    <col min="13588" max="13588" width="8" bestFit="1" customWidth="1"/>
    <col min="13589" max="13589" width="9.875" bestFit="1" customWidth="1"/>
    <col min="13595" max="13595" width="7.625" bestFit="1" customWidth="1"/>
    <col min="13827" max="13827" width="9.875" bestFit="1" customWidth="1"/>
    <col min="13828" max="13828" width="9" customWidth="1"/>
    <col min="13833" max="13833" width="7.625" bestFit="1" customWidth="1"/>
    <col min="13834" max="13834" width="7.75" bestFit="1" customWidth="1"/>
    <col min="13835" max="13835" width="8" bestFit="1" customWidth="1"/>
    <col min="13836" max="13836" width="9.875" bestFit="1" customWidth="1"/>
    <col min="13842" max="13842" width="7.625" bestFit="1" customWidth="1"/>
    <col min="13843" max="13843" width="7.75" bestFit="1" customWidth="1"/>
    <col min="13844" max="13844" width="8" bestFit="1" customWidth="1"/>
    <col min="13845" max="13845" width="9.875" bestFit="1" customWidth="1"/>
    <col min="13851" max="13851" width="7.625" bestFit="1" customWidth="1"/>
    <col min="14083" max="14083" width="9.875" bestFit="1" customWidth="1"/>
    <col min="14084" max="14084" width="9" customWidth="1"/>
    <col min="14089" max="14089" width="7.625" bestFit="1" customWidth="1"/>
    <col min="14090" max="14090" width="7.75" bestFit="1" customWidth="1"/>
    <col min="14091" max="14091" width="8" bestFit="1" customWidth="1"/>
    <col min="14092" max="14092" width="9.875" bestFit="1" customWidth="1"/>
    <col min="14098" max="14098" width="7.625" bestFit="1" customWidth="1"/>
    <col min="14099" max="14099" width="7.75" bestFit="1" customWidth="1"/>
    <col min="14100" max="14100" width="8" bestFit="1" customWidth="1"/>
    <col min="14101" max="14101" width="9.875" bestFit="1" customWidth="1"/>
    <col min="14107" max="14107" width="7.625" bestFit="1" customWidth="1"/>
    <col min="14339" max="14339" width="9.875" bestFit="1" customWidth="1"/>
    <col min="14340" max="14340" width="9" customWidth="1"/>
    <col min="14345" max="14345" width="7.625" bestFit="1" customWidth="1"/>
    <col min="14346" max="14346" width="7.75" bestFit="1" customWidth="1"/>
    <col min="14347" max="14347" width="8" bestFit="1" customWidth="1"/>
    <col min="14348" max="14348" width="9.875" bestFit="1" customWidth="1"/>
    <col min="14354" max="14354" width="7.625" bestFit="1" customWidth="1"/>
    <col min="14355" max="14355" width="7.75" bestFit="1" customWidth="1"/>
    <col min="14356" max="14356" width="8" bestFit="1" customWidth="1"/>
    <col min="14357" max="14357" width="9.875" bestFit="1" customWidth="1"/>
    <col min="14363" max="14363" width="7.625" bestFit="1" customWidth="1"/>
    <col min="14595" max="14595" width="9.875" bestFit="1" customWidth="1"/>
    <col min="14596" max="14596" width="9" customWidth="1"/>
    <col min="14601" max="14601" width="7.625" bestFit="1" customWidth="1"/>
    <col min="14602" max="14602" width="7.75" bestFit="1" customWidth="1"/>
    <col min="14603" max="14603" width="8" bestFit="1" customWidth="1"/>
    <col min="14604" max="14604" width="9.875" bestFit="1" customWidth="1"/>
    <col min="14610" max="14610" width="7.625" bestFit="1" customWidth="1"/>
    <col min="14611" max="14611" width="7.75" bestFit="1" customWidth="1"/>
    <col min="14612" max="14612" width="8" bestFit="1" customWidth="1"/>
    <col min="14613" max="14613" width="9.875" bestFit="1" customWidth="1"/>
    <col min="14619" max="14619" width="7.625" bestFit="1" customWidth="1"/>
    <col min="14851" max="14851" width="9.875" bestFit="1" customWidth="1"/>
    <col min="14852" max="14852" width="9" customWidth="1"/>
    <col min="14857" max="14857" width="7.625" bestFit="1" customWidth="1"/>
    <col min="14858" max="14858" width="7.75" bestFit="1" customWidth="1"/>
    <col min="14859" max="14859" width="8" bestFit="1" customWidth="1"/>
    <col min="14860" max="14860" width="9.875" bestFit="1" customWidth="1"/>
    <col min="14866" max="14866" width="7.625" bestFit="1" customWidth="1"/>
    <col min="14867" max="14867" width="7.75" bestFit="1" customWidth="1"/>
    <col min="14868" max="14868" width="8" bestFit="1" customWidth="1"/>
    <col min="14869" max="14869" width="9.875" bestFit="1" customWidth="1"/>
    <col min="14875" max="14875" width="7.625" bestFit="1" customWidth="1"/>
    <col min="15107" max="15107" width="9.875" bestFit="1" customWidth="1"/>
    <col min="15108" max="15108" width="9" customWidth="1"/>
    <col min="15113" max="15113" width="7.625" bestFit="1" customWidth="1"/>
    <col min="15114" max="15114" width="7.75" bestFit="1" customWidth="1"/>
    <col min="15115" max="15115" width="8" bestFit="1" customWidth="1"/>
    <col min="15116" max="15116" width="9.875" bestFit="1" customWidth="1"/>
    <col min="15122" max="15122" width="7.625" bestFit="1" customWidth="1"/>
    <col min="15123" max="15123" width="7.75" bestFit="1" customWidth="1"/>
    <col min="15124" max="15124" width="8" bestFit="1" customWidth="1"/>
    <col min="15125" max="15125" width="9.875" bestFit="1" customWidth="1"/>
    <col min="15131" max="15131" width="7.625" bestFit="1" customWidth="1"/>
    <col min="15363" max="15363" width="9.875" bestFit="1" customWidth="1"/>
    <col min="15364" max="15364" width="9" customWidth="1"/>
    <col min="15369" max="15369" width="7.625" bestFit="1" customWidth="1"/>
    <col min="15370" max="15370" width="7.75" bestFit="1" customWidth="1"/>
    <col min="15371" max="15371" width="8" bestFit="1" customWidth="1"/>
    <col min="15372" max="15372" width="9.875" bestFit="1" customWidth="1"/>
    <col min="15378" max="15378" width="7.625" bestFit="1" customWidth="1"/>
    <col min="15379" max="15379" width="7.75" bestFit="1" customWidth="1"/>
    <col min="15380" max="15380" width="8" bestFit="1" customWidth="1"/>
    <col min="15381" max="15381" width="9.875" bestFit="1" customWidth="1"/>
    <col min="15387" max="15387" width="7.625" bestFit="1" customWidth="1"/>
    <col min="15619" max="15619" width="9.875" bestFit="1" customWidth="1"/>
    <col min="15620" max="15620" width="9" customWidth="1"/>
    <col min="15625" max="15625" width="7.625" bestFit="1" customWidth="1"/>
    <col min="15626" max="15626" width="7.75" bestFit="1" customWidth="1"/>
    <col min="15627" max="15627" width="8" bestFit="1" customWidth="1"/>
    <col min="15628" max="15628" width="9.875" bestFit="1" customWidth="1"/>
    <col min="15634" max="15634" width="7.625" bestFit="1" customWidth="1"/>
    <col min="15635" max="15635" width="7.75" bestFit="1" customWidth="1"/>
    <col min="15636" max="15636" width="8" bestFit="1" customWidth="1"/>
    <col min="15637" max="15637" width="9.875" bestFit="1" customWidth="1"/>
    <col min="15643" max="15643" width="7.625" bestFit="1" customWidth="1"/>
    <col min="15875" max="15875" width="9.875" bestFit="1" customWidth="1"/>
    <col min="15876" max="15876" width="9" customWidth="1"/>
    <col min="15881" max="15881" width="7.625" bestFit="1" customWidth="1"/>
    <col min="15882" max="15882" width="7.75" bestFit="1" customWidth="1"/>
    <col min="15883" max="15883" width="8" bestFit="1" customWidth="1"/>
    <col min="15884" max="15884" width="9.875" bestFit="1" customWidth="1"/>
    <col min="15890" max="15890" width="7.625" bestFit="1" customWidth="1"/>
    <col min="15891" max="15891" width="7.75" bestFit="1" customWidth="1"/>
    <col min="15892" max="15892" width="8" bestFit="1" customWidth="1"/>
    <col min="15893" max="15893" width="9.875" bestFit="1" customWidth="1"/>
    <col min="15899" max="15899" width="7.625" bestFit="1" customWidth="1"/>
    <col min="16131" max="16131" width="9.875" bestFit="1" customWidth="1"/>
    <col min="16132" max="16132" width="9" customWidth="1"/>
    <col min="16137" max="16137" width="7.625" bestFit="1" customWidth="1"/>
    <col min="16138" max="16138" width="7.75" bestFit="1" customWidth="1"/>
    <col min="16139" max="16139" width="8" bestFit="1" customWidth="1"/>
    <col min="16140" max="16140" width="9.875" bestFit="1" customWidth="1"/>
    <col min="16146" max="16146" width="7.625" bestFit="1" customWidth="1"/>
    <col min="16147" max="16147" width="7.75" bestFit="1" customWidth="1"/>
    <col min="16148" max="16148" width="8" bestFit="1" customWidth="1"/>
    <col min="16149" max="16149" width="9.875" bestFit="1" customWidth="1"/>
    <col min="16155" max="16155" width="7.625" bestFit="1" customWidth="1"/>
  </cols>
  <sheetData>
    <row r="1" spans="1:99" s="2" customFormat="1" ht="35.25">
      <c r="A1" s="1" t="s">
        <v>106</v>
      </c>
      <c r="B1" s="94" t="s">
        <v>107</v>
      </c>
      <c r="C1" s="94"/>
      <c r="D1" s="94"/>
      <c r="E1" s="94"/>
      <c r="F1" s="94"/>
      <c r="G1" s="94"/>
      <c r="H1" s="94"/>
      <c r="I1" s="94"/>
      <c r="J1" s="94"/>
      <c r="K1" s="94"/>
    </row>
    <row r="2" spans="1:99" ht="14.25">
      <c r="A2" s="3" t="s">
        <v>23</v>
      </c>
      <c r="B2" s="57" t="s">
        <v>24</v>
      </c>
      <c r="C2" s="58"/>
      <c r="D2" s="59"/>
      <c r="E2" s="11"/>
      <c r="F2" s="11"/>
      <c r="G2" s="11"/>
      <c r="H2" s="11"/>
      <c r="I2" s="11"/>
      <c r="J2" s="1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99" ht="14.25">
      <c r="A3" s="3" t="s">
        <v>0</v>
      </c>
      <c r="B3" s="79" t="s">
        <v>25</v>
      </c>
      <c r="C3" s="80"/>
      <c r="D3" s="80"/>
      <c r="E3" s="80"/>
      <c r="F3" s="80"/>
      <c r="G3" s="80"/>
      <c r="H3" s="80"/>
      <c r="I3" s="80"/>
      <c r="J3" s="80"/>
      <c r="K3" s="1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99" ht="15" customHeight="1">
      <c r="A4" s="19" t="s">
        <v>167</v>
      </c>
      <c r="B4" s="5" t="s">
        <v>26</v>
      </c>
      <c r="C4" s="5" t="s">
        <v>27</v>
      </c>
      <c r="D4" s="5" t="s">
        <v>28</v>
      </c>
      <c r="E4" s="5" t="s">
        <v>56</v>
      </c>
      <c r="F4" s="5" t="s">
        <v>57</v>
      </c>
      <c r="G4" s="21" t="s">
        <v>3</v>
      </c>
      <c r="H4" s="41" t="s">
        <v>4</v>
      </c>
      <c r="I4" s="81" t="s">
        <v>29</v>
      </c>
      <c r="J4" s="19" t="s">
        <v>167</v>
      </c>
      <c r="K4" s="20" t="s">
        <v>26</v>
      </c>
      <c r="L4" s="20" t="s">
        <v>27</v>
      </c>
      <c r="M4" s="20" t="s">
        <v>28</v>
      </c>
      <c r="N4" s="20" t="s">
        <v>56</v>
      </c>
      <c r="O4" s="20" t="s">
        <v>57</v>
      </c>
      <c r="P4" s="21" t="s">
        <v>3</v>
      </c>
      <c r="Q4" s="41" t="s">
        <v>4</v>
      </c>
      <c r="R4" s="86" t="s">
        <v>29</v>
      </c>
      <c r="S4" s="19" t="s">
        <v>167</v>
      </c>
      <c r="T4" s="5" t="s">
        <v>26</v>
      </c>
      <c r="U4" s="5" t="s">
        <v>27</v>
      </c>
      <c r="V4" s="5" t="s">
        <v>28</v>
      </c>
      <c r="W4" s="5" t="s">
        <v>56</v>
      </c>
      <c r="X4" s="5" t="s">
        <v>57</v>
      </c>
      <c r="Y4" s="21" t="s">
        <v>3</v>
      </c>
      <c r="Z4" s="41" t="s">
        <v>4</v>
      </c>
      <c r="AA4" s="81" t="s">
        <v>29</v>
      </c>
      <c r="AB4" s="19" t="s">
        <v>167</v>
      </c>
      <c r="AC4" s="20" t="s">
        <v>26</v>
      </c>
      <c r="AD4" s="20" t="s">
        <v>27</v>
      </c>
      <c r="AE4" s="20" t="s">
        <v>28</v>
      </c>
      <c r="AF4" s="20" t="s">
        <v>56</v>
      </c>
      <c r="AG4" s="20" t="s">
        <v>57</v>
      </c>
      <c r="AH4" s="21" t="s">
        <v>3</v>
      </c>
      <c r="AI4" s="41" t="s">
        <v>4</v>
      </c>
      <c r="AJ4" s="86" t="s">
        <v>29</v>
      </c>
      <c r="AK4" s="19" t="s">
        <v>167</v>
      </c>
      <c r="AL4" s="20" t="s">
        <v>26</v>
      </c>
      <c r="AM4" s="20" t="s">
        <v>27</v>
      </c>
      <c r="AN4" s="20" t="s">
        <v>28</v>
      </c>
      <c r="AO4" s="20" t="s">
        <v>56</v>
      </c>
      <c r="AP4" s="20" t="s">
        <v>57</v>
      </c>
      <c r="AQ4" s="21" t="s">
        <v>3</v>
      </c>
      <c r="AR4" s="41" t="s">
        <v>4</v>
      </c>
      <c r="AS4" s="41" t="s">
        <v>29</v>
      </c>
      <c r="AT4" s="19" t="s">
        <v>167</v>
      </c>
      <c r="AU4" s="20" t="s">
        <v>26</v>
      </c>
      <c r="AV4" s="20" t="s">
        <v>27</v>
      </c>
      <c r="AW4" s="20" t="s">
        <v>28</v>
      </c>
      <c r="AX4" s="20" t="s">
        <v>56</v>
      </c>
      <c r="AY4" s="20" t="s">
        <v>57</v>
      </c>
      <c r="AZ4" s="21" t="s">
        <v>3</v>
      </c>
      <c r="BA4" s="41" t="s">
        <v>4</v>
      </c>
      <c r="BB4" s="49" t="s">
        <v>29</v>
      </c>
      <c r="BC4" s="19" t="s">
        <v>167</v>
      </c>
      <c r="BD4" s="20" t="s">
        <v>26</v>
      </c>
      <c r="BE4" s="20" t="s">
        <v>27</v>
      </c>
      <c r="BF4" s="20" t="s">
        <v>28</v>
      </c>
      <c r="BG4" s="20" t="s">
        <v>56</v>
      </c>
      <c r="BH4" s="20" t="s">
        <v>57</v>
      </c>
      <c r="BI4" s="21" t="s">
        <v>3</v>
      </c>
      <c r="BJ4" s="41" t="s">
        <v>4</v>
      </c>
      <c r="BK4" s="41" t="s">
        <v>29</v>
      </c>
      <c r="BL4" s="19" t="s">
        <v>167</v>
      </c>
      <c r="BM4" s="5" t="s">
        <v>26</v>
      </c>
      <c r="BN4" s="5" t="s">
        <v>27</v>
      </c>
      <c r="BO4" s="5" t="s">
        <v>28</v>
      </c>
      <c r="BP4" s="5" t="s">
        <v>56</v>
      </c>
      <c r="BQ4" s="5" t="s">
        <v>57</v>
      </c>
      <c r="BR4" s="21" t="s">
        <v>3</v>
      </c>
      <c r="BS4" s="41" t="s">
        <v>4</v>
      </c>
      <c r="BT4" s="47" t="s">
        <v>29</v>
      </c>
      <c r="BU4" s="19" t="s">
        <v>167</v>
      </c>
      <c r="BV4" s="20" t="s">
        <v>26</v>
      </c>
      <c r="BW4" s="20" t="s">
        <v>27</v>
      </c>
      <c r="BX4" s="20" t="s">
        <v>28</v>
      </c>
      <c r="BY4" s="20" t="s">
        <v>56</v>
      </c>
      <c r="BZ4" s="20" t="s">
        <v>57</v>
      </c>
      <c r="CA4" s="21" t="s">
        <v>3</v>
      </c>
      <c r="CB4" s="41" t="s">
        <v>4</v>
      </c>
      <c r="CC4" s="41" t="s">
        <v>29</v>
      </c>
      <c r="CD4" s="19" t="s">
        <v>167</v>
      </c>
      <c r="CE4" s="5" t="s">
        <v>26</v>
      </c>
      <c r="CF4" s="5" t="s">
        <v>27</v>
      </c>
      <c r="CG4" s="5" t="s">
        <v>28</v>
      </c>
      <c r="CH4" s="5" t="s">
        <v>56</v>
      </c>
      <c r="CI4" s="5" t="s">
        <v>57</v>
      </c>
      <c r="CJ4" s="21" t="s">
        <v>3</v>
      </c>
      <c r="CK4" s="41" t="s">
        <v>4</v>
      </c>
      <c r="CL4" s="47" t="s">
        <v>29</v>
      </c>
      <c r="CM4" s="19" t="s">
        <v>167</v>
      </c>
      <c r="CN4" s="20" t="s">
        <v>26</v>
      </c>
      <c r="CO4" s="20" t="s">
        <v>27</v>
      </c>
      <c r="CP4" s="20" t="s">
        <v>28</v>
      </c>
      <c r="CQ4" s="20" t="s">
        <v>56</v>
      </c>
      <c r="CR4" s="20" t="s">
        <v>57</v>
      </c>
      <c r="CS4" s="21" t="s">
        <v>3</v>
      </c>
      <c r="CT4" s="41" t="s">
        <v>4</v>
      </c>
      <c r="CU4" s="41" t="s">
        <v>29</v>
      </c>
    </row>
    <row r="5" spans="1:99" ht="15">
      <c r="A5" s="7" t="s">
        <v>30</v>
      </c>
      <c r="B5" s="8">
        <v>26047</v>
      </c>
      <c r="C5" s="8">
        <v>1850.7</v>
      </c>
      <c r="D5" s="4">
        <v>1.4</v>
      </c>
      <c r="E5" s="8" t="s">
        <v>10</v>
      </c>
      <c r="F5" s="50">
        <v>1</v>
      </c>
      <c r="G5" s="24" t="s">
        <v>15</v>
      </c>
      <c r="H5" s="25" t="s">
        <v>6</v>
      </c>
      <c r="I5" s="82"/>
      <c r="J5" s="22" t="s">
        <v>31</v>
      </c>
      <c r="K5" s="28">
        <v>26683</v>
      </c>
      <c r="L5" s="28">
        <v>1914.3</v>
      </c>
      <c r="M5" s="23">
        <v>1.4</v>
      </c>
      <c r="N5" s="28" t="s">
        <v>10</v>
      </c>
      <c r="O5" s="29">
        <v>1</v>
      </c>
      <c r="P5" s="24" t="s">
        <v>31</v>
      </c>
      <c r="Q5" s="25" t="s">
        <v>7</v>
      </c>
      <c r="R5" s="86"/>
      <c r="S5" s="7" t="s">
        <v>30</v>
      </c>
      <c r="T5" s="8">
        <v>26065</v>
      </c>
      <c r="U5" s="8">
        <v>1852.5</v>
      </c>
      <c r="V5" s="4">
        <v>5</v>
      </c>
      <c r="W5" s="8" t="s">
        <v>10</v>
      </c>
      <c r="X5" s="50">
        <v>1</v>
      </c>
      <c r="Y5" s="24" t="s">
        <v>15</v>
      </c>
      <c r="Z5" s="25" t="s">
        <v>6</v>
      </c>
      <c r="AA5" s="82"/>
      <c r="AB5" s="22" t="s">
        <v>32</v>
      </c>
      <c r="AC5" s="28">
        <v>26365</v>
      </c>
      <c r="AD5" s="28">
        <v>1882.5</v>
      </c>
      <c r="AE5" s="23">
        <v>5</v>
      </c>
      <c r="AF5" s="28" t="s">
        <v>10</v>
      </c>
      <c r="AG5" s="29">
        <v>1</v>
      </c>
      <c r="AH5" s="24" t="s">
        <v>15</v>
      </c>
      <c r="AI5" s="25" t="s">
        <v>7</v>
      </c>
      <c r="AJ5" s="86"/>
      <c r="AK5" s="27" t="s">
        <v>31</v>
      </c>
      <c r="AL5" s="28">
        <v>26665</v>
      </c>
      <c r="AM5" s="28">
        <v>1912.5</v>
      </c>
      <c r="AN5" s="23">
        <v>5</v>
      </c>
      <c r="AO5" s="28" t="s">
        <v>10</v>
      </c>
      <c r="AP5" s="29">
        <v>1</v>
      </c>
      <c r="AQ5" s="24" t="s">
        <v>31</v>
      </c>
      <c r="AR5" s="25" t="s">
        <v>7</v>
      </c>
      <c r="AS5" s="41"/>
      <c r="AT5" s="27" t="s">
        <v>30</v>
      </c>
      <c r="AU5" s="28">
        <v>26065</v>
      </c>
      <c r="AV5" s="28">
        <v>1852.5</v>
      </c>
      <c r="AW5" s="23">
        <v>5</v>
      </c>
      <c r="AX5" s="28" t="s">
        <v>10</v>
      </c>
      <c r="AY5" s="29">
        <v>25</v>
      </c>
      <c r="AZ5" s="24" t="s">
        <v>30</v>
      </c>
      <c r="BA5" s="25" t="s">
        <v>6</v>
      </c>
      <c r="BB5" s="51"/>
      <c r="BC5" s="27" t="s">
        <v>31</v>
      </c>
      <c r="BD5" s="28">
        <v>26665</v>
      </c>
      <c r="BE5" s="28">
        <v>1912.5</v>
      </c>
      <c r="BF5" s="23">
        <v>5</v>
      </c>
      <c r="BG5" s="28" t="s">
        <v>10</v>
      </c>
      <c r="BH5" s="29">
        <v>25</v>
      </c>
      <c r="BI5" s="24" t="s">
        <v>31</v>
      </c>
      <c r="BJ5" s="25" t="s">
        <v>7</v>
      </c>
      <c r="BK5" s="41"/>
      <c r="BL5" s="7" t="s">
        <v>30</v>
      </c>
      <c r="BM5" s="8">
        <v>26140</v>
      </c>
      <c r="BN5" s="8">
        <v>1860</v>
      </c>
      <c r="BO5" s="4">
        <v>20</v>
      </c>
      <c r="BP5" s="8" t="s">
        <v>10</v>
      </c>
      <c r="BQ5" s="50">
        <v>1</v>
      </c>
      <c r="BR5" s="24" t="s">
        <v>15</v>
      </c>
      <c r="BS5" s="25" t="s">
        <v>6</v>
      </c>
      <c r="BT5" s="48"/>
      <c r="BU5" s="27" t="s">
        <v>31</v>
      </c>
      <c r="BV5" s="28">
        <v>26590</v>
      </c>
      <c r="BW5" s="28">
        <v>1905</v>
      </c>
      <c r="BX5" s="23">
        <v>20</v>
      </c>
      <c r="BY5" s="28" t="s">
        <v>10</v>
      </c>
      <c r="BZ5" s="29">
        <v>1</v>
      </c>
      <c r="CA5" s="24" t="s">
        <v>31</v>
      </c>
      <c r="CB5" s="25" t="s">
        <v>7</v>
      </c>
      <c r="CC5" s="41"/>
      <c r="CD5" s="7" t="s">
        <v>30</v>
      </c>
      <c r="CE5" s="8">
        <v>26140</v>
      </c>
      <c r="CF5" s="8">
        <v>1860</v>
      </c>
      <c r="CG5" s="4">
        <v>20</v>
      </c>
      <c r="CH5" s="8" t="s">
        <v>10</v>
      </c>
      <c r="CI5" s="50">
        <v>100</v>
      </c>
      <c r="CJ5" s="24" t="s">
        <v>30</v>
      </c>
      <c r="CK5" s="25" t="s">
        <v>6</v>
      </c>
      <c r="CL5" s="48"/>
      <c r="CM5" s="27" t="s">
        <v>31</v>
      </c>
      <c r="CN5" s="28">
        <v>26590</v>
      </c>
      <c r="CO5" s="28">
        <v>1905</v>
      </c>
      <c r="CP5" s="23">
        <v>20</v>
      </c>
      <c r="CQ5" s="28" t="s">
        <v>10</v>
      </c>
      <c r="CR5" s="29">
        <v>100</v>
      </c>
      <c r="CS5" s="24" t="s">
        <v>30</v>
      </c>
      <c r="CT5" s="25" t="s">
        <v>7</v>
      </c>
      <c r="CU5" s="41"/>
    </row>
    <row r="6" spans="1:99" ht="14.25">
      <c r="A6" s="83" t="s">
        <v>16</v>
      </c>
      <c r="B6" s="84"/>
      <c r="C6" s="6" t="s">
        <v>17</v>
      </c>
      <c r="D6" s="6" t="s">
        <v>33</v>
      </c>
      <c r="E6" s="83" t="s">
        <v>34</v>
      </c>
      <c r="F6" s="85"/>
      <c r="G6" s="84"/>
      <c r="H6" s="26" t="s">
        <v>5</v>
      </c>
      <c r="I6" s="2"/>
      <c r="J6" s="83" t="s">
        <v>16</v>
      </c>
      <c r="K6" s="84"/>
      <c r="L6" s="18" t="s">
        <v>17</v>
      </c>
      <c r="M6" s="18" t="s">
        <v>33</v>
      </c>
      <c r="N6" s="83" t="s">
        <v>34</v>
      </c>
      <c r="O6" s="85"/>
      <c r="P6" s="84"/>
      <c r="Q6" s="26" t="s">
        <v>5</v>
      </c>
      <c r="R6" s="19"/>
      <c r="S6" s="83" t="s">
        <v>16</v>
      </c>
      <c r="T6" s="84"/>
      <c r="U6" s="6" t="s">
        <v>17</v>
      </c>
      <c r="V6" s="6" t="s">
        <v>33</v>
      </c>
      <c r="W6" s="83" t="s">
        <v>34</v>
      </c>
      <c r="X6" s="85"/>
      <c r="Y6" s="84"/>
      <c r="Z6" s="26" t="s">
        <v>5</v>
      </c>
      <c r="AA6" s="2"/>
      <c r="AB6" s="83" t="s">
        <v>16</v>
      </c>
      <c r="AC6" s="84"/>
      <c r="AD6" s="18" t="s">
        <v>17</v>
      </c>
      <c r="AE6" s="18" t="s">
        <v>33</v>
      </c>
      <c r="AF6" s="83" t="s">
        <v>34</v>
      </c>
      <c r="AG6" s="85"/>
      <c r="AH6" s="84"/>
      <c r="AI6" s="26" t="s">
        <v>5</v>
      </c>
      <c r="AJ6" s="19"/>
      <c r="AK6" s="42" t="s">
        <v>16</v>
      </c>
      <c r="AL6" s="43"/>
      <c r="AM6" s="18" t="s">
        <v>17</v>
      </c>
      <c r="AN6" s="18" t="s">
        <v>33</v>
      </c>
      <c r="AO6" s="83" t="s">
        <v>34</v>
      </c>
      <c r="AP6" s="85"/>
      <c r="AQ6" s="84"/>
      <c r="AR6" s="26" t="s">
        <v>5</v>
      </c>
      <c r="AS6" s="19"/>
      <c r="AT6" s="42" t="s">
        <v>16</v>
      </c>
      <c r="AU6" s="43"/>
      <c r="AV6" s="18" t="s">
        <v>17</v>
      </c>
      <c r="AW6" s="18" t="s">
        <v>33</v>
      </c>
      <c r="AX6" s="83" t="s">
        <v>34</v>
      </c>
      <c r="AY6" s="85"/>
      <c r="AZ6" s="84"/>
      <c r="BA6" s="26" t="s">
        <v>5</v>
      </c>
      <c r="BB6" s="19"/>
      <c r="BC6" s="42" t="s">
        <v>16</v>
      </c>
      <c r="BD6" s="43"/>
      <c r="BE6" s="18" t="s">
        <v>17</v>
      </c>
      <c r="BF6" s="18" t="s">
        <v>33</v>
      </c>
      <c r="BG6" s="83" t="s">
        <v>34</v>
      </c>
      <c r="BH6" s="85"/>
      <c r="BI6" s="84"/>
      <c r="BJ6" s="26" t="s">
        <v>5</v>
      </c>
      <c r="BK6" s="19"/>
      <c r="BL6" s="52" t="s">
        <v>16</v>
      </c>
      <c r="BM6" s="53"/>
      <c r="BN6" s="6" t="s">
        <v>17</v>
      </c>
      <c r="BO6" s="6" t="s">
        <v>33</v>
      </c>
      <c r="BP6" s="83" t="s">
        <v>34</v>
      </c>
      <c r="BQ6" s="85"/>
      <c r="BR6" s="84"/>
      <c r="BS6" s="26" t="s">
        <v>5</v>
      </c>
      <c r="BT6" s="2"/>
      <c r="BU6" s="42" t="s">
        <v>16</v>
      </c>
      <c r="BV6" s="43"/>
      <c r="BW6" s="18" t="s">
        <v>17</v>
      </c>
      <c r="BX6" s="18" t="s">
        <v>33</v>
      </c>
      <c r="BY6" s="83" t="s">
        <v>34</v>
      </c>
      <c r="BZ6" s="85"/>
      <c r="CA6" s="84"/>
      <c r="CB6" s="26" t="s">
        <v>5</v>
      </c>
      <c r="CC6" s="19"/>
      <c r="CD6" s="52" t="s">
        <v>16</v>
      </c>
      <c r="CE6" s="53"/>
      <c r="CF6" s="6" t="s">
        <v>17</v>
      </c>
      <c r="CG6" s="6" t="s">
        <v>33</v>
      </c>
      <c r="CH6" s="83" t="s">
        <v>34</v>
      </c>
      <c r="CI6" s="85"/>
      <c r="CJ6" s="84"/>
      <c r="CK6" s="26" t="s">
        <v>5</v>
      </c>
      <c r="CL6" s="2"/>
      <c r="CM6" s="42" t="s">
        <v>16</v>
      </c>
      <c r="CN6" s="43"/>
      <c r="CO6" s="18" t="s">
        <v>17</v>
      </c>
      <c r="CP6" s="18" t="s">
        <v>33</v>
      </c>
      <c r="CQ6" s="83" t="s">
        <v>34</v>
      </c>
      <c r="CR6" s="85"/>
      <c r="CS6" s="84"/>
      <c r="CT6" s="26" t="s">
        <v>5</v>
      </c>
      <c r="CU6" s="19"/>
    </row>
    <row r="7" spans="1:99" ht="15">
      <c r="A7" s="54">
        <f>((C5-2.5*0.18)-0.2)*2</f>
        <v>3700.1</v>
      </c>
      <c r="B7" s="54">
        <f>((C5-2.5*0.18)+0.2)*2</f>
        <v>3700.9</v>
      </c>
      <c r="C7" s="10" t="s">
        <v>9</v>
      </c>
      <c r="D7" s="10" t="s">
        <v>9</v>
      </c>
      <c r="E7" s="87" t="s">
        <v>35</v>
      </c>
      <c r="F7" s="88"/>
      <c r="G7" s="89"/>
      <c r="H7" s="75"/>
      <c r="I7" s="55" t="s">
        <v>36</v>
      </c>
      <c r="J7" s="54">
        <f>((L5+2.5*0.18)-0.2)*2</f>
        <v>3829.1</v>
      </c>
      <c r="K7" s="54">
        <f>((L5+2.5*0.18)+0.2)*2</f>
        <v>3829.9</v>
      </c>
      <c r="L7" s="10" t="s">
        <v>9</v>
      </c>
      <c r="M7" s="10" t="s">
        <v>9</v>
      </c>
      <c r="N7" s="87" t="s">
        <v>35</v>
      </c>
      <c r="O7" s="88"/>
      <c r="P7" s="89"/>
      <c r="Q7" s="77"/>
      <c r="R7" s="55" t="s">
        <v>36</v>
      </c>
      <c r="S7" s="54">
        <f>((U5-INT((V5*5)/2)*0.18)-0.2)*2</f>
        <v>3700.2799999999997</v>
      </c>
      <c r="T7" s="54">
        <f>((U5-INT((V5*5)/2)*0.18)+0.2)*2</f>
        <v>3701.08</v>
      </c>
      <c r="U7" s="10" t="s">
        <v>9</v>
      </c>
      <c r="V7" s="10" t="s">
        <v>9</v>
      </c>
      <c r="W7" s="87" t="s">
        <v>35</v>
      </c>
      <c r="X7" s="88"/>
      <c r="Y7" s="89"/>
      <c r="Z7" s="75"/>
      <c r="AA7" s="55" t="s">
        <v>36</v>
      </c>
      <c r="AB7" s="54">
        <f>((AD5-INT((AE5*5)/2)*0.18)-0.2)*2</f>
        <v>3760.2799999999997</v>
      </c>
      <c r="AC7" s="54">
        <f>((AD5-INT((AE5*5)/2)*0.18)+0.2)*2</f>
        <v>3761.08</v>
      </c>
      <c r="AD7" s="10" t="s">
        <v>9</v>
      </c>
      <c r="AE7" s="10" t="s">
        <v>9</v>
      </c>
      <c r="AF7" s="87" t="s">
        <v>35</v>
      </c>
      <c r="AG7" s="88"/>
      <c r="AH7" s="89"/>
      <c r="AI7" s="75"/>
      <c r="AJ7" s="55" t="s">
        <v>36</v>
      </c>
      <c r="AK7" s="54">
        <f>((AM5+INT((AN5*5)/2)*0.18)-0.2)*2</f>
        <v>3828.92</v>
      </c>
      <c r="AL7" s="54">
        <f>((AM5+INT((AN5*5)/2)*0.18)+0.2)*2</f>
        <v>3829.7200000000003</v>
      </c>
      <c r="AM7" s="10" t="s">
        <v>9</v>
      </c>
      <c r="AN7" s="10" t="s">
        <v>9</v>
      </c>
      <c r="AO7" s="87" t="s">
        <v>35</v>
      </c>
      <c r="AP7" s="88"/>
      <c r="AQ7" s="89"/>
      <c r="AR7" s="77"/>
      <c r="AS7" s="55" t="s">
        <v>36</v>
      </c>
      <c r="AT7" s="54">
        <f>(AV5-AW5/2)*2</f>
        <v>3700</v>
      </c>
      <c r="AU7" s="54">
        <f>(AV5+AW5/2)*2</f>
        <v>3710</v>
      </c>
      <c r="AV7" s="10" t="s">
        <v>9</v>
      </c>
      <c r="AW7" s="10" t="s">
        <v>9</v>
      </c>
      <c r="AX7" s="87" t="s">
        <v>35</v>
      </c>
      <c r="AY7" s="88"/>
      <c r="AZ7" s="89"/>
      <c r="BA7" s="75"/>
      <c r="BB7" s="55" t="s">
        <v>36</v>
      </c>
      <c r="BC7" s="54">
        <f>(BE5-BF5/2)*2</f>
        <v>3820</v>
      </c>
      <c r="BD7" s="54">
        <f>(BE5+BF5/2)*2</f>
        <v>3830</v>
      </c>
      <c r="BE7" s="10" t="s">
        <v>9</v>
      </c>
      <c r="BF7" s="10" t="s">
        <v>9</v>
      </c>
      <c r="BG7" s="87" t="s">
        <v>35</v>
      </c>
      <c r="BH7" s="88"/>
      <c r="BI7" s="89"/>
      <c r="BJ7" s="75"/>
      <c r="BK7" s="55" t="s">
        <v>36</v>
      </c>
      <c r="BL7" s="54">
        <f>((BN5-(INT((BO5*5)/2)-0.5)*0.18)-0.2)*2</f>
        <v>3701.7799999999997</v>
      </c>
      <c r="BM7" s="54">
        <f>((BN5-(INT((BO5*5)/2)-0.5)*0.18)+0.2)*2</f>
        <v>3702.58</v>
      </c>
      <c r="BN7" s="10" t="s">
        <v>9</v>
      </c>
      <c r="BO7" s="10" t="s">
        <v>9</v>
      </c>
      <c r="BP7" s="87" t="s">
        <v>35</v>
      </c>
      <c r="BQ7" s="88"/>
      <c r="BR7" s="89"/>
      <c r="BS7" s="75"/>
      <c r="BT7" s="55" t="s">
        <v>36</v>
      </c>
      <c r="BU7" s="54">
        <f>((BW5+(INT((BX5*5)/2)-0.5)*0.18)-0.2)*2</f>
        <v>3827.42</v>
      </c>
      <c r="BV7" s="54">
        <f>((BW5+(INT((BX5*5)/2)-0.5)*0.18)+0.2)*2</f>
        <v>3828.2200000000003</v>
      </c>
      <c r="BW7" s="10" t="s">
        <v>9</v>
      </c>
      <c r="BX7" s="10" t="s">
        <v>9</v>
      </c>
      <c r="BY7" s="87" t="s">
        <v>35</v>
      </c>
      <c r="BZ7" s="88"/>
      <c r="CA7" s="89"/>
      <c r="CB7" s="77"/>
      <c r="CC7" s="55" t="s">
        <v>36</v>
      </c>
      <c r="CD7" s="54">
        <f>(CF5-CG5/2)*2</f>
        <v>3700</v>
      </c>
      <c r="CE7" s="54">
        <f>(CF5+CG5/2)*2</f>
        <v>3740</v>
      </c>
      <c r="CF7" s="10" t="s">
        <v>9</v>
      </c>
      <c r="CG7" s="10" t="s">
        <v>9</v>
      </c>
      <c r="CH7" s="87" t="s">
        <v>35</v>
      </c>
      <c r="CI7" s="88"/>
      <c r="CJ7" s="89"/>
      <c r="CK7" s="75"/>
      <c r="CL7" s="55" t="s">
        <v>36</v>
      </c>
      <c r="CM7" s="54">
        <f>(CO5-CP5/2)*2</f>
        <v>3790</v>
      </c>
      <c r="CN7" s="54">
        <f>(CO5+CP5/2)*2</f>
        <v>3830</v>
      </c>
      <c r="CO7" s="10" t="s">
        <v>9</v>
      </c>
      <c r="CP7" s="10" t="s">
        <v>9</v>
      </c>
      <c r="CQ7" s="87" t="s">
        <v>35</v>
      </c>
      <c r="CR7" s="88"/>
      <c r="CS7" s="89"/>
      <c r="CT7" s="75"/>
      <c r="CU7" s="55" t="s">
        <v>36</v>
      </c>
    </row>
    <row r="8" spans="1:99" ht="15">
      <c r="A8" s="54">
        <f>((C5-2.5*0.18)-0.2)*3</f>
        <v>5550.15</v>
      </c>
      <c r="B8" s="54">
        <f>((C5-2.5*0.18)+0.2)*2</f>
        <v>3700.9</v>
      </c>
      <c r="C8" s="10" t="s">
        <v>9</v>
      </c>
      <c r="D8" s="10" t="s">
        <v>9</v>
      </c>
      <c r="E8" s="87" t="s">
        <v>35</v>
      </c>
      <c r="F8" s="88"/>
      <c r="G8" s="89"/>
      <c r="H8" s="75"/>
      <c r="I8" s="55" t="s">
        <v>37</v>
      </c>
      <c r="J8" s="54">
        <f>((L5+2.5*0.18)-0.2)*3</f>
        <v>5743.65</v>
      </c>
      <c r="K8" s="54">
        <f>((L5+2.5*0.18)+0.2)*3</f>
        <v>5744.85</v>
      </c>
      <c r="L8" s="10" t="s">
        <v>9</v>
      </c>
      <c r="M8" s="10" t="s">
        <v>9</v>
      </c>
      <c r="N8" s="87" t="s">
        <v>35</v>
      </c>
      <c r="O8" s="88"/>
      <c r="P8" s="89"/>
      <c r="Q8" s="77"/>
      <c r="R8" s="55" t="s">
        <v>37</v>
      </c>
      <c r="S8" s="54">
        <f>((U5-INT((V5*5)/2)*0.18)-0.2)*3</f>
        <v>5550.42</v>
      </c>
      <c r="T8" s="54">
        <f>((U5-INT((V5*5)/2)*0.18)+0.2)*3</f>
        <v>5551.62</v>
      </c>
      <c r="U8" s="10" t="s">
        <v>9</v>
      </c>
      <c r="V8" s="10" t="s">
        <v>9</v>
      </c>
      <c r="W8" s="87" t="s">
        <v>35</v>
      </c>
      <c r="X8" s="88"/>
      <c r="Y8" s="89"/>
      <c r="Z8" s="75"/>
      <c r="AA8" s="55" t="s">
        <v>37</v>
      </c>
      <c r="AB8" s="54">
        <f>((AD5-INT((AE5*5)/2)*0.18)-0.2)*3</f>
        <v>5640.42</v>
      </c>
      <c r="AC8" s="54">
        <f>((AD5-INT((AE5*5)/2)*0.18)+0.2)*3</f>
        <v>5641.62</v>
      </c>
      <c r="AD8" s="10" t="s">
        <v>9</v>
      </c>
      <c r="AE8" s="10" t="s">
        <v>9</v>
      </c>
      <c r="AF8" s="87" t="s">
        <v>35</v>
      </c>
      <c r="AG8" s="88"/>
      <c r="AH8" s="89"/>
      <c r="AI8" s="75"/>
      <c r="AJ8" s="55" t="s">
        <v>37</v>
      </c>
      <c r="AK8" s="54">
        <f>((AM5+INT((AN5*5)/2)*0.18)-0.2)*3</f>
        <v>5743.38</v>
      </c>
      <c r="AL8" s="54">
        <f>((AM5+INT((AN5*5)/2)*0.18)+0.2)*3</f>
        <v>5744.58</v>
      </c>
      <c r="AM8" s="10" t="s">
        <v>9</v>
      </c>
      <c r="AN8" s="10" t="s">
        <v>9</v>
      </c>
      <c r="AO8" s="87" t="s">
        <v>35</v>
      </c>
      <c r="AP8" s="88"/>
      <c r="AQ8" s="89"/>
      <c r="AR8" s="77"/>
      <c r="AS8" s="55" t="s">
        <v>37</v>
      </c>
      <c r="AT8" s="54">
        <f>(AV5-AW5/2)*3</f>
        <v>5550</v>
      </c>
      <c r="AU8" s="54">
        <f>(AV5+AW5/2)*3</f>
        <v>5565</v>
      </c>
      <c r="AV8" s="10" t="s">
        <v>9</v>
      </c>
      <c r="AW8" s="10" t="s">
        <v>9</v>
      </c>
      <c r="AX8" s="87" t="s">
        <v>35</v>
      </c>
      <c r="AY8" s="88"/>
      <c r="AZ8" s="89"/>
      <c r="BA8" s="75"/>
      <c r="BB8" s="55" t="s">
        <v>37</v>
      </c>
      <c r="BC8" s="54">
        <f>(BE5-BF5/2)*3</f>
        <v>5730</v>
      </c>
      <c r="BD8" s="54">
        <f>(BE5+BF5/2)*3</f>
        <v>5745</v>
      </c>
      <c r="BE8" s="10" t="s">
        <v>9</v>
      </c>
      <c r="BF8" s="10" t="s">
        <v>9</v>
      </c>
      <c r="BG8" s="87" t="s">
        <v>35</v>
      </c>
      <c r="BH8" s="88"/>
      <c r="BI8" s="89"/>
      <c r="BJ8" s="75"/>
      <c r="BK8" s="55" t="s">
        <v>37</v>
      </c>
      <c r="BL8" s="54">
        <f>((BN5-(INT((BO5*5)/2)-0.5)*0.18)-0.2)*3</f>
        <v>5552.67</v>
      </c>
      <c r="BM8" s="54">
        <f>((BN5-(INT((BO5*5)/2)-0.5)*0.18)+0.2)*3</f>
        <v>5553.87</v>
      </c>
      <c r="BN8" s="10" t="s">
        <v>9</v>
      </c>
      <c r="BO8" s="10" t="s">
        <v>9</v>
      </c>
      <c r="BP8" s="87" t="s">
        <v>35</v>
      </c>
      <c r="BQ8" s="88"/>
      <c r="BR8" s="89"/>
      <c r="BS8" s="75"/>
      <c r="BT8" s="55" t="s">
        <v>37</v>
      </c>
      <c r="BU8" s="54">
        <f>((BW5+(INT((BX5*5)/2)-0.5)*0.18)-0.2)*3</f>
        <v>5741.13</v>
      </c>
      <c r="BV8" s="54">
        <f>((BW5+(INT((BX5*5)/2)-0.5)*0.18)+0.2)*3</f>
        <v>5742.33</v>
      </c>
      <c r="BW8" s="10" t="s">
        <v>9</v>
      </c>
      <c r="BX8" s="10" t="s">
        <v>9</v>
      </c>
      <c r="BY8" s="87" t="s">
        <v>35</v>
      </c>
      <c r="BZ8" s="88"/>
      <c r="CA8" s="89"/>
      <c r="CB8" s="77"/>
      <c r="CC8" s="55" t="s">
        <v>37</v>
      </c>
      <c r="CD8" s="54">
        <f>(CF5-CG5/2)*3</f>
        <v>5550</v>
      </c>
      <c r="CE8" s="54">
        <f>(CF5+CG5/2)*3</f>
        <v>5610</v>
      </c>
      <c r="CF8" s="10" t="s">
        <v>9</v>
      </c>
      <c r="CG8" s="10" t="s">
        <v>9</v>
      </c>
      <c r="CH8" s="87" t="s">
        <v>35</v>
      </c>
      <c r="CI8" s="88"/>
      <c r="CJ8" s="89"/>
      <c r="CK8" s="75"/>
      <c r="CL8" s="55" t="s">
        <v>37</v>
      </c>
      <c r="CM8" s="54">
        <f>(CO5-CP5/2)*3</f>
        <v>5685</v>
      </c>
      <c r="CN8" s="54">
        <f>(CO5+CP5/2)*3</f>
        <v>5745</v>
      </c>
      <c r="CO8" s="10" t="s">
        <v>9</v>
      </c>
      <c r="CP8" s="10" t="s">
        <v>9</v>
      </c>
      <c r="CQ8" s="87" t="s">
        <v>35</v>
      </c>
      <c r="CR8" s="88"/>
      <c r="CS8" s="89"/>
      <c r="CT8" s="75"/>
      <c r="CU8" s="55" t="s">
        <v>37</v>
      </c>
    </row>
    <row r="9" spans="1:99" ht="15">
      <c r="A9" s="54">
        <f>((C5-2.5*0.18)-0.2)*4</f>
        <v>7400.2</v>
      </c>
      <c r="B9" s="54">
        <f>((C5-2.5*0.18)+0.2)*4</f>
        <v>7401.8</v>
      </c>
      <c r="C9" s="10" t="s">
        <v>9</v>
      </c>
      <c r="D9" s="10" t="s">
        <v>9</v>
      </c>
      <c r="E9" s="90" t="s">
        <v>35</v>
      </c>
      <c r="F9" s="90"/>
      <c r="G9" s="90"/>
      <c r="H9" s="75"/>
      <c r="I9" s="55" t="s">
        <v>38</v>
      </c>
      <c r="J9" s="54">
        <f>((L5+2.5*0.18)-0.2)*4</f>
        <v>7658.2</v>
      </c>
      <c r="K9" s="54">
        <f>((L5+2.5*0.18)+0.2)*4</f>
        <v>7659.8</v>
      </c>
      <c r="L9" s="10" t="s">
        <v>9</v>
      </c>
      <c r="M9" s="10" t="s">
        <v>9</v>
      </c>
      <c r="N9" s="90" t="s">
        <v>35</v>
      </c>
      <c r="O9" s="90"/>
      <c r="P9" s="90"/>
      <c r="Q9" s="77"/>
      <c r="R9" s="55" t="s">
        <v>38</v>
      </c>
      <c r="S9" s="54">
        <f>((U5-INT((V5*5)/2)*0.18)-0.2)*4</f>
        <v>7400.5599999999995</v>
      </c>
      <c r="T9" s="54">
        <f>((U5-INT((V5*5)/2)*0.18)+0.2)*4</f>
        <v>7402.16</v>
      </c>
      <c r="U9" s="10" t="s">
        <v>9</v>
      </c>
      <c r="V9" s="10" t="s">
        <v>9</v>
      </c>
      <c r="W9" s="90" t="s">
        <v>35</v>
      </c>
      <c r="X9" s="90"/>
      <c r="Y9" s="90"/>
      <c r="Z9" s="75"/>
      <c r="AA9" s="55" t="s">
        <v>38</v>
      </c>
      <c r="AB9" s="54">
        <f>((AD5-INT((AE5*5)/2)*0.18)-0.2)*4</f>
        <v>7520.5599999999995</v>
      </c>
      <c r="AC9" s="54">
        <f>((AD5-INT((AE5*5)/2)*0.18)+0.2)*4</f>
        <v>7522.16</v>
      </c>
      <c r="AD9" s="10" t="s">
        <v>9</v>
      </c>
      <c r="AE9" s="10" t="s">
        <v>9</v>
      </c>
      <c r="AF9" s="90" t="s">
        <v>35</v>
      </c>
      <c r="AG9" s="90"/>
      <c r="AH9" s="90"/>
      <c r="AI9" s="75"/>
      <c r="AJ9" s="55" t="s">
        <v>38</v>
      </c>
      <c r="AK9" s="54">
        <f>((AM5+INT((AN5*5)/2)*0.18)-0.2)*4</f>
        <v>7657.84</v>
      </c>
      <c r="AL9" s="54">
        <f>((AM5+INT((AN5*5)/2)*0.18)+0.2)*4</f>
        <v>7659.4400000000005</v>
      </c>
      <c r="AM9" s="10" t="s">
        <v>9</v>
      </c>
      <c r="AN9" s="10" t="s">
        <v>9</v>
      </c>
      <c r="AO9" s="87" t="s">
        <v>39</v>
      </c>
      <c r="AP9" s="88"/>
      <c r="AQ9" s="89"/>
      <c r="AR9" s="77"/>
      <c r="AS9" s="55" t="s">
        <v>38</v>
      </c>
      <c r="AT9" s="54">
        <f>(AV5-AW5/2)*4</f>
        <v>7400</v>
      </c>
      <c r="AU9" s="54">
        <f>(AV5+AW5/2)*4</f>
        <v>7420</v>
      </c>
      <c r="AV9" s="10" t="s">
        <v>9</v>
      </c>
      <c r="AW9" s="10" t="s">
        <v>9</v>
      </c>
      <c r="AX9" s="87" t="s">
        <v>39</v>
      </c>
      <c r="AY9" s="88"/>
      <c r="AZ9" s="89"/>
      <c r="BA9" s="75"/>
      <c r="BB9" s="55" t="s">
        <v>38</v>
      </c>
      <c r="BC9" s="54">
        <f>(BE5-BF5/2)*4</f>
        <v>7640</v>
      </c>
      <c r="BD9" s="54">
        <f>(BE5+BF5/2)*4</f>
        <v>7660</v>
      </c>
      <c r="BE9" s="10" t="s">
        <v>9</v>
      </c>
      <c r="BF9" s="10" t="s">
        <v>9</v>
      </c>
      <c r="BG9" s="87" t="s">
        <v>39</v>
      </c>
      <c r="BH9" s="88"/>
      <c r="BI9" s="89"/>
      <c r="BJ9" s="75"/>
      <c r="BK9" s="55" t="s">
        <v>38</v>
      </c>
      <c r="BL9" s="54">
        <f>((BN5-(INT((BO5*5)/2)-0.5)*0.18)-0.2)*4</f>
        <v>7403.5599999999995</v>
      </c>
      <c r="BM9" s="54">
        <f>((BN5-(INT((BO5*5)/2)-0.5)*0.18)+0.2)*4</f>
        <v>7405.16</v>
      </c>
      <c r="BN9" s="10" t="s">
        <v>9</v>
      </c>
      <c r="BO9" s="10" t="s">
        <v>9</v>
      </c>
      <c r="BP9" s="87" t="s">
        <v>39</v>
      </c>
      <c r="BQ9" s="88"/>
      <c r="BR9" s="89"/>
      <c r="BS9" s="75"/>
      <c r="BT9" s="55" t="s">
        <v>38</v>
      </c>
      <c r="BU9" s="54">
        <f>((BW5+(INT((BX5*5)/2)-0.5)*0.18)-0.2)*4</f>
        <v>7654.84</v>
      </c>
      <c r="BV9" s="54">
        <f>((BW5+(INT((BX5*5)/2)-0.5)*0.18)+0.2)*4</f>
        <v>7656.4400000000005</v>
      </c>
      <c r="BW9" s="10" t="s">
        <v>9</v>
      </c>
      <c r="BX9" s="10" t="s">
        <v>9</v>
      </c>
      <c r="BY9" s="87" t="s">
        <v>39</v>
      </c>
      <c r="BZ9" s="88"/>
      <c r="CA9" s="89"/>
      <c r="CB9" s="77"/>
      <c r="CC9" s="55" t="s">
        <v>38</v>
      </c>
      <c r="CD9" s="54">
        <f>(CF5-CG5/2)*4</f>
        <v>7400</v>
      </c>
      <c r="CE9" s="54">
        <f>(CF5+CG5/2)*4</f>
        <v>7480</v>
      </c>
      <c r="CF9" s="10" t="s">
        <v>9</v>
      </c>
      <c r="CG9" s="10" t="s">
        <v>9</v>
      </c>
      <c r="CH9" s="87" t="s">
        <v>39</v>
      </c>
      <c r="CI9" s="88"/>
      <c r="CJ9" s="89"/>
      <c r="CK9" s="75"/>
      <c r="CL9" s="55" t="s">
        <v>38</v>
      </c>
      <c r="CM9" s="54">
        <f>(CO5-CP5/2)*4</f>
        <v>7580</v>
      </c>
      <c r="CN9" s="54">
        <f>(CO5+CP5/2)*4</f>
        <v>7660</v>
      </c>
      <c r="CO9" s="10" t="s">
        <v>9</v>
      </c>
      <c r="CP9" s="10" t="s">
        <v>9</v>
      </c>
      <c r="CQ9" s="87" t="s">
        <v>35</v>
      </c>
      <c r="CR9" s="88"/>
      <c r="CS9" s="89"/>
      <c r="CT9" s="75"/>
      <c r="CU9" s="55" t="s">
        <v>38</v>
      </c>
    </row>
    <row r="10" spans="1:99" ht="15">
      <c r="A10" s="54">
        <f>((C5-2.5*0.18)-0.2)*5</f>
        <v>9250.25</v>
      </c>
      <c r="B10" s="54">
        <f>((C5-2.5*0.18)+0.2)*5</f>
        <v>9252.25</v>
      </c>
      <c r="C10" s="10" t="s">
        <v>9</v>
      </c>
      <c r="D10" s="10" t="s">
        <v>9</v>
      </c>
      <c r="E10" s="87" t="s">
        <v>35</v>
      </c>
      <c r="F10" s="88"/>
      <c r="G10" s="89"/>
      <c r="H10" s="75"/>
      <c r="I10" s="55" t="s">
        <v>40</v>
      </c>
      <c r="J10" s="54">
        <f>((L5+2.5*0.18)-0.2)*5</f>
        <v>9572.75</v>
      </c>
      <c r="K10" s="54">
        <f>((L5+2.5*0.18)+0.2)*5</f>
        <v>9574.75</v>
      </c>
      <c r="L10" s="10" t="s">
        <v>9</v>
      </c>
      <c r="M10" s="10" t="s">
        <v>9</v>
      </c>
      <c r="N10" s="87" t="s">
        <v>35</v>
      </c>
      <c r="O10" s="88"/>
      <c r="P10" s="89"/>
      <c r="Q10" s="77"/>
      <c r="R10" s="55" t="s">
        <v>40</v>
      </c>
      <c r="S10" s="54">
        <f>((U5-INT((V5*5)/2)*0.18)-0.2)*5</f>
        <v>9250.6999999999989</v>
      </c>
      <c r="T10" s="54">
        <f>((U5-INT((V5*5)/2)*0.18)+0.2)*5</f>
        <v>9252.7000000000007</v>
      </c>
      <c r="U10" s="10" t="s">
        <v>9</v>
      </c>
      <c r="V10" s="10" t="s">
        <v>9</v>
      </c>
      <c r="W10" s="87" t="s">
        <v>35</v>
      </c>
      <c r="X10" s="88"/>
      <c r="Y10" s="89"/>
      <c r="Z10" s="75"/>
      <c r="AA10" s="55" t="s">
        <v>40</v>
      </c>
      <c r="AB10" s="54">
        <f>((AD5-INT((AE5*5)/2)*0.18)-0.2)*5</f>
        <v>9400.6999999999989</v>
      </c>
      <c r="AC10" s="54">
        <f>((AD5-INT((AE5*5)/2)*0.18)+0.2)*5</f>
        <v>9402.7000000000007</v>
      </c>
      <c r="AD10" s="10" t="s">
        <v>9</v>
      </c>
      <c r="AE10" s="10" t="s">
        <v>9</v>
      </c>
      <c r="AF10" s="87" t="s">
        <v>35</v>
      </c>
      <c r="AG10" s="88"/>
      <c r="AH10" s="89"/>
      <c r="AI10" s="75"/>
      <c r="AJ10" s="55" t="s">
        <v>37</v>
      </c>
      <c r="AK10" s="54">
        <f>((AM5+INT((AN5*5)/2)*0.18)-0.2)*5</f>
        <v>9572.2999999999993</v>
      </c>
      <c r="AL10" s="54">
        <f>((AM5+INT((AN5*5)/2)*0.18)+0.2)*5</f>
        <v>9574.3000000000011</v>
      </c>
      <c r="AM10" s="10" t="s">
        <v>9</v>
      </c>
      <c r="AN10" s="10" t="s">
        <v>9</v>
      </c>
      <c r="AO10" s="87" t="s">
        <v>39</v>
      </c>
      <c r="AP10" s="88"/>
      <c r="AQ10" s="89"/>
      <c r="AR10" s="77"/>
      <c r="AS10" s="55" t="s">
        <v>40</v>
      </c>
      <c r="AT10" s="54">
        <f>(AV5-AW5/2)*5</f>
        <v>9250</v>
      </c>
      <c r="AU10" s="54">
        <f>(AV5+AW5/2)*5</f>
        <v>9275</v>
      </c>
      <c r="AV10" s="10" t="s">
        <v>9</v>
      </c>
      <c r="AW10" s="10" t="s">
        <v>9</v>
      </c>
      <c r="AX10" s="87" t="s">
        <v>39</v>
      </c>
      <c r="AY10" s="88"/>
      <c r="AZ10" s="89"/>
      <c r="BA10" s="75"/>
      <c r="BB10" s="55" t="s">
        <v>40</v>
      </c>
      <c r="BC10" s="54">
        <f>(BE5-BF5/2)*5</f>
        <v>9550</v>
      </c>
      <c r="BD10" s="54">
        <f>(BE5+BF5/2)*5</f>
        <v>9575</v>
      </c>
      <c r="BE10" s="10" t="s">
        <v>9</v>
      </c>
      <c r="BF10" s="10" t="s">
        <v>9</v>
      </c>
      <c r="BG10" s="87" t="s">
        <v>39</v>
      </c>
      <c r="BH10" s="88"/>
      <c r="BI10" s="89"/>
      <c r="BJ10" s="75"/>
      <c r="BK10" s="55" t="s">
        <v>40</v>
      </c>
      <c r="BL10" s="54">
        <f>((BN5-(INT((BO5*5)/2)-0.5)*0.18)-0.2)*5</f>
        <v>9254.4499999999989</v>
      </c>
      <c r="BM10" s="54">
        <f>((BN5-(INT((BO5*5)/2)-0.5)*0.18)+0.2)*5</f>
        <v>9256.4500000000007</v>
      </c>
      <c r="BN10" s="10" t="s">
        <v>9</v>
      </c>
      <c r="BO10" s="10" t="s">
        <v>9</v>
      </c>
      <c r="BP10" s="87" t="s">
        <v>39</v>
      </c>
      <c r="BQ10" s="88"/>
      <c r="BR10" s="89"/>
      <c r="BS10" s="75"/>
      <c r="BT10" s="55" t="s">
        <v>37</v>
      </c>
      <c r="BU10" s="54">
        <f>((BW5+(INT((BX5*5)/2)-0.5)*0.18)-0.2)*5</f>
        <v>9568.5499999999993</v>
      </c>
      <c r="BV10" s="54">
        <f>((BW5+(INT((BX5*5)/2)-0.5)*0.18)+0.2)*5</f>
        <v>9570.5500000000011</v>
      </c>
      <c r="BW10" s="10" t="s">
        <v>9</v>
      </c>
      <c r="BX10" s="10" t="s">
        <v>9</v>
      </c>
      <c r="BY10" s="87" t="s">
        <v>39</v>
      </c>
      <c r="BZ10" s="88"/>
      <c r="CA10" s="89"/>
      <c r="CB10" s="77"/>
      <c r="CC10" s="55" t="s">
        <v>40</v>
      </c>
      <c r="CD10" s="54">
        <f>(CF5-CG5/2)*5</f>
        <v>9250</v>
      </c>
      <c r="CE10" s="54">
        <f>(CF5+CG5/2)*5</f>
        <v>9350</v>
      </c>
      <c r="CF10" s="10" t="s">
        <v>9</v>
      </c>
      <c r="CG10" s="10" t="s">
        <v>9</v>
      </c>
      <c r="CH10" s="87" t="s">
        <v>39</v>
      </c>
      <c r="CI10" s="88"/>
      <c r="CJ10" s="89"/>
      <c r="CK10" s="75"/>
      <c r="CL10" s="55" t="s">
        <v>40</v>
      </c>
      <c r="CM10" s="54">
        <f>(CO5-CP5/2)*5</f>
        <v>9475</v>
      </c>
      <c r="CN10" s="54">
        <f>(CO5+CP5/2)*5</f>
        <v>9575</v>
      </c>
      <c r="CO10" s="10" t="s">
        <v>9</v>
      </c>
      <c r="CP10" s="10" t="s">
        <v>9</v>
      </c>
      <c r="CQ10" s="87" t="s">
        <v>35</v>
      </c>
      <c r="CR10" s="88"/>
      <c r="CS10" s="89"/>
      <c r="CT10" s="75"/>
      <c r="CU10" s="55" t="s">
        <v>40</v>
      </c>
    </row>
    <row r="11" spans="1:99" ht="15">
      <c r="A11" s="54">
        <f>((C5-2.5*0.18)-0.2)*6</f>
        <v>11100.3</v>
      </c>
      <c r="B11" s="54">
        <f>((C5-2.5*0.18)+0.2)*6</f>
        <v>11102.7</v>
      </c>
      <c r="C11" s="10" t="s">
        <v>9</v>
      </c>
      <c r="D11" s="10" t="s">
        <v>9</v>
      </c>
      <c r="E11" s="90" t="s">
        <v>35</v>
      </c>
      <c r="F11" s="90"/>
      <c r="G11" s="90"/>
      <c r="H11" s="75"/>
      <c r="I11" s="55" t="s">
        <v>41</v>
      </c>
      <c r="J11" s="54">
        <f>((L5+2.5*0.18)-0.2)*6</f>
        <v>11487.3</v>
      </c>
      <c r="K11" s="54">
        <f>((L5+2.5*0.18)+0.2)*6</f>
        <v>11489.7</v>
      </c>
      <c r="L11" s="10" t="s">
        <v>9</v>
      </c>
      <c r="M11" s="10" t="s">
        <v>9</v>
      </c>
      <c r="N11" s="90" t="s">
        <v>35</v>
      </c>
      <c r="O11" s="90"/>
      <c r="P11" s="90"/>
      <c r="Q11" s="77"/>
      <c r="R11" s="55" t="s">
        <v>41</v>
      </c>
      <c r="S11" s="54">
        <f>((U5-INT((V5*5)/2)*0.18)-0.2)*6</f>
        <v>11100.84</v>
      </c>
      <c r="T11" s="54">
        <f>((U5-INT((V5*5)/2)*0.18)+0.2)*6</f>
        <v>11103.24</v>
      </c>
      <c r="U11" s="10" t="s">
        <v>9</v>
      </c>
      <c r="V11" s="10" t="s">
        <v>9</v>
      </c>
      <c r="W11" s="90" t="s">
        <v>35</v>
      </c>
      <c r="X11" s="90"/>
      <c r="Y11" s="90"/>
      <c r="Z11" s="75"/>
      <c r="AA11" s="55" t="s">
        <v>41</v>
      </c>
      <c r="AB11" s="54">
        <f>((AD5-INT((AE5*5)/2)*0.18)-0.2)*6</f>
        <v>11280.84</v>
      </c>
      <c r="AC11" s="54">
        <f>((AD5-INT((AE5*5)/2)*0.18)+0.2)*6</f>
        <v>11283.24</v>
      </c>
      <c r="AD11" s="10" t="s">
        <v>9</v>
      </c>
      <c r="AE11" s="10" t="s">
        <v>9</v>
      </c>
      <c r="AF11" s="90" t="s">
        <v>35</v>
      </c>
      <c r="AG11" s="90"/>
      <c r="AH11" s="90"/>
      <c r="AI11" s="75"/>
      <c r="AJ11" s="55" t="s">
        <v>38</v>
      </c>
      <c r="AK11" s="54">
        <f>((AM5+INT((AN5*5)/2)*0.18)-0.2)*6</f>
        <v>11486.76</v>
      </c>
      <c r="AL11" s="54">
        <f>((AM5+INT((AN5*5)/2)*0.18)+0.2)*6</f>
        <v>11489.16</v>
      </c>
      <c r="AM11" s="10" t="s">
        <v>9</v>
      </c>
      <c r="AN11" s="10" t="s">
        <v>9</v>
      </c>
      <c r="AO11" s="87" t="s">
        <v>39</v>
      </c>
      <c r="AP11" s="88"/>
      <c r="AQ11" s="89"/>
      <c r="AR11" s="77"/>
      <c r="AS11" s="55" t="s">
        <v>41</v>
      </c>
      <c r="AT11" s="54">
        <f>(AV5-AW5/2)*6</f>
        <v>11100</v>
      </c>
      <c r="AU11" s="54">
        <f>(AV5+AW5/2)*6</f>
        <v>11130</v>
      </c>
      <c r="AV11" s="10" t="s">
        <v>9</v>
      </c>
      <c r="AW11" s="10" t="s">
        <v>9</v>
      </c>
      <c r="AX11" s="87" t="s">
        <v>39</v>
      </c>
      <c r="AY11" s="88"/>
      <c r="AZ11" s="89"/>
      <c r="BA11" s="75"/>
      <c r="BB11" s="55" t="s">
        <v>41</v>
      </c>
      <c r="BC11" s="54">
        <f>(BE5-BF5/2)*6</f>
        <v>11460</v>
      </c>
      <c r="BD11" s="54">
        <f>(BE5+BF5/2)*6</f>
        <v>11490</v>
      </c>
      <c r="BE11" s="10" t="s">
        <v>9</v>
      </c>
      <c r="BF11" s="10" t="s">
        <v>9</v>
      </c>
      <c r="BG11" s="87" t="s">
        <v>39</v>
      </c>
      <c r="BH11" s="88"/>
      <c r="BI11" s="89"/>
      <c r="BJ11" s="75"/>
      <c r="BK11" s="55" t="s">
        <v>41</v>
      </c>
      <c r="BL11" s="54">
        <f>((BN5-(INT((BO5*5)/2)-0.5)*0.18)-0.2)*6</f>
        <v>11105.34</v>
      </c>
      <c r="BM11" s="54">
        <f>((BN5-(INT((BO5*5)/2)-0.5)*0.18)+0.2)*6</f>
        <v>11107.74</v>
      </c>
      <c r="BN11" s="10" t="s">
        <v>9</v>
      </c>
      <c r="BO11" s="10" t="s">
        <v>9</v>
      </c>
      <c r="BP11" s="87" t="s">
        <v>39</v>
      </c>
      <c r="BQ11" s="88"/>
      <c r="BR11" s="89"/>
      <c r="BS11" s="75"/>
      <c r="BT11" s="55" t="s">
        <v>38</v>
      </c>
      <c r="BU11" s="54">
        <f>((BW5+(INT((BX5*5)/2)-0.5)*0.18)-0.2)*6</f>
        <v>11482.26</v>
      </c>
      <c r="BV11" s="54">
        <f>((BW5+(INT((BX5*5)/2)-0.5)*0.18)+0.2)*6</f>
        <v>11484.66</v>
      </c>
      <c r="BW11" s="10" t="s">
        <v>9</v>
      </c>
      <c r="BX11" s="10" t="s">
        <v>9</v>
      </c>
      <c r="BY11" s="87" t="s">
        <v>39</v>
      </c>
      <c r="BZ11" s="88"/>
      <c r="CA11" s="89"/>
      <c r="CB11" s="77"/>
      <c r="CC11" s="55" t="s">
        <v>41</v>
      </c>
      <c r="CD11" s="54">
        <f>(CF5-CG5/2)*6</f>
        <v>11100</v>
      </c>
      <c r="CE11" s="54">
        <f>(CF5+CG5/2)*6</f>
        <v>11220</v>
      </c>
      <c r="CF11" s="10" t="s">
        <v>9</v>
      </c>
      <c r="CG11" s="10" t="s">
        <v>9</v>
      </c>
      <c r="CH11" s="87" t="s">
        <v>39</v>
      </c>
      <c r="CI11" s="88"/>
      <c r="CJ11" s="89"/>
      <c r="CK11" s="75"/>
      <c r="CL11" s="55" t="s">
        <v>41</v>
      </c>
      <c r="CM11" s="54">
        <f>(CO5-CP5/2)*6</f>
        <v>11370</v>
      </c>
      <c r="CN11" s="54">
        <f>(CO5+CP5/2)*6</f>
        <v>11490</v>
      </c>
      <c r="CO11" s="10" t="s">
        <v>9</v>
      </c>
      <c r="CP11" s="10" t="s">
        <v>9</v>
      </c>
      <c r="CQ11" s="87" t="s">
        <v>35</v>
      </c>
      <c r="CR11" s="88"/>
      <c r="CS11" s="89"/>
      <c r="CT11" s="75"/>
      <c r="CU11" s="55" t="s">
        <v>41</v>
      </c>
    </row>
  </sheetData>
  <mergeCells count="76">
    <mergeCell ref="CH10:CJ10"/>
    <mergeCell ref="CQ10:CS10"/>
    <mergeCell ref="AO11:AQ11"/>
    <mergeCell ref="AX11:AZ11"/>
    <mergeCell ref="BG11:BI11"/>
    <mergeCell ref="BP11:BR11"/>
    <mergeCell ref="BY11:CA11"/>
    <mergeCell ref="CH11:CJ11"/>
    <mergeCell ref="CQ11:CS11"/>
    <mergeCell ref="AO10:AQ10"/>
    <mergeCell ref="AX10:AZ10"/>
    <mergeCell ref="BG10:BI10"/>
    <mergeCell ref="BP10:BR10"/>
    <mergeCell ref="BY10:CA10"/>
    <mergeCell ref="CH8:CJ8"/>
    <mergeCell ref="CQ8:CS8"/>
    <mergeCell ref="AO9:AQ9"/>
    <mergeCell ref="AX9:AZ9"/>
    <mergeCell ref="BG9:BI9"/>
    <mergeCell ref="BP9:BR9"/>
    <mergeCell ref="BY9:CA9"/>
    <mergeCell ref="CH9:CJ9"/>
    <mergeCell ref="CQ9:CS9"/>
    <mergeCell ref="AO8:AQ8"/>
    <mergeCell ref="AX8:AZ8"/>
    <mergeCell ref="BG8:BI8"/>
    <mergeCell ref="BP8:BR8"/>
    <mergeCell ref="BY8:CA8"/>
    <mergeCell ref="CH6:CJ6"/>
    <mergeCell ref="CQ6:CS6"/>
    <mergeCell ref="AO7:AQ7"/>
    <mergeCell ref="AX7:AZ7"/>
    <mergeCell ref="BG7:BI7"/>
    <mergeCell ref="BP7:BR7"/>
    <mergeCell ref="BY7:CA7"/>
    <mergeCell ref="CH7:CJ7"/>
    <mergeCell ref="CQ7:CS7"/>
    <mergeCell ref="AO6:AQ6"/>
    <mergeCell ref="AX6:AZ6"/>
    <mergeCell ref="BG6:BI6"/>
    <mergeCell ref="BP6:BR6"/>
    <mergeCell ref="BY6:CA6"/>
    <mergeCell ref="AF7:AH7"/>
    <mergeCell ref="AF8:AH8"/>
    <mergeCell ref="AF9:AH9"/>
    <mergeCell ref="AF10:AH10"/>
    <mergeCell ref="AF11:AH11"/>
    <mergeCell ref="B1:K1"/>
    <mergeCell ref="B3:J3"/>
    <mergeCell ref="I4:I5"/>
    <mergeCell ref="R4:R5"/>
    <mergeCell ref="N6:P6"/>
    <mergeCell ref="AJ4:AJ5"/>
    <mergeCell ref="AB6:AC6"/>
    <mergeCell ref="AF6:AH6"/>
    <mergeCell ref="AA4:AA5"/>
    <mergeCell ref="A6:B6"/>
    <mergeCell ref="J6:K6"/>
    <mergeCell ref="S6:T6"/>
    <mergeCell ref="E6:G6"/>
    <mergeCell ref="E7:G7"/>
    <mergeCell ref="N7:P7"/>
    <mergeCell ref="W7:Y7"/>
    <mergeCell ref="W6:Y6"/>
    <mergeCell ref="E8:G8"/>
    <mergeCell ref="N8:P8"/>
    <mergeCell ref="W8:Y8"/>
    <mergeCell ref="E11:G11"/>
    <mergeCell ref="N11:P11"/>
    <mergeCell ref="W11:Y11"/>
    <mergeCell ref="E9:G9"/>
    <mergeCell ref="N9:P9"/>
    <mergeCell ref="W9:Y9"/>
    <mergeCell ref="E10:G10"/>
    <mergeCell ref="N10:P10"/>
    <mergeCell ref="W10:Y10"/>
  </mergeCells>
  <phoneticPr fontId="1" type="noConversion"/>
  <conditionalFormatting sqref="AR11">
    <cfRule type="containsBlanks" priority="79" stopIfTrue="1">
      <formula>LEN(TRIM(AR11))=0</formula>
    </cfRule>
    <cfRule type="cellIs" dxfId="1363" priority="80" stopIfTrue="1" operator="greaterThan">
      <formula>-30</formula>
    </cfRule>
    <cfRule type="cellIs" dxfId="1362" priority="81" stopIfTrue="1" operator="between">
      <formula>-33</formula>
      <formula>-30</formula>
    </cfRule>
  </conditionalFormatting>
  <conditionalFormatting sqref="BA10">
    <cfRule type="containsBlanks" priority="76" stopIfTrue="1">
      <formula>LEN(TRIM(BA10))=0</formula>
    </cfRule>
    <cfRule type="cellIs" dxfId="1361" priority="77" stopIfTrue="1" operator="greaterThan">
      <formula>-30</formula>
    </cfRule>
    <cfRule type="cellIs" dxfId="1360" priority="78" stopIfTrue="1" operator="between">
      <formula>-33</formula>
      <formula>-30</formula>
    </cfRule>
  </conditionalFormatting>
  <conditionalFormatting sqref="BA11">
    <cfRule type="containsBlanks" priority="73" stopIfTrue="1">
      <formula>LEN(TRIM(BA11))=0</formula>
    </cfRule>
    <cfRule type="cellIs" dxfId="1359" priority="74" stopIfTrue="1" operator="greaterThan">
      <formula>-30</formula>
    </cfRule>
    <cfRule type="cellIs" dxfId="1358" priority="75" stopIfTrue="1" operator="between">
      <formula>-33</formula>
      <formula>-30</formula>
    </cfRule>
  </conditionalFormatting>
  <conditionalFormatting sqref="BJ10">
    <cfRule type="containsBlanks" priority="70" stopIfTrue="1">
      <formula>LEN(TRIM(BJ10))=0</formula>
    </cfRule>
    <cfRule type="cellIs" dxfId="1357" priority="71" stopIfTrue="1" operator="greaterThan">
      <formula>-30</formula>
    </cfRule>
    <cfRule type="cellIs" dxfId="1356" priority="72" stopIfTrue="1" operator="between">
      <formula>-33</formula>
      <formula>-30</formula>
    </cfRule>
  </conditionalFormatting>
  <conditionalFormatting sqref="BJ11">
    <cfRule type="containsBlanks" priority="67" stopIfTrue="1">
      <formula>LEN(TRIM(BJ11))=0</formula>
    </cfRule>
    <cfRule type="cellIs" dxfId="1355" priority="68" stopIfTrue="1" operator="greaterThan">
      <formula>-30</formula>
    </cfRule>
    <cfRule type="cellIs" dxfId="1354" priority="69" stopIfTrue="1" operator="between">
      <formula>-33</formula>
      <formula>-30</formula>
    </cfRule>
  </conditionalFormatting>
  <conditionalFormatting sqref="BS10">
    <cfRule type="containsBlanks" priority="64" stopIfTrue="1">
      <formula>LEN(TRIM(BS10))=0</formula>
    </cfRule>
    <cfRule type="cellIs" dxfId="1353" priority="65" stopIfTrue="1" operator="greaterThan">
      <formula>-30</formula>
    </cfRule>
    <cfRule type="cellIs" dxfId="1352" priority="66" stopIfTrue="1" operator="between">
      <formula>-33</formula>
      <formula>-30</formula>
    </cfRule>
  </conditionalFormatting>
  <conditionalFormatting sqref="BS11">
    <cfRule type="containsBlanks" priority="61" stopIfTrue="1">
      <formula>LEN(TRIM(BS11))=0</formula>
    </cfRule>
    <cfRule type="cellIs" dxfId="1351" priority="62" stopIfTrue="1" operator="greaterThan">
      <formula>-30</formula>
    </cfRule>
    <cfRule type="cellIs" dxfId="1350" priority="63" stopIfTrue="1" operator="between">
      <formula>-33</formula>
      <formula>-30</formula>
    </cfRule>
  </conditionalFormatting>
  <conditionalFormatting sqref="CB10">
    <cfRule type="containsBlanks" priority="58" stopIfTrue="1">
      <formula>LEN(TRIM(CB10))=0</formula>
    </cfRule>
    <cfRule type="cellIs" dxfId="1349" priority="59" stopIfTrue="1" operator="greaterThan">
      <formula>-30</formula>
    </cfRule>
    <cfRule type="cellIs" dxfId="1348" priority="60" stopIfTrue="1" operator="between">
      <formula>-33</formula>
      <formula>-30</formula>
    </cfRule>
  </conditionalFormatting>
  <conditionalFormatting sqref="CB11">
    <cfRule type="containsBlanks" priority="55" stopIfTrue="1">
      <formula>LEN(TRIM(CB11))=0</formula>
    </cfRule>
    <cfRule type="cellIs" dxfId="1347" priority="56" stopIfTrue="1" operator="greaterThan">
      <formula>-30</formula>
    </cfRule>
    <cfRule type="cellIs" dxfId="1346" priority="57" stopIfTrue="1" operator="between">
      <formula>-33</formula>
      <formula>-30</formula>
    </cfRule>
  </conditionalFormatting>
  <conditionalFormatting sqref="Z10">
    <cfRule type="containsBlanks" priority="52" stopIfTrue="1">
      <formula>LEN(TRIM(Z10))=0</formula>
    </cfRule>
    <cfRule type="cellIs" dxfId="1345" priority="53" stopIfTrue="1" operator="greaterThan">
      <formula>-30</formula>
    </cfRule>
    <cfRule type="cellIs" dxfId="1344" priority="54" stopIfTrue="1" operator="between">
      <formula>-33</formula>
      <formula>-30</formula>
    </cfRule>
  </conditionalFormatting>
  <conditionalFormatting sqref="Z11">
    <cfRule type="containsBlanks" priority="49" stopIfTrue="1">
      <formula>LEN(TRIM(Z11))=0</formula>
    </cfRule>
    <cfRule type="cellIs" dxfId="1343" priority="50" stopIfTrue="1" operator="greaterThan">
      <formula>-30</formula>
    </cfRule>
    <cfRule type="cellIs" dxfId="1342" priority="51" stopIfTrue="1" operator="between">
      <formula>-33</formula>
      <formula>-30</formula>
    </cfRule>
  </conditionalFormatting>
  <conditionalFormatting sqref="AI10">
    <cfRule type="containsBlanks" priority="46" stopIfTrue="1">
      <formula>LEN(TRIM(AI10))=0</formula>
    </cfRule>
    <cfRule type="cellIs" dxfId="1341" priority="47" stopIfTrue="1" operator="greaterThan">
      <formula>-30</formula>
    </cfRule>
    <cfRule type="cellIs" dxfId="1340" priority="48" stopIfTrue="1" operator="between">
      <formula>-33</formula>
      <formula>-30</formula>
    </cfRule>
  </conditionalFormatting>
  <conditionalFormatting sqref="AI11">
    <cfRule type="containsBlanks" priority="43" stopIfTrue="1">
      <formula>LEN(TRIM(AI11))=0</formula>
    </cfRule>
    <cfRule type="cellIs" dxfId="1339" priority="44" stopIfTrue="1" operator="greaterThan">
      <formula>-30</formula>
    </cfRule>
    <cfRule type="cellIs" dxfId="1338" priority="45" stopIfTrue="1" operator="between">
      <formula>-33</formula>
      <formula>-30</formula>
    </cfRule>
  </conditionalFormatting>
  <conditionalFormatting sqref="AR10">
    <cfRule type="containsBlanks" priority="40" stopIfTrue="1">
      <formula>LEN(TRIM(AR10))=0</formula>
    </cfRule>
    <cfRule type="cellIs" dxfId="1337" priority="41" stopIfTrue="1" operator="greaterThan">
      <formula>-30</formula>
    </cfRule>
    <cfRule type="cellIs" dxfId="1336" priority="42" stopIfTrue="1" operator="between">
      <formula>-33</formula>
      <formula>-30</formula>
    </cfRule>
  </conditionalFormatting>
  <conditionalFormatting sqref="AR11">
    <cfRule type="containsBlanks" priority="37" stopIfTrue="1">
      <formula>LEN(TRIM(AR11))=0</formula>
    </cfRule>
    <cfRule type="cellIs" dxfId="1335" priority="38" stopIfTrue="1" operator="greaterThan">
      <formula>-30</formula>
    </cfRule>
    <cfRule type="cellIs" dxfId="1334" priority="39" stopIfTrue="1" operator="between">
      <formula>-33</formula>
      <formula>-30</formula>
    </cfRule>
  </conditionalFormatting>
  <conditionalFormatting sqref="BA10">
    <cfRule type="containsBlanks" priority="34" stopIfTrue="1">
      <formula>LEN(TRIM(BA10))=0</formula>
    </cfRule>
    <cfRule type="cellIs" dxfId="1333" priority="35" stopIfTrue="1" operator="greaterThan">
      <formula>-30</formula>
    </cfRule>
    <cfRule type="cellIs" dxfId="1332" priority="36" stopIfTrue="1" operator="between">
      <formula>-33</formula>
      <formula>-30</formula>
    </cfRule>
  </conditionalFormatting>
  <conditionalFormatting sqref="BA11">
    <cfRule type="containsBlanks" priority="31" stopIfTrue="1">
      <formula>LEN(TRIM(BA11))=0</formula>
    </cfRule>
    <cfRule type="cellIs" dxfId="1331" priority="32" stopIfTrue="1" operator="greaterThan">
      <formula>-30</formula>
    </cfRule>
    <cfRule type="cellIs" dxfId="1330" priority="33" stopIfTrue="1" operator="between">
      <formula>-33</formula>
      <formula>-30</formula>
    </cfRule>
  </conditionalFormatting>
  <conditionalFormatting sqref="BJ10">
    <cfRule type="containsBlanks" priority="28" stopIfTrue="1">
      <formula>LEN(TRIM(BJ10))=0</formula>
    </cfRule>
    <cfRule type="cellIs" dxfId="1329" priority="29" stopIfTrue="1" operator="greaterThan">
      <formula>-30</formula>
    </cfRule>
    <cfRule type="cellIs" dxfId="1328" priority="30" stopIfTrue="1" operator="between">
      <formula>-33</formula>
      <formula>-30</formula>
    </cfRule>
  </conditionalFormatting>
  <conditionalFormatting sqref="BJ11">
    <cfRule type="containsBlanks" priority="25" stopIfTrue="1">
      <formula>LEN(TRIM(BJ11))=0</formula>
    </cfRule>
    <cfRule type="cellIs" dxfId="1327" priority="26" stopIfTrue="1" operator="greaterThan">
      <formula>-30</formula>
    </cfRule>
    <cfRule type="cellIs" dxfId="1326" priority="27" stopIfTrue="1" operator="between">
      <formula>-33</formula>
      <formula>-30</formula>
    </cfRule>
  </conditionalFormatting>
  <conditionalFormatting sqref="BS10">
    <cfRule type="containsBlanks" priority="22" stopIfTrue="1">
      <formula>LEN(TRIM(BS10))=0</formula>
    </cfRule>
    <cfRule type="cellIs" dxfId="1325" priority="23" stopIfTrue="1" operator="greaterThan">
      <formula>-30</formula>
    </cfRule>
    <cfRule type="cellIs" dxfId="1324" priority="24" stopIfTrue="1" operator="between">
      <formula>-33</formula>
      <formula>-30</formula>
    </cfRule>
  </conditionalFormatting>
  <conditionalFormatting sqref="BS11">
    <cfRule type="containsBlanks" priority="19" stopIfTrue="1">
      <formula>LEN(TRIM(BS11))=0</formula>
    </cfRule>
    <cfRule type="cellIs" dxfId="1323" priority="20" stopIfTrue="1" operator="greaterThan">
      <formula>-30</formula>
    </cfRule>
    <cfRule type="cellIs" dxfId="1322" priority="21" stopIfTrue="1" operator="between">
      <formula>-33</formula>
      <formula>-30</formula>
    </cfRule>
  </conditionalFormatting>
  <conditionalFormatting sqref="CB10">
    <cfRule type="containsBlanks" priority="16" stopIfTrue="1">
      <formula>LEN(TRIM(CB10))=0</formula>
    </cfRule>
    <cfRule type="cellIs" dxfId="1321" priority="17" stopIfTrue="1" operator="greaterThan">
      <formula>-30</formula>
    </cfRule>
    <cfRule type="cellIs" dxfId="1320" priority="18" stopIfTrue="1" operator="between">
      <formula>-33</formula>
      <formula>-30</formula>
    </cfRule>
  </conditionalFormatting>
  <conditionalFormatting sqref="CB11">
    <cfRule type="containsBlanks" priority="13" stopIfTrue="1">
      <formula>LEN(TRIM(CB11))=0</formula>
    </cfRule>
    <cfRule type="cellIs" dxfId="1319" priority="14" stopIfTrue="1" operator="greaterThan">
      <formula>-30</formula>
    </cfRule>
    <cfRule type="cellIs" dxfId="1318" priority="15" stopIfTrue="1" operator="between">
      <formula>-33</formula>
      <formula>-30</formula>
    </cfRule>
  </conditionalFormatting>
  <conditionalFormatting sqref="CK10">
    <cfRule type="containsBlanks" priority="10" stopIfTrue="1">
      <formula>LEN(TRIM(CK10))=0</formula>
    </cfRule>
    <cfRule type="cellIs" dxfId="1317" priority="11" stopIfTrue="1" operator="greaterThan">
      <formula>-30</formula>
    </cfRule>
    <cfRule type="cellIs" dxfId="1316" priority="12" stopIfTrue="1" operator="between">
      <formula>-33</formula>
      <formula>-30</formula>
    </cfRule>
  </conditionalFormatting>
  <conditionalFormatting sqref="CK11">
    <cfRule type="containsBlanks" priority="7" stopIfTrue="1">
      <formula>LEN(TRIM(CK11))=0</formula>
    </cfRule>
    <cfRule type="cellIs" dxfId="1315" priority="8" stopIfTrue="1" operator="greaterThan">
      <formula>-30</formula>
    </cfRule>
    <cfRule type="cellIs" dxfId="1314" priority="9" stopIfTrue="1" operator="between">
      <formula>-33</formula>
      <formula>-30</formula>
    </cfRule>
  </conditionalFormatting>
  <conditionalFormatting sqref="CT10">
    <cfRule type="containsBlanks" priority="4" stopIfTrue="1">
      <formula>LEN(TRIM(CT10))=0</formula>
    </cfRule>
    <cfRule type="cellIs" dxfId="1313" priority="5" stopIfTrue="1" operator="greaterThan">
      <formula>-30</formula>
    </cfRule>
    <cfRule type="cellIs" dxfId="1312" priority="6" stopIfTrue="1" operator="between">
      <formula>-33</formula>
      <formula>-30</formula>
    </cfRule>
  </conditionalFormatting>
  <conditionalFormatting sqref="CT11">
    <cfRule type="containsBlanks" priority="1" stopIfTrue="1">
      <formula>LEN(TRIM(CT11))=0</formula>
    </cfRule>
    <cfRule type="cellIs" dxfId="1311" priority="2" stopIfTrue="1" operator="greaterThan">
      <formula>-30</formula>
    </cfRule>
    <cfRule type="cellIs" dxfId="1310" priority="3" stopIfTrue="1" operator="between">
      <formula>-33</formula>
      <formula>-30</formula>
    </cfRule>
  </conditionalFormatting>
  <conditionalFormatting sqref="H7">
    <cfRule type="containsBlanks" priority="268" stopIfTrue="1">
      <formula>LEN(TRIM(H7))=0</formula>
    </cfRule>
    <cfRule type="cellIs" dxfId="1309" priority="269" stopIfTrue="1" operator="greaterThan">
      <formula>-30</formula>
    </cfRule>
    <cfRule type="cellIs" dxfId="1308" priority="270" stopIfTrue="1" operator="between">
      <formula>-33</formula>
      <formula>-30</formula>
    </cfRule>
  </conditionalFormatting>
  <conditionalFormatting sqref="H8">
    <cfRule type="containsBlanks" priority="265" stopIfTrue="1">
      <formula>LEN(TRIM(H8))=0</formula>
    </cfRule>
    <cfRule type="cellIs" dxfId="1307" priority="266" stopIfTrue="1" operator="greaterThan">
      <formula>-30</formula>
    </cfRule>
    <cfRule type="cellIs" dxfId="1306" priority="267" stopIfTrue="1" operator="between">
      <formula>-33</formula>
      <formula>-30</formula>
    </cfRule>
  </conditionalFormatting>
  <conditionalFormatting sqref="H9">
    <cfRule type="containsBlanks" priority="262" stopIfTrue="1">
      <formula>LEN(TRIM(H9))=0</formula>
    </cfRule>
    <cfRule type="cellIs" dxfId="1305" priority="263" stopIfTrue="1" operator="greaterThan">
      <formula>-30</formula>
    </cfRule>
    <cfRule type="cellIs" dxfId="1304" priority="264" stopIfTrue="1" operator="between">
      <formula>-33</formula>
      <formula>-30</formula>
    </cfRule>
  </conditionalFormatting>
  <conditionalFormatting sqref="Q7">
    <cfRule type="containsBlanks" priority="259" stopIfTrue="1">
      <formula>LEN(TRIM(Q7))=0</formula>
    </cfRule>
    <cfRule type="cellIs" dxfId="1303" priority="260" stopIfTrue="1" operator="greaterThan">
      <formula>-30</formula>
    </cfRule>
    <cfRule type="cellIs" dxfId="1302" priority="261" stopIfTrue="1" operator="between">
      <formula>-33</formula>
      <formula>-30</formula>
    </cfRule>
  </conditionalFormatting>
  <conditionalFormatting sqref="Q8">
    <cfRule type="containsBlanks" priority="256" stopIfTrue="1">
      <formula>LEN(TRIM(Q8))=0</formula>
    </cfRule>
    <cfRule type="cellIs" dxfId="1301" priority="257" stopIfTrue="1" operator="greaterThan">
      <formula>-30</formula>
    </cfRule>
    <cfRule type="cellIs" dxfId="1300" priority="258" stopIfTrue="1" operator="between">
      <formula>-33</formula>
      <formula>-30</formula>
    </cfRule>
  </conditionalFormatting>
  <conditionalFormatting sqref="Q9">
    <cfRule type="containsBlanks" priority="253" stopIfTrue="1">
      <formula>LEN(TRIM(Q9))=0</formula>
    </cfRule>
    <cfRule type="cellIs" dxfId="1299" priority="254" stopIfTrue="1" operator="greaterThan">
      <formula>-30</formula>
    </cfRule>
    <cfRule type="cellIs" dxfId="1298" priority="255" stopIfTrue="1" operator="between">
      <formula>-33</formula>
      <formula>-30</formula>
    </cfRule>
  </conditionalFormatting>
  <conditionalFormatting sqref="Z7">
    <cfRule type="containsBlanks" priority="250" stopIfTrue="1">
      <formula>LEN(TRIM(Z7))=0</formula>
    </cfRule>
    <cfRule type="cellIs" dxfId="1297" priority="251" stopIfTrue="1" operator="greaterThan">
      <formula>-30</formula>
    </cfRule>
    <cfRule type="cellIs" dxfId="1296" priority="252" stopIfTrue="1" operator="between">
      <formula>-33</formula>
      <formula>-30</formula>
    </cfRule>
  </conditionalFormatting>
  <conditionalFormatting sqref="Z8">
    <cfRule type="containsBlanks" priority="247" stopIfTrue="1">
      <formula>LEN(TRIM(Z8))=0</formula>
    </cfRule>
    <cfRule type="cellIs" dxfId="1295" priority="248" stopIfTrue="1" operator="greaterThan">
      <formula>-30</formula>
    </cfRule>
    <cfRule type="cellIs" dxfId="1294" priority="249" stopIfTrue="1" operator="between">
      <formula>-33</formula>
      <formula>-30</formula>
    </cfRule>
  </conditionalFormatting>
  <conditionalFormatting sqref="Z9">
    <cfRule type="containsBlanks" priority="244" stopIfTrue="1">
      <formula>LEN(TRIM(Z9))=0</formula>
    </cfRule>
    <cfRule type="cellIs" dxfId="1293" priority="245" stopIfTrue="1" operator="greaterThan">
      <formula>-30</formula>
    </cfRule>
    <cfRule type="cellIs" dxfId="1292" priority="246" stopIfTrue="1" operator="between">
      <formula>-33</formula>
      <formula>-30</formula>
    </cfRule>
  </conditionalFormatting>
  <conditionalFormatting sqref="AI7">
    <cfRule type="containsBlanks" priority="241" stopIfTrue="1">
      <formula>LEN(TRIM(AI7))=0</formula>
    </cfRule>
    <cfRule type="cellIs" dxfId="1291" priority="242" stopIfTrue="1" operator="greaterThan">
      <formula>-30</formula>
    </cfRule>
    <cfRule type="cellIs" dxfId="1290" priority="243" stopIfTrue="1" operator="between">
      <formula>-33</formula>
      <formula>-30</formula>
    </cfRule>
  </conditionalFormatting>
  <conditionalFormatting sqref="AI8">
    <cfRule type="containsBlanks" priority="238" stopIfTrue="1">
      <formula>LEN(TRIM(AI8))=0</formula>
    </cfRule>
    <cfRule type="cellIs" dxfId="1289" priority="239" stopIfTrue="1" operator="greaterThan">
      <formula>-30</formula>
    </cfRule>
    <cfRule type="cellIs" dxfId="1288" priority="240" stopIfTrue="1" operator="between">
      <formula>-33</formula>
      <formula>-30</formula>
    </cfRule>
  </conditionalFormatting>
  <conditionalFormatting sqref="AI9">
    <cfRule type="containsBlanks" priority="235" stopIfTrue="1">
      <formula>LEN(TRIM(AI9))=0</formula>
    </cfRule>
    <cfRule type="cellIs" dxfId="1287" priority="236" stopIfTrue="1" operator="greaterThan">
      <formula>-30</formula>
    </cfRule>
    <cfRule type="cellIs" dxfId="1286" priority="237" stopIfTrue="1" operator="between">
      <formula>-33</formula>
      <formula>-30</formula>
    </cfRule>
  </conditionalFormatting>
  <conditionalFormatting sqref="AR7">
    <cfRule type="containsBlanks" priority="232" stopIfTrue="1">
      <formula>LEN(TRIM(AR7))=0</formula>
    </cfRule>
    <cfRule type="cellIs" dxfId="1285" priority="233" stopIfTrue="1" operator="greaterThan">
      <formula>-30</formula>
    </cfRule>
    <cfRule type="cellIs" dxfId="1284" priority="234" stopIfTrue="1" operator="between">
      <formula>-33</formula>
      <formula>-30</formula>
    </cfRule>
  </conditionalFormatting>
  <conditionalFormatting sqref="AR8">
    <cfRule type="containsBlanks" priority="229" stopIfTrue="1">
      <formula>LEN(TRIM(AR8))=0</formula>
    </cfRule>
    <cfRule type="cellIs" dxfId="1283" priority="230" stopIfTrue="1" operator="greaterThan">
      <formula>-30</formula>
    </cfRule>
    <cfRule type="cellIs" dxfId="1282" priority="231" stopIfTrue="1" operator="between">
      <formula>-33</formula>
      <formula>-30</formula>
    </cfRule>
  </conditionalFormatting>
  <conditionalFormatting sqref="AR9">
    <cfRule type="containsBlanks" priority="226" stopIfTrue="1">
      <formula>LEN(TRIM(AR9))=0</formula>
    </cfRule>
    <cfRule type="cellIs" dxfId="1281" priority="227" stopIfTrue="1" operator="greaterThan">
      <formula>-30</formula>
    </cfRule>
    <cfRule type="cellIs" dxfId="1280" priority="228" stopIfTrue="1" operator="between">
      <formula>-33</formula>
      <formula>-30</formula>
    </cfRule>
  </conditionalFormatting>
  <conditionalFormatting sqref="BA7">
    <cfRule type="containsBlanks" priority="223" stopIfTrue="1">
      <formula>LEN(TRIM(BA7))=0</formula>
    </cfRule>
    <cfRule type="cellIs" dxfId="1279" priority="224" stopIfTrue="1" operator="greaterThan">
      <formula>-30</formula>
    </cfRule>
    <cfRule type="cellIs" dxfId="1278" priority="225" stopIfTrue="1" operator="between">
      <formula>-33</formula>
      <formula>-30</formula>
    </cfRule>
  </conditionalFormatting>
  <conditionalFormatting sqref="BA8">
    <cfRule type="containsBlanks" priority="220" stopIfTrue="1">
      <formula>LEN(TRIM(BA8))=0</formula>
    </cfRule>
    <cfRule type="cellIs" dxfId="1277" priority="221" stopIfTrue="1" operator="greaterThan">
      <formula>-30</formula>
    </cfRule>
    <cfRule type="cellIs" dxfId="1276" priority="222" stopIfTrue="1" operator="between">
      <formula>-33</formula>
      <formula>-30</formula>
    </cfRule>
  </conditionalFormatting>
  <conditionalFormatting sqref="BA9">
    <cfRule type="containsBlanks" priority="217" stopIfTrue="1">
      <formula>LEN(TRIM(BA9))=0</formula>
    </cfRule>
    <cfRule type="cellIs" dxfId="1275" priority="218" stopIfTrue="1" operator="greaterThan">
      <formula>-30</formula>
    </cfRule>
    <cfRule type="cellIs" dxfId="1274" priority="219" stopIfTrue="1" operator="between">
      <formula>-33</formula>
      <formula>-30</formula>
    </cfRule>
  </conditionalFormatting>
  <conditionalFormatting sqref="BJ7">
    <cfRule type="containsBlanks" priority="214" stopIfTrue="1">
      <formula>LEN(TRIM(BJ7))=0</formula>
    </cfRule>
    <cfRule type="cellIs" dxfId="1273" priority="215" stopIfTrue="1" operator="greaterThan">
      <formula>-30</formula>
    </cfRule>
    <cfRule type="cellIs" dxfId="1272" priority="216" stopIfTrue="1" operator="between">
      <formula>-33</formula>
      <formula>-30</formula>
    </cfRule>
  </conditionalFormatting>
  <conditionalFormatting sqref="BJ8">
    <cfRule type="containsBlanks" priority="211" stopIfTrue="1">
      <formula>LEN(TRIM(BJ8))=0</formula>
    </cfRule>
    <cfRule type="cellIs" dxfId="1271" priority="212" stopIfTrue="1" operator="greaterThan">
      <formula>-30</formula>
    </cfRule>
    <cfRule type="cellIs" dxfId="1270" priority="213" stopIfTrue="1" operator="between">
      <formula>-33</formula>
      <formula>-30</formula>
    </cfRule>
  </conditionalFormatting>
  <conditionalFormatting sqref="BJ9">
    <cfRule type="containsBlanks" priority="208" stopIfTrue="1">
      <formula>LEN(TRIM(BJ9))=0</formula>
    </cfRule>
    <cfRule type="cellIs" dxfId="1269" priority="209" stopIfTrue="1" operator="greaterThan">
      <formula>-30</formula>
    </cfRule>
    <cfRule type="cellIs" dxfId="1268" priority="210" stopIfTrue="1" operator="between">
      <formula>-33</formula>
      <formula>-30</formula>
    </cfRule>
  </conditionalFormatting>
  <conditionalFormatting sqref="BS7">
    <cfRule type="containsBlanks" priority="205" stopIfTrue="1">
      <formula>LEN(TRIM(BS7))=0</formula>
    </cfRule>
    <cfRule type="cellIs" dxfId="1267" priority="206" stopIfTrue="1" operator="greaterThan">
      <formula>-30</formula>
    </cfRule>
    <cfRule type="cellIs" dxfId="1266" priority="207" stopIfTrue="1" operator="between">
      <formula>-33</formula>
      <formula>-30</formula>
    </cfRule>
  </conditionalFormatting>
  <conditionalFormatting sqref="BS8">
    <cfRule type="containsBlanks" priority="202" stopIfTrue="1">
      <formula>LEN(TRIM(BS8))=0</formula>
    </cfRule>
    <cfRule type="cellIs" dxfId="1265" priority="203" stopIfTrue="1" operator="greaterThan">
      <formula>-30</formula>
    </cfRule>
    <cfRule type="cellIs" dxfId="1264" priority="204" stopIfTrue="1" operator="between">
      <formula>-33</formula>
      <formula>-30</formula>
    </cfRule>
  </conditionalFormatting>
  <conditionalFormatting sqref="BS9">
    <cfRule type="containsBlanks" priority="199" stopIfTrue="1">
      <formula>LEN(TRIM(BS9))=0</formula>
    </cfRule>
    <cfRule type="cellIs" dxfId="1263" priority="200" stopIfTrue="1" operator="greaterThan">
      <formula>-30</formula>
    </cfRule>
    <cfRule type="cellIs" dxfId="1262" priority="201" stopIfTrue="1" operator="between">
      <formula>-33</formula>
      <formula>-30</formula>
    </cfRule>
  </conditionalFormatting>
  <conditionalFormatting sqref="CB7">
    <cfRule type="containsBlanks" priority="196" stopIfTrue="1">
      <formula>LEN(TRIM(CB7))=0</formula>
    </cfRule>
    <cfRule type="cellIs" dxfId="1261" priority="197" stopIfTrue="1" operator="greaterThan">
      <formula>-30</formula>
    </cfRule>
    <cfRule type="cellIs" dxfId="1260" priority="198" stopIfTrue="1" operator="between">
      <formula>-33</formula>
      <formula>-30</formula>
    </cfRule>
  </conditionalFormatting>
  <conditionalFormatting sqref="CB8">
    <cfRule type="containsBlanks" priority="193" stopIfTrue="1">
      <formula>LEN(TRIM(CB8))=0</formula>
    </cfRule>
    <cfRule type="cellIs" dxfId="1259" priority="194" stopIfTrue="1" operator="greaterThan">
      <formula>-30</formula>
    </cfRule>
    <cfRule type="cellIs" dxfId="1258" priority="195" stopIfTrue="1" operator="between">
      <formula>-33</formula>
      <formula>-30</formula>
    </cfRule>
  </conditionalFormatting>
  <conditionalFormatting sqref="CB9">
    <cfRule type="containsBlanks" priority="190" stopIfTrue="1">
      <formula>LEN(TRIM(CB9))=0</formula>
    </cfRule>
    <cfRule type="cellIs" dxfId="1257" priority="191" stopIfTrue="1" operator="greaterThan">
      <formula>-30</formula>
    </cfRule>
    <cfRule type="cellIs" dxfId="1256" priority="192" stopIfTrue="1" operator="between">
      <formula>-33</formula>
      <formula>-30</formula>
    </cfRule>
  </conditionalFormatting>
  <conditionalFormatting sqref="Z7">
    <cfRule type="containsBlanks" priority="187" stopIfTrue="1">
      <formula>LEN(TRIM(Z7))=0</formula>
    </cfRule>
    <cfRule type="cellIs" dxfId="1255" priority="188" stopIfTrue="1" operator="greaterThan">
      <formula>-30</formula>
    </cfRule>
    <cfRule type="cellIs" dxfId="1254" priority="189" stopIfTrue="1" operator="between">
      <formula>-33</formula>
      <formula>-30</formula>
    </cfRule>
  </conditionalFormatting>
  <conditionalFormatting sqref="Z8">
    <cfRule type="containsBlanks" priority="184" stopIfTrue="1">
      <formula>LEN(TRIM(Z8))=0</formula>
    </cfRule>
    <cfRule type="cellIs" dxfId="1253" priority="185" stopIfTrue="1" operator="greaterThan">
      <formula>-30</formula>
    </cfRule>
    <cfRule type="cellIs" dxfId="1252" priority="186" stopIfTrue="1" operator="between">
      <formula>-33</formula>
      <formula>-30</formula>
    </cfRule>
  </conditionalFormatting>
  <conditionalFormatting sqref="Z9">
    <cfRule type="containsBlanks" priority="181" stopIfTrue="1">
      <formula>LEN(TRIM(Z9))=0</formula>
    </cfRule>
    <cfRule type="cellIs" dxfId="1251" priority="182" stopIfTrue="1" operator="greaterThan">
      <formula>-30</formula>
    </cfRule>
    <cfRule type="cellIs" dxfId="1250" priority="183" stopIfTrue="1" operator="between">
      <formula>-33</formula>
      <formula>-30</formula>
    </cfRule>
  </conditionalFormatting>
  <conditionalFormatting sqref="AI7">
    <cfRule type="containsBlanks" priority="178" stopIfTrue="1">
      <formula>LEN(TRIM(AI7))=0</formula>
    </cfRule>
    <cfRule type="cellIs" dxfId="1249" priority="179" stopIfTrue="1" operator="greaterThan">
      <formula>-30</formula>
    </cfRule>
    <cfRule type="cellIs" dxfId="1248" priority="180" stopIfTrue="1" operator="between">
      <formula>-33</formula>
      <formula>-30</formula>
    </cfRule>
  </conditionalFormatting>
  <conditionalFormatting sqref="AI8">
    <cfRule type="containsBlanks" priority="175" stopIfTrue="1">
      <formula>LEN(TRIM(AI8))=0</formula>
    </cfRule>
    <cfRule type="cellIs" dxfId="1247" priority="176" stopIfTrue="1" operator="greaterThan">
      <formula>-30</formula>
    </cfRule>
    <cfRule type="cellIs" dxfId="1246" priority="177" stopIfTrue="1" operator="between">
      <formula>-33</formula>
      <formula>-30</formula>
    </cfRule>
  </conditionalFormatting>
  <conditionalFormatting sqref="AI9">
    <cfRule type="containsBlanks" priority="172" stopIfTrue="1">
      <formula>LEN(TRIM(AI9))=0</formula>
    </cfRule>
    <cfRule type="cellIs" dxfId="1245" priority="173" stopIfTrue="1" operator="greaterThan">
      <formula>-30</formula>
    </cfRule>
    <cfRule type="cellIs" dxfId="1244" priority="174" stopIfTrue="1" operator="between">
      <formula>-33</formula>
      <formula>-30</formula>
    </cfRule>
  </conditionalFormatting>
  <conditionalFormatting sqref="AR7">
    <cfRule type="containsBlanks" priority="169" stopIfTrue="1">
      <formula>LEN(TRIM(AR7))=0</formula>
    </cfRule>
    <cfRule type="cellIs" dxfId="1243" priority="170" stopIfTrue="1" operator="greaterThan">
      <formula>-30</formula>
    </cfRule>
    <cfRule type="cellIs" dxfId="1242" priority="171" stopIfTrue="1" operator="between">
      <formula>-33</formula>
      <formula>-30</formula>
    </cfRule>
  </conditionalFormatting>
  <conditionalFormatting sqref="AR8">
    <cfRule type="containsBlanks" priority="166" stopIfTrue="1">
      <formula>LEN(TRIM(AR8))=0</formula>
    </cfRule>
    <cfRule type="cellIs" dxfId="1241" priority="167" stopIfTrue="1" operator="greaterThan">
      <formula>-30</formula>
    </cfRule>
    <cfRule type="cellIs" dxfId="1240" priority="168" stopIfTrue="1" operator="between">
      <formula>-33</formula>
      <formula>-30</formula>
    </cfRule>
  </conditionalFormatting>
  <conditionalFormatting sqref="AR9">
    <cfRule type="containsBlanks" priority="163" stopIfTrue="1">
      <formula>LEN(TRIM(AR9))=0</formula>
    </cfRule>
    <cfRule type="cellIs" dxfId="1239" priority="164" stopIfTrue="1" operator="greaterThan">
      <formula>-30</formula>
    </cfRule>
    <cfRule type="cellIs" dxfId="1238" priority="165" stopIfTrue="1" operator="between">
      <formula>-33</formula>
      <formula>-30</formula>
    </cfRule>
  </conditionalFormatting>
  <conditionalFormatting sqref="BA7">
    <cfRule type="containsBlanks" priority="160" stopIfTrue="1">
      <formula>LEN(TRIM(BA7))=0</formula>
    </cfRule>
    <cfRule type="cellIs" dxfId="1237" priority="161" stopIfTrue="1" operator="greaterThan">
      <formula>-30</formula>
    </cfRule>
    <cfRule type="cellIs" dxfId="1236" priority="162" stopIfTrue="1" operator="between">
      <formula>-33</formula>
      <formula>-30</formula>
    </cfRule>
  </conditionalFormatting>
  <conditionalFormatting sqref="BA8">
    <cfRule type="containsBlanks" priority="157" stopIfTrue="1">
      <formula>LEN(TRIM(BA8))=0</formula>
    </cfRule>
    <cfRule type="cellIs" dxfId="1235" priority="158" stopIfTrue="1" operator="greaterThan">
      <formula>-30</formula>
    </cfRule>
    <cfRule type="cellIs" dxfId="1234" priority="159" stopIfTrue="1" operator="between">
      <formula>-33</formula>
      <formula>-30</formula>
    </cfRule>
  </conditionalFormatting>
  <conditionalFormatting sqref="BA9">
    <cfRule type="containsBlanks" priority="154" stopIfTrue="1">
      <formula>LEN(TRIM(BA9))=0</formula>
    </cfRule>
    <cfRule type="cellIs" dxfId="1233" priority="155" stopIfTrue="1" operator="greaterThan">
      <formula>-30</formula>
    </cfRule>
    <cfRule type="cellIs" dxfId="1232" priority="156" stopIfTrue="1" operator="between">
      <formula>-33</formula>
      <formula>-30</formula>
    </cfRule>
  </conditionalFormatting>
  <conditionalFormatting sqref="BJ7">
    <cfRule type="containsBlanks" priority="151" stopIfTrue="1">
      <formula>LEN(TRIM(BJ7))=0</formula>
    </cfRule>
    <cfRule type="cellIs" dxfId="1231" priority="152" stopIfTrue="1" operator="greaterThan">
      <formula>-30</formula>
    </cfRule>
    <cfRule type="cellIs" dxfId="1230" priority="153" stopIfTrue="1" operator="between">
      <formula>-33</formula>
      <formula>-30</formula>
    </cfRule>
  </conditionalFormatting>
  <conditionalFormatting sqref="BJ8">
    <cfRule type="containsBlanks" priority="148" stopIfTrue="1">
      <formula>LEN(TRIM(BJ8))=0</formula>
    </cfRule>
    <cfRule type="cellIs" dxfId="1229" priority="149" stopIfTrue="1" operator="greaterThan">
      <formula>-30</formula>
    </cfRule>
    <cfRule type="cellIs" dxfId="1228" priority="150" stopIfTrue="1" operator="between">
      <formula>-33</formula>
      <formula>-30</formula>
    </cfRule>
  </conditionalFormatting>
  <conditionalFormatting sqref="BJ9">
    <cfRule type="containsBlanks" priority="145" stopIfTrue="1">
      <formula>LEN(TRIM(BJ9))=0</formula>
    </cfRule>
    <cfRule type="cellIs" dxfId="1227" priority="146" stopIfTrue="1" operator="greaterThan">
      <formula>-30</formula>
    </cfRule>
    <cfRule type="cellIs" dxfId="1226" priority="147" stopIfTrue="1" operator="between">
      <formula>-33</formula>
      <formula>-30</formula>
    </cfRule>
  </conditionalFormatting>
  <conditionalFormatting sqref="BS7">
    <cfRule type="containsBlanks" priority="142" stopIfTrue="1">
      <formula>LEN(TRIM(BS7))=0</formula>
    </cfRule>
    <cfRule type="cellIs" dxfId="1225" priority="143" stopIfTrue="1" operator="greaterThan">
      <formula>-30</formula>
    </cfRule>
    <cfRule type="cellIs" dxfId="1224" priority="144" stopIfTrue="1" operator="between">
      <formula>-33</formula>
      <formula>-30</formula>
    </cfRule>
  </conditionalFormatting>
  <conditionalFormatting sqref="BS8">
    <cfRule type="containsBlanks" priority="139" stopIfTrue="1">
      <formula>LEN(TRIM(BS8))=0</formula>
    </cfRule>
    <cfRule type="cellIs" dxfId="1223" priority="140" stopIfTrue="1" operator="greaterThan">
      <formula>-30</formula>
    </cfRule>
    <cfRule type="cellIs" dxfId="1222" priority="141" stopIfTrue="1" operator="between">
      <formula>-33</formula>
      <formula>-30</formula>
    </cfRule>
  </conditionalFormatting>
  <conditionalFormatting sqref="BS9">
    <cfRule type="containsBlanks" priority="136" stopIfTrue="1">
      <formula>LEN(TRIM(BS9))=0</formula>
    </cfRule>
    <cfRule type="cellIs" dxfId="1221" priority="137" stopIfTrue="1" operator="greaterThan">
      <formula>-30</formula>
    </cfRule>
    <cfRule type="cellIs" dxfId="1220" priority="138" stopIfTrue="1" operator="between">
      <formula>-33</formula>
      <formula>-30</formula>
    </cfRule>
  </conditionalFormatting>
  <conditionalFormatting sqref="CB7">
    <cfRule type="containsBlanks" priority="133" stopIfTrue="1">
      <formula>LEN(TRIM(CB7))=0</formula>
    </cfRule>
    <cfRule type="cellIs" dxfId="1219" priority="134" stopIfTrue="1" operator="greaterThan">
      <formula>-30</formula>
    </cfRule>
    <cfRule type="cellIs" dxfId="1218" priority="135" stopIfTrue="1" operator="between">
      <formula>-33</formula>
      <formula>-30</formula>
    </cfRule>
  </conditionalFormatting>
  <conditionalFormatting sqref="CB8">
    <cfRule type="containsBlanks" priority="130" stopIfTrue="1">
      <formula>LEN(TRIM(CB8))=0</formula>
    </cfRule>
    <cfRule type="cellIs" dxfId="1217" priority="131" stopIfTrue="1" operator="greaterThan">
      <formula>-30</formula>
    </cfRule>
    <cfRule type="cellIs" dxfId="1216" priority="132" stopIfTrue="1" operator="between">
      <formula>-33</formula>
      <formula>-30</formula>
    </cfRule>
  </conditionalFormatting>
  <conditionalFormatting sqref="CB9">
    <cfRule type="containsBlanks" priority="127" stopIfTrue="1">
      <formula>LEN(TRIM(CB9))=0</formula>
    </cfRule>
    <cfRule type="cellIs" dxfId="1215" priority="128" stopIfTrue="1" operator="greaterThan">
      <formula>-30</formula>
    </cfRule>
    <cfRule type="cellIs" dxfId="1214" priority="129" stopIfTrue="1" operator="between">
      <formula>-33</formula>
      <formula>-30</formula>
    </cfRule>
  </conditionalFormatting>
  <conditionalFormatting sqref="CK7">
    <cfRule type="containsBlanks" priority="124" stopIfTrue="1">
      <formula>LEN(TRIM(CK7))=0</formula>
    </cfRule>
    <cfRule type="cellIs" dxfId="1213" priority="125" stopIfTrue="1" operator="greaterThan">
      <formula>-30</formula>
    </cfRule>
    <cfRule type="cellIs" dxfId="1212" priority="126" stopIfTrue="1" operator="between">
      <formula>-33</formula>
      <formula>-30</formula>
    </cfRule>
  </conditionalFormatting>
  <conditionalFormatting sqref="CK8">
    <cfRule type="containsBlanks" priority="121" stopIfTrue="1">
      <formula>LEN(TRIM(CK8))=0</formula>
    </cfRule>
    <cfRule type="cellIs" dxfId="1211" priority="122" stopIfTrue="1" operator="greaterThan">
      <formula>-30</formula>
    </cfRule>
    <cfRule type="cellIs" dxfId="1210" priority="123" stopIfTrue="1" operator="between">
      <formula>-33</formula>
      <formula>-30</formula>
    </cfRule>
  </conditionalFormatting>
  <conditionalFormatting sqref="CK9">
    <cfRule type="containsBlanks" priority="118" stopIfTrue="1">
      <formula>LEN(TRIM(CK9))=0</formula>
    </cfRule>
    <cfRule type="cellIs" dxfId="1209" priority="119" stopIfTrue="1" operator="greaterThan">
      <formula>-30</formula>
    </cfRule>
    <cfRule type="cellIs" dxfId="1208" priority="120" stopIfTrue="1" operator="between">
      <formula>-33</formula>
      <formula>-30</formula>
    </cfRule>
  </conditionalFormatting>
  <conditionalFormatting sqref="CT7">
    <cfRule type="containsBlanks" priority="115" stopIfTrue="1">
      <formula>LEN(TRIM(CT7))=0</formula>
    </cfRule>
    <cfRule type="cellIs" dxfId="1207" priority="116" stopIfTrue="1" operator="greaterThan">
      <formula>-30</formula>
    </cfRule>
    <cfRule type="cellIs" dxfId="1206" priority="117" stopIfTrue="1" operator="between">
      <formula>-33</formula>
      <formula>-30</formula>
    </cfRule>
  </conditionalFormatting>
  <conditionalFormatting sqref="CT8">
    <cfRule type="containsBlanks" priority="112" stopIfTrue="1">
      <formula>LEN(TRIM(CT8))=0</formula>
    </cfRule>
    <cfRule type="cellIs" dxfId="1205" priority="113" stopIfTrue="1" operator="greaterThan">
      <formula>-30</formula>
    </cfRule>
    <cfRule type="cellIs" dxfId="1204" priority="114" stopIfTrue="1" operator="between">
      <formula>-33</formula>
      <formula>-30</formula>
    </cfRule>
  </conditionalFormatting>
  <conditionalFormatting sqref="CT9">
    <cfRule type="containsBlanks" priority="109" stopIfTrue="1">
      <formula>LEN(TRIM(CT9))=0</formula>
    </cfRule>
    <cfRule type="cellIs" dxfId="1203" priority="110" stopIfTrue="1" operator="greaterThan">
      <formula>-30</formula>
    </cfRule>
    <cfRule type="cellIs" dxfId="1202" priority="111" stopIfTrue="1" operator="between">
      <formula>-33</formula>
      <formula>-30</formula>
    </cfRule>
  </conditionalFormatting>
  <conditionalFormatting sqref="H10">
    <cfRule type="containsBlanks" priority="106" stopIfTrue="1">
      <formula>LEN(TRIM(H10))=0</formula>
    </cfRule>
    <cfRule type="cellIs" dxfId="1201" priority="107" stopIfTrue="1" operator="greaterThan">
      <formula>-30</formula>
    </cfRule>
    <cfRule type="cellIs" dxfId="1200" priority="108" stopIfTrue="1" operator="between">
      <formula>-33</formula>
      <formula>-30</formula>
    </cfRule>
  </conditionalFormatting>
  <conditionalFormatting sqref="H11">
    <cfRule type="containsBlanks" priority="103" stopIfTrue="1">
      <formula>LEN(TRIM(H11))=0</formula>
    </cfRule>
    <cfRule type="cellIs" dxfId="1199" priority="104" stopIfTrue="1" operator="greaterThan">
      <formula>-30</formula>
    </cfRule>
    <cfRule type="cellIs" dxfId="1198" priority="105" stopIfTrue="1" operator="between">
      <formula>-33</formula>
      <formula>-30</formula>
    </cfRule>
  </conditionalFormatting>
  <conditionalFormatting sqref="Q10">
    <cfRule type="containsBlanks" priority="100" stopIfTrue="1">
      <formula>LEN(TRIM(Q10))=0</formula>
    </cfRule>
    <cfRule type="cellIs" dxfId="1197" priority="101" stopIfTrue="1" operator="greaterThan">
      <formula>-30</formula>
    </cfRule>
    <cfRule type="cellIs" dxfId="1196" priority="102" stopIfTrue="1" operator="between">
      <formula>-33</formula>
      <formula>-30</formula>
    </cfRule>
  </conditionalFormatting>
  <conditionalFormatting sqref="Q11">
    <cfRule type="containsBlanks" priority="97" stopIfTrue="1">
      <formula>LEN(TRIM(Q11))=0</formula>
    </cfRule>
    <cfRule type="cellIs" dxfId="1195" priority="98" stopIfTrue="1" operator="greaterThan">
      <formula>-30</formula>
    </cfRule>
    <cfRule type="cellIs" dxfId="1194" priority="99" stopIfTrue="1" operator="between">
      <formula>-33</formula>
      <formula>-30</formula>
    </cfRule>
  </conditionalFormatting>
  <conditionalFormatting sqref="Z10">
    <cfRule type="containsBlanks" priority="94" stopIfTrue="1">
      <formula>LEN(TRIM(Z10))=0</formula>
    </cfRule>
    <cfRule type="cellIs" dxfId="1193" priority="95" stopIfTrue="1" operator="greaterThan">
      <formula>-30</formula>
    </cfRule>
    <cfRule type="cellIs" dxfId="1192" priority="96" stopIfTrue="1" operator="between">
      <formula>-33</formula>
      <formula>-30</formula>
    </cfRule>
  </conditionalFormatting>
  <conditionalFormatting sqref="Z11">
    <cfRule type="containsBlanks" priority="91" stopIfTrue="1">
      <formula>LEN(TRIM(Z11))=0</formula>
    </cfRule>
    <cfRule type="cellIs" dxfId="1191" priority="92" stopIfTrue="1" operator="greaterThan">
      <formula>-30</formula>
    </cfRule>
    <cfRule type="cellIs" dxfId="1190" priority="93" stopIfTrue="1" operator="between">
      <formula>-33</formula>
      <formula>-30</formula>
    </cfRule>
  </conditionalFormatting>
  <conditionalFormatting sqref="AI10">
    <cfRule type="containsBlanks" priority="88" stopIfTrue="1">
      <formula>LEN(TRIM(AI10))=0</formula>
    </cfRule>
    <cfRule type="cellIs" dxfId="1189" priority="89" stopIfTrue="1" operator="greaterThan">
      <formula>-30</formula>
    </cfRule>
    <cfRule type="cellIs" dxfId="1188" priority="90" stopIfTrue="1" operator="between">
      <formula>-33</formula>
      <formula>-30</formula>
    </cfRule>
  </conditionalFormatting>
  <conditionalFormatting sqref="AI11">
    <cfRule type="containsBlanks" priority="85" stopIfTrue="1">
      <formula>LEN(TRIM(AI11))=0</formula>
    </cfRule>
    <cfRule type="cellIs" dxfId="1187" priority="86" stopIfTrue="1" operator="greaterThan">
      <formula>-30</formula>
    </cfRule>
    <cfRule type="cellIs" dxfId="1186" priority="87" stopIfTrue="1" operator="between">
      <formula>-33</formula>
      <formula>-30</formula>
    </cfRule>
  </conditionalFormatting>
  <conditionalFormatting sqref="AR10">
    <cfRule type="containsBlanks" priority="82" stopIfTrue="1">
      <formula>LEN(TRIM(AR10))=0</formula>
    </cfRule>
    <cfRule type="cellIs" dxfId="1185" priority="83" stopIfTrue="1" operator="greaterThan">
      <formula>-30</formula>
    </cfRule>
    <cfRule type="cellIs" dxfId="1184" priority="84" stopIfTrue="1" operator="between">
      <formula>-33</formula>
      <formula>-30</formula>
    </cfRule>
  </conditionalFormatting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CU19"/>
  <sheetViews>
    <sheetView topLeftCell="BR1" zoomScale="80" zoomScaleNormal="80" workbookViewId="0">
      <selection activeCell="CT7" sqref="CT7:CT25"/>
    </sheetView>
  </sheetViews>
  <sheetFormatPr defaultRowHeight="13.5"/>
  <cols>
    <col min="3" max="3" width="9.875" bestFit="1" customWidth="1"/>
    <col min="4" max="4" width="9" customWidth="1"/>
    <col min="9" max="9" width="7.625" bestFit="1" customWidth="1"/>
    <col min="10" max="10" width="7.75" bestFit="1" customWidth="1"/>
    <col min="11" max="11" width="8" bestFit="1" customWidth="1"/>
    <col min="12" max="12" width="9.875" bestFit="1" customWidth="1"/>
    <col min="13" max="13" width="9" customWidth="1"/>
    <col min="18" max="18" width="7.625" bestFit="1" customWidth="1"/>
    <col min="19" max="19" width="7.75" bestFit="1" customWidth="1"/>
    <col min="20" max="20" width="8" bestFit="1" customWidth="1"/>
    <col min="21" max="21" width="9.875" bestFit="1" customWidth="1"/>
    <col min="27" max="27" width="7.625" bestFit="1" customWidth="1"/>
    <col min="259" max="259" width="9.875" bestFit="1" customWidth="1"/>
    <col min="260" max="260" width="9" customWidth="1"/>
    <col min="265" max="265" width="7.625" bestFit="1" customWidth="1"/>
    <col min="266" max="266" width="7.75" bestFit="1" customWidth="1"/>
    <col min="267" max="267" width="8" bestFit="1" customWidth="1"/>
    <col min="268" max="268" width="9.875" bestFit="1" customWidth="1"/>
    <col min="269" max="269" width="9" customWidth="1"/>
    <col min="274" max="274" width="7.625" bestFit="1" customWidth="1"/>
    <col min="275" max="275" width="7.75" bestFit="1" customWidth="1"/>
    <col min="276" max="276" width="8" bestFit="1" customWidth="1"/>
    <col min="277" max="277" width="9.875" bestFit="1" customWidth="1"/>
    <col min="283" max="283" width="7.625" bestFit="1" customWidth="1"/>
    <col min="515" max="515" width="9.875" bestFit="1" customWidth="1"/>
    <col min="516" max="516" width="9" customWidth="1"/>
    <col min="521" max="521" width="7.625" bestFit="1" customWidth="1"/>
    <col min="522" max="522" width="7.75" bestFit="1" customWidth="1"/>
    <col min="523" max="523" width="8" bestFit="1" customWidth="1"/>
    <col min="524" max="524" width="9.875" bestFit="1" customWidth="1"/>
    <col min="525" max="525" width="9" customWidth="1"/>
    <col min="530" max="530" width="7.625" bestFit="1" customWidth="1"/>
    <col min="531" max="531" width="7.75" bestFit="1" customWidth="1"/>
    <col min="532" max="532" width="8" bestFit="1" customWidth="1"/>
    <col min="533" max="533" width="9.875" bestFit="1" customWidth="1"/>
    <col min="539" max="539" width="7.625" bestFit="1" customWidth="1"/>
    <col min="771" max="771" width="9.875" bestFit="1" customWidth="1"/>
    <col min="772" max="772" width="9" customWidth="1"/>
    <col min="777" max="777" width="7.625" bestFit="1" customWidth="1"/>
    <col min="778" max="778" width="7.75" bestFit="1" customWidth="1"/>
    <col min="779" max="779" width="8" bestFit="1" customWidth="1"/>
    <col min="780" max="780" width="9.875" bestFit="1" customWidth="1"/>
    <col min="781" max="781" width="9" customWidth="1"/>
    <col min="786" max="786" width="7.625" bestFit="1" customWidth="1"/>
    <col min="787" max="787" width="7.75" bestFit="1" customWidth="1"/>
    <col min="788" max="788" width="8" bestFit="1" customWidth="1"/>
    <col min="789" max="789" width="9.875" bestFit="1" customWidth="1"/>
    <col min="795" max="795" width="7.625" bestFit="1" customWidth="1"/>
    <col min="1027" max="1027" width="9.875" bestFit="1" customWidth="1"/>
    <col min="1028" max="1028" width="9" customWidth="1"/>
    <col min="1033" max="1033" width="7.625" bestFit="1" customWidth="1"/>
    <col min="1034" max="1034" width="7.75" bestFit="1" customWidth="1"/>
    <col min="1035" max="1035" width="8" bestFit="1" customWidth="1"/>
    <col min="1036" max="1036" width="9.875" bestFit="1" customWidth="1"/>
    <col min="1037" max="1037" width="9" customWidth="1"/>
    <col min="1042" max="1042" width="7.625" bestFit="1" customWidth="1"/>
    <col min="1043" max="1043" width="7.75" bestFit="1" customWidth="1"/>
    <col min="1044" max="1044" width="8" bestFit="1" customWidth="1"/>
    <col min="1045" max="1045" width="9.875" bestFit="1" customWidth="1"/>
    <col min="1051" max="1051" width="7.625" bestFit="1" customWidth="1"/>
    <col min="1283" max="1283" width="9.875" bestFit="1" customWidth="1"/>
    <col min="1284" max="1284" width="9" customWidth="1"/>
    <col min="1289" max="1289" width="7.625" bestFit="1" customWidth="1"/>
    <col min="1290" max="1290" width="7.75" bestFit="1" customWidth="1"/>
    <col min="1291" max="1291" width="8" bestFit="1" customWidth="1"/>
    <col min="1292" max="1292" width="9.875" bestFit="1" customWidth="1"/>
    <col min="1293" max="1293" width="9" customWidth="1"/>
    <col min="1298" max="1298" width="7.625" bestFit="1" customWidth="1"/>
    <col min="1299" max="1299" width="7.75" bestFit="1" customWidth="1"/>
    <col min="1300" max="1300" width="8" bestFit="1" customWidth="1"/>
    <col min="1301" max="1301" width="9.875" bestFit="1" customWidth="1"/>
    <col min="1307" max="1307" width="7.625" bestFit="1" customWidth="1"/>
    <col min="1539" max="1539" width="9.875" bestFit="1" customWidth="1"/>
    <col min="1540" max="1540" width="9" customWidth="1"/>
    <col min="1545" max="1545" width="7.625" bestFit="1" customWidth="1"/>
    <col min="1546" max="1546" width="7.75" bestFit="1" customWidth="1"/>
    <col min="1547" max="1547" width="8" bestFit="1" customWidth="1"/>
    <col min="1548" max="1548" width="9.875" bestFit="1" customWidth="1"/>
    <col min="1549" max="1549" width="9" customWidth="1"/>
    <col min="1554" max="1554" width="7.625" bestFit="1" customWidth="1"/>
    <col min="1555" max="1555" width="7.75" bestFit="1" customWidth="1"/>
    <col min="1556" max="1556" width="8" bestFit="1" customWidth="1"/>
    <col min="1557" max="1557" width="9.875" bestFit="1" customWidth="1"/>
    <col min="1563" max="1563" width="7.625" bestFit="1" customWidth="1"/>
    <col min="1795" max="1795" width="9.875" bestFit="1" customWidth="1"/>
    <col min="1796" max="1796" width="9" customWidth="1"/>
    <col min="1801" max="1801" width="7.625" bestFit="1" customWidth="1"/>
    <col min="1802" max="1802" width="7.75" bestFit="1" customWidth="1"/>
    <col min="1803" max="1803" width="8" bestFit="1" customWidth="1"/>
    <col min="1804" max="1804" width="9.875" bestFit="1" customWidth="1"/>
    <col min="1805" max="1805" width="9" customWidth="1"/>
    <col min="1810" max="1810" width="7.625" bestFit="1" customWidth="1"/>
    <col min="1811" max="1811" width="7.75" bestFit="1" customWidth="1"/>
    <col min="1812" max="1812" width="8" bestFit="1" customWidth="1"/>
    <col min="1813" max="1813" width="9.875" bestFit="1" customWidth="1"/>
    <col min="1819" max="1819" width="7.625" bestFit="1" customWidth="1"/>
    <col min="2051" max="2051" width="9.875" bestFit="1" customWidth="1"/>
    <col min="2052" max="2052" width="9" customWidth="1"/>
    <col min="2057" max="2057" width="7.625" bestFit="1" customWidth="1"/>
    <col min="2058" max="2058" width="7.75" bestFit="1" customWidth="1"/>
    <col min="2059" max="2059" width="8" bestFit="1" customWidth="1"/>
    <col min="2060" max="2060" width="9.875" bestFit="1" customWidth="1"/>
    <col min="2061" max="2061" width="9" customWidth="1"/>
    <col min="2066" max="2066" width="7.625" bestFit="1" customWidth="1"/>
    <col min="2067" max="2067" width="7.75" bestFit="1" customWidth="1"/>
    <col min="2068" max="2068" width="8" bestFit="1" customWidth="1"/>
    <col min="2069" max="2069" width="9.875" bestFit="1" customWidth="1"/>
    <col min="2075" max="2075" width="7.625" bestFit="1" customWidth="1"/>
    <col min="2307" max="2307" width="9.875" bestFit="1" customWidth="1"/>
    <col min="2308" max="2308" width="9" customWidth="1"/>
    <col min="2313" max="2313" width="7.625" bestFit="1" customWidth="1"/>
    <col min="2314" max="2314" width="7.75" bestFit="1" customWidth="1"/>
    <col min="2315" max="2315" width="8" bestFit="1" customWidth="1"/>
    <col min="2316" max="2316" width="9.875" bestFit="1" customWidth="1"/>
    <col min="2317" max="2317" width="9" customWidth="1"/>
    <col min="2322" max="2322" width="7.625" bestFit="1" customWidth="1"/>
    <col min="2323" max="2323" width="7.75" bestFit="1" customWidth="1"/>
    <col min="2324" max="2324" width="8" bestFit="1" customWidth="1"/>
    <col min="2325" max="2325" width="9.875" bestFit="1" customWidth="1"/>
    <col min="2331" max="2331" width="7.625" bestFit="1" customWidth="1"/>
    <col min="2563" max="2563" width="9.875" bestFit="1" customWidth="1"/>
    <col min="2564" max="2564" width="9" customWidth="1"/>
    <col min="2569" max="2569" width="7.625" bestFit="1" customWidth="1"/>
    <col min="2570" max="2570" width="7.75" bestFit="1" customWidth="1"/>
    <col min="2571" max="2571" width="8" bestFit="1" customWidth="1"/>
    <col min="2572" max="2572" width="9.875" bestFit="1" customWidth="1"/>
    <col min="2573" max="2573" width="9" customWidth="1"/>
    <col min="2578" max="2578" width="7.625" bestFit="1" customWidth="1"/>
    <col min="2579" max="2579" width="7.75" bestFit="1" customWidth="1"/>
    <col min="2580" max="2580" width="8" bestFit="1" customWidth="1"/>
    <col min="2581" max="2581" width="9.875" bestFit="1" customWidth="1"/>
    <col min="2587" max="2587" width="7.625" bestFit="1" customWidth="1"/>
    <col min="2819" max="2819" width="9.875" bestFit="1" customWidth="1"/>
    <col min="2820" max="2820" width="9" customWidth="1"/>
    <col min="2825" max="2825" width="7.625" bestFit="1" customWidth="1"/>
    <col min="2826" max="2826" width="7.75" bestFit="1" customWidth="1"/>
    <col min="2827" max="2827" width="8" bestFit="1" customWidth="1"/>
    <col min="2828" max="2828" width="9.875" bestFit="1" customWidth="1"/>
    <col min="2829" max="2829" width="9" customWidth="1"/>
    <col min="2834" max="2834" width="7.625" bestFit="1" customWidth="1"/>
    <col min="2835" max="2835" width="7.75" bestFit="1" customWidth="1"/>
    <col min="2836" max="2836" width="8" bestFit="1" customWidth="1"/>
    <col min="2837" max="2837" width="9.875" bestFit="1" customWidth="1"/>
    <col min="2843" max="2843" width="7.625" bestFit="1" customWidth="1"/>
    <col min="3075" max="3075" width="9.875" bestFit="1" customWidth="1"/>
    <col min="3076" max="3076" width="9" customWidth="1"/>
    <col min="3081" max="3081" width="7.625" bestFit="1" customWidth="1"/>
    <col min="3082" max="3082" width="7.75" bestFit="1" customWidth="1"/>
    <col min="3083" max="3083" width="8" bestFit="1" customWidth="1"/>
    <col min="3084" max="3084" width="9.875" bestFit="1" customWidth="1"/>
    <col min="3085" max="3085" width="9" customWidth="1"/>
    <col min="3090" max="3090" width="7.625" bestFit="1" customWidth="1"/>
    <col min="3091" max="3091" width="7.75" bestFit="1" customWidth="1"/>
    <col min="3092" max="3092" width="8" bestFit="1" customWidth="1"/>
    <col min="3093" max="3093" width="9.875" bestFit="1" customWidth="1"/>
    <col min="3099" max="3099" width="7.625" bestFit="1" customWidth="1"/>
    <col min="3331" max="3331" width="9.875" bestFit="1" customWidth="1"/>
    <col min="3332" max="3332" width="9" customWidth="1"/>
    <col min="3337" max="3337" width="7.625" bestFit="1" customWidth="1"/>
    <col min="3338" max="3338" width="7.75" bestFit="1" customWidth="1"/>
    <col min="3339" max="3339" width="8" bestFit="1" customWidth="1"/>
    <col min="3340" max="3340" width="9.875" bestFit="1" customWidth="1"/>
    <col min="3341" max="3341" width="9" customWidth="1"/>
    <col min="3346" max="3346" width="7.625" bestFit="1" customWidth="1"/>
    <col min="3347" max="3347" width="7.75" bestFit="1" customWidth="1"/>
    <col min="3348" max="3348" width="8" bestFit="1" customWidth="1"/>
    <col min="3349" max="3349" width="9.875" bestFit="1" customWidth="1"/>
    <col min="3355" max="3355" width="7.625" bestFit="1" customWidth="1"/>
    <col min="3587" max="3587" width="9.875" bestFit="1" customWidth="1"/>
    <col min="3588" max="3588" width="9" customWidth="1"/>
    <col min="3593" max="3593" width="7.625" bestFit="1" customWidth="1"/>
    <col min="3594" max="3594" width="7.75" bestFit="1" customWidth="1"/>
    <col min="3595" max="3595" width="8" bestFit="1" customWidth="1"/>
    <col min="3596" max="3596" width="9.875" bestFit="1" customWidth="1"/>
    <col min="3597" max="3597" width="9" customWidth="1"/>
    <col min="3602" max="3602" width="7.625" bestFit="1" customWidth="1"/>
    <col min="3603" max="3603" width="7.75" bestFit="1" customWidth="1"/>
    <col min="3604" max="3604" width="8" bestFit="1" customWidth="1"/>
    <col min="3605" max="3605" width="9.875" bestFit="1" customWidth="1"/>
    <col min="3611" max="3611" width="7.625" bestFit="1" customWidth="1"/>
    <col min="3843" max="3843" width="9.875" bestFit="1" customWidth="1"/>
    <col min="3844" max="3844" width="9" customWidth="1"/>
    <col min="3849" max="3849" width="7.625" bestFit="1" customWidth="1"/>
    <col min="3850" max="3850" width="7.75" bestFit="1" customWidth="1"/>
    <col min="3851" max="3851" width="8" bestFit="1" customWidth="1"/>
    <col min="3852" max="3852" width="9.875" bestFit="1" customWidth="1"/>
    <col min="3853" max="3853" width="9" customWidth="1"/>
    <col min="3858" max="3858" width="7.625" bestFit="1" customWidth="1"/>
    <col min="3859" max="3859" width="7.75" bestFit="1" customWidth="1"/>
    <col min="3860" max="3860" width="8" bestFit="1" customWidth="1"/>
    <col min="3861" max="3861" width="9.875" bestFit="1" customWidth="1"/>
    <col min="3867" max="3867" width="7.625" bestFit="1" customWidth="1"/>
    <col min="4099" max="4099" width="9.875" bestFit="1" customWidth="1"/>
    <col min="4100" max="4100" width="9" customWidth="1"/>
    <col min="4105" max="4105" width="7.625" bestFit="1" customWidth="1"/>
    <col min="4106" max="4106" width="7.75" bestFit="1" customWidth="1"/>
    <col min="4107" max="4107" width="8" bestFit="1" customWidth="1"/>
    <col min="4108" max="4108" width="9.875" bestFit="1" customWidth="1"/>
    <col min="4109" max="4109" width="9" customWidth="1"/>
    <col min="4114" max="4114" width="7.625" bestFit="1" customWidth="1"/>
    <col min="4115" max="4115" width="7.75" bestFit="1" customWidth="1"/>
    <col min="4116" max="4116" width="8" bestFit="1" customWidth="1"/>
    <col min="4117" max="4117" width="9.875" bestFit="1" customWidth="1"/>
    <col min="4123" max="4123" width="7.625" bestFit="1" customWidth="1"/>
    <col min="4355" max="4355" width="9.875" bestFit="1" customWidth="1"/>
    <col min="4356" max="4356" width="9" customWidth="1"/>
    <col min="4361" max="4361" width="7.625" bestFit="1" customWidth="1"/>
    <col min="4362" max="4362" width="7.75" bestFit="1" customWidth="1"/>
    <col min="4363" max="4363" width="8" bestFit="1" customWidth="1"/>
    <col min="4364" max="4364" width="9.875" bestFit="1" customWidth="1"/>
    <col min="4365" max="4365" width="9" customWidth="1"/>
    <col min="4370" max="4370" width="7.625" bestFit="1" customWidth="1"/>
    <col min="4371" max="4371" width="7.75" bestFit="1" customWidth="1"/>
    <col min="4372" max="4372" width="8" bestFit="1" customWidth="1"/>
    <col min="4373" max="4373" width="9.875" bestFit="1" customWidth="1"/>
    <col min="4379" max="4379" width="7.625" bestFit="1" customWidth="1"/>
    <col min="4611" max="4611" width="9.875" bestFit="1" customWidth="1"/>
    <col min="4612" max="4612" width="9" customWidth="1"/>
    <col min="4617" max="4617" width="7.625" bestFit="1" customWidth="1"/>
    <col min="4618" max="4618" width="7.75" bestFit="1" customWidth="1"/>
    <col min="4619" max="4619" width="8" bestFit="1" customWidth="1"/>
    <col min="4620" max="4620" width="9.875" bestFit="1" customWidth="1"/>
    <col min="4621" max="4621" width="9" customWidth="1"/>
    <col min="4626" max="4626" width="7.625" bestFit="1" customWidth="1"/>
    <col min="4627" max="4627" width="7.75" bestFit="1" customWidth="1"/>
    <col min="4628" max="4628" width="8" bestFit="1" customWidth="1"/>
    <col min="4629" max="4629" width="9.875" bestFit="1" customWidth="1"/>
    <col min="4635" max="4635" width="7.625" bestFit="1" customWidth="1"/>
    <col min="4867" max="4867" width="9.875" bestFit="1" customWidth="1"/>
    <col min="4868" max="4868" width="9" customWidth="1"/>
    <col min="4873" max="4873" width="7.625" bestFit="1" customWidth="1"/>
    <col min="4874" max="4874" width="7.75" bestFit="1" customWidth="1"/>
    <col min="4875" max="4875" width="8" bestFit="1" customWidth="1"/>
    <col min="4876" max="4876" width="9.875" bestFit="1" customWidth="1"/>
    <col min="4877" max="4877" width="9" customWidth="1"/>
    <col min="4882" max="4882" width="7.625" bestFit="1" customWidth="1"/>
    <col min="4883" max="4883" width="7.75" bestFit="1" customWidth="1"/>
    <col min="4884" max="4884" width="8" bestFit="1" customWidth="1"/>
    <col min="4885" max="4885" width="9.875" bestFit="1" customWidth="1"/>
    <col min="4891" max="4891" width="7.625" bestFit="1" customWidth="1"/>
    <col min="5123" max="5123" width="9.875" bestFit="1" customWidth="1"/>
    <col min="5124" max="5124" width="9" customWidth="1"/>
    <col min="5129" max="5129" width="7.625" bestFit="1" customWidth="1"/>
    <col min="5130" max="5130" width="7.75" bestFit="1" customWidth="1"/>
    <col min="5131" max="5131" width="8" bestFit="1" customWidth="1"/>
    <col min="5132" max="5132" width="9.875" bestFit="1" customWidth="1"/>
    <col min="5133" max="5133" width="9" customWidth="1"/>
    <col min="5138" max="5138" width="7.625" bestFit="1" customWidth="1"/>
    <col min="5139" max="5139" width="7.75" bestFit="1" customWidth="1"/>
    <col min="5140" max="5140" width="8" bestFit="1" customWidth="1"/>
    <col min="5141" max="5141" width="9.875" bestFit="1" customWidth="1"/>
    <col min="5147" max="5147" width="7.625" bestFit="1" customWidth="1"/>
    <col min="5379" max="5379" width="9.875" bestFit="1" customWidth="1"/>
    <col min="5380" max="5380" width="9" customWidth="1"/>
    <col min="5385" max="5385" width="7.625" bestFit="1" customWidth="1"/>
    <col min="5386" max="5386" width="7.75" bestFit="1" customWidth="1"/>
    <col min="5387" max="5387" width="8" bestFit="1" customWidth="1"/>
    <col min="5388" max="5388" width="9.875" bestFit="1" customWidth="1"/>
    <col min="5389" max="5389" width="9" customWidth="1"/>
    <col min="5394" max="5394" width="7.625" bestFit="1" customWidth="1"/>
    <col min="5395" max="5395" width="7.75" bestFit="1" customWidth="1"/>
    <col min="5396" max="5396" width="8" bestFit="1" customWidth="1"/>
    <col min="5397" max="5397" width="9.875" bestFit="1" customWidth="1"/>
    <col min="5403" max="5403" width="7.625" bestFit="1" customWidth="1"/>
    <col min="5635" max="5635" width="9.875" bestFit="1" customWidth="1"/>
    <col min="5636" max="5636" width="9" customWidth="1"/>
    <col min="5641" max="5641" width="7.625" bestFit="1" customWidth="1"/>
    <col min="5642" max="5642" width="7.75" bestFit="1" customWidth="1"/>
    <col min="5643" max="5643" width="8" bestFit="1" customWidth="1"/>
    <col min="5644" max="5644" width="9.875" bestFit="1" customWidth="1"/>
    <col min="5645" max="5645" width="9" customWidth="1"/>
    <col min="5650" max="5650" width="7.625" bestFit="1" customWidth="1"/>
    <col min="5651" max="5651" width="7.75" bestFit="1" customWidth="1"/>
    <col min="5652" max="5652" width="8" bestFit="1" customWidth="1"/>
    <col min="5653" max="5653" width="9.875" bestFit="1" customWidth="1"/>
    <col min="5659" max="5659" width="7.625" bestFit="1" customWidth="1"/>
    <col min="5891" max="5891" width="9.875" bestFit="1" customWidth="1"/>
    <col min="5892" max="5892" width="9" customWidth="1"/>
    <col min="5897" max="5897" width="7.625" bestFit="1" customWidth="1"/>
    <col min="5898" max="5898" width="7.75" bestFit="1" customWidth="1"/>
    <col min="5899" max="5899" width="8" bestFit="1" customWidth="1"/>
    <col min="5900" max="5900" width="9.875" bestFit="1" customWidth="1"/>
    <col min="5901" max="5901" width="9" customWidth="1"/>
    <col min="5906" max="5906" width="7.625" bestFit="1" customWidth="1"/>
    <col min="5907" max="5907" width="7.75" bestFit="1" customWidth="1"/>
    <col min="5908" max="5908" width="8" bestFit="1" customWidth="1"/>
    <col min="5909" max="5909" width="9.875" bestFit="1" customWidth="1"/>
    <col min="5915" max="5915" width="7.625" bestFit="1" customWidth="1"/>
    <col min="6147" max="6147" width="9.875" bestFit="1" customWidth="1"/>
    <col min="6148" max="6148" width="9" customWidth="1"/>
    <col min="6153" max="6153" width="7.625" bestFit="1" customWidth="1"/>
    <col min="6154" max="6154" width="7.75" bestFit="1" customWidth="1"/>
    <col min="6155" max="6155" width="8" bestFit="1" customWidth="1"/>
    <col min="6156" max="6156" width="9.875" bestFit="1" customWidth="1"/>
    <col min="6157" max="6157" width="9" customWidth="1"/>
    <col min="6162" max="6162" width="7.625" bestFit="1" customWidth="1"/>
    <col min="6163" max="6163" width="7.75" bestFit="1" customWidth="1"/>
    <col min="6164" max="6164" width="8" bestFit="1" customWidth="1"/>
    <col min="6165" max="6165" width="9.875" bestFit="1" customWidth="1"/>
    <col min="6171" max="6171" width="7.625" bestFit="1" customWidth="1"/>
    <col min="6403" max="6403" width="9.875" bestFit="1" customWidth="1"/>
    <col min="6404" max="6404" width="9" customWidth="1"/>
    <col min="6409" max="6409" width="7.625" bestFit="1" customWidth="1"/>
    <col min="6410" max="6410" width="7.75" bestFit="1" customWidth="1"/>
    <col min="6411" max="6411" width="8" bestFit="1" customWidth="1"/>
    <col min="6412" max="6412" width="9.875" bestFit="1" customWidth="1"/>
    <col min="6413" max="6413" width="9" customWidth="1"/>
    <col min="6418" max="6418" width="7.625" bestFit="1" customWidth="1"/>
    <col min="6419" max="6419" width="7.75" bestFit="1" customWidth="1"/>
    <col min="6420" max="6420" width="8" bestFit="1" customWidth="1"/>
    <col min="6421" max="6421" width="9.875" bestFit="1" customWidth="1"/>
    <col min="6427" max="6427" width="7.625" bestFit="1" customWidth="1"/>
    <col min="6659" max="6659" width="9.875" bestFit="1" customWidth="1"/>
    <col min="6660" max="6660" width="9" customWidth="1"/>
    <col min="6665" max="6665" width="7.625" bestFit="1" customWidth="1"/>
    <col min="6666" max="6666" width="7.75" bestFit="1" customWidth="1"/>
    <col min="6667" max="6667" width="8" bestFit="1" customWidth="1"/>
    <col min="6668" max="6668" width="9.875" bestFit="1" customWidth="1"/>
    <col min="6669" max="6669" width="9" customWidth="1"/>
    <col min="6674" max="6674" width="7.625" bestFit="1" customWidth="1"/>
    <col min="6675" max="6675" width="7.75" bestFit="1" customWidth="1"/>
    <col min="6676" max="6676" width="8" bestFit="1" customWidth="1"/>
    <col min="6677" max="6677" width="9.875" bestFit="1" customWidth="1"/>
    <col min="6683" max="6683" width="7.625" bestFit="1" customWidth="1"/>
    <col min="6915" max="6915" width="9.875" bestFit="1" customWidth="1"/>
    <col min="6916" max="6916" width="9" customWidth="1"/>
    <col min="6921" max="6921" width="7.625" bestFit="1" customWidth="1"/>
    <col min="6922" max="6922" width="7.75" bestFit="1" customWidth="1"/>
    <col min="6923" max="6923" width="8" bestFit="1" customWidth="1"/>
    <col min="6924" max="6924" width="9.875" bestFit="1" customWidth="1"/>
    <col min="6925" max="6925" width="9" customWidth="1"/>
    <col min="6930" max="6930" width="7.625" bestFit="1" customWidth="1"/>
    <col min="6931" max="6931" width="7.75" bestFit="1" customWidth="1"/>
    <col min="6932" max="6932" width="8" bestFit="1" customWidth="1"/>
    <col min="6933" max="6933" width="9.875" bestFit="1" customWidth="1"/>
    <col min="6939" max="6939" width="7.625" bestFit="1" customWidth="1"/>
    <col min="7171" max="7171" width="9.875" bestFit="1" customWidth="1"/>
    <col min="7172" max="7172" width="9" customWidth="1"/>
    <col min="7177" max="7177" width="7.625" bestFit="1" customWidth="1"/>
    <col min="7178" max="7178" width="7.75" bestFit="1" customWidth="1"/>
    <col min="7179" max="7179" width="8" bestFit="1" customWidth="1"/>
    <col min="7180" max="7180" width="9.875" bestFit="1" customWidth="1"/>
    <col min="7181" max="7181" width="9" customWidth="1"/>
    <col min="7186" max="7186" width="7.625" bestFit="1" customWidth="1"/>
    <col min="7187" max="7187" width="7.75" bestFit="1" customWidth="1"/>
    <col min="7188" max="7188" width="8" bestFit="1" customWidth="1"/>
    <col min="7189" max="7189" width="9.875" bestFit="1" customWidth="1"/>
    <col min="7195" max="7195" width="7.625" bestFit="1" customWidth="1"/>
    <col min="7427" max="7427" width="9.875" bestFit="1" customWidth="1"/>
    <col min="7428" max="7428" width="9" customWidth="1"/>
    <col min="7433" max="7433" width="7.625" bestFit="1" customWidth="1"/>
    <col min="7434" max="7434" width="7.75" bestFit="1" customWidth="1"/>
    <col min="7435" max="7435" width="8" bestFit="1" customWidth="1"/>
    <col min="7436" max="7436" width="9.875" bestFit="1" customWidth="1"/>
    <col min="7437" max="7437" width="9" customWidth="1"/>
    <col min="7442" max="7442" width="7.625" bestFit="1" customWidth="1"/>
    <col min="7443" max="7443" width="7.75" bestFit="1" customWidth="1"/>
    <col min="7444" max="7444" width="8" bestFit="1" customWidth="1"/>
    <col min="7445" max="7445" width="9.875" bestFit="1" customWidth="1"/>
    <col min="7451" max="7451" width="7.625" bestFit="1" customWidth="1"/>
    <col min="7683" max="7683" width="9.875" bestFit="1" customWidth="1"/>
    <col min="7684" max="7684" width="9" customWidth="1"/>
    <col min="7689" max="7689" width="7.625" bestFit="1" customWidth="1"/>
    <col min="7690" max="7690" width="7.75" bestFit="1" customWidth="1"/>
    <col min="7691" max="7691" width="8" bestFit="1" customWidth="1"/>
    <col min="7692" max="7692" width="9.875" bestFit="1" customWidth="1"/>
    <col min="7693" max="7693" width="9" customWidth="1"/>
    <col min="7698" max="7698" width="7.625" bestFit="1" customWidth="1"/>
    <col min="7699" max="7699" width="7.75" bestFit="1" customWidth="1"/>
    <col min="7700" max="7700" width="8" bestFit="1" customWidth="1"/>
    <col min="7701" max="7701" width="9.875" bestFit="1" customWidth="1"/>
    <col min="7707" max="7707" width="7.625" bestFit="1" customWidth="1"/>
    <col min="7939" max="7939" width="9.875" bestFit="1" customWidth="1"/>
    <col min="7940" max="7940" width="9" customWidth="1"/>
    <col min="7945" max="7945" width="7.625" bestFit="1" customWidth="1"/>
    <col min="7946" max="7946" width="7.75" bestFit="1" customWidth="1"/>
    <col min="7947" max="7947" width="8" bestFit="1" customWidth="1"/>
    <col min="7948" max="7948" width="9.875" bestFit="1" customWidth="1"/>
    <col min="7949" max="7949" width="9" customWidth="1"/>
    <col min="7954" max="7954" width="7.625" bestFit="1" customWidth="1"/>
    <col min="7955" max="7955" width="7.75" bestFit="1" customWidth="1"/>
    <col min="7956" max="7956" width="8" bestFit="1" customWidth="1"/>
    <col min="7957" max="7957" width="9.875" bestFit="1" customWidth="1"/>
    <col min="7963" max="7963" width="7.625" bestFit="1" customWidth="1"/>
    <col min="8195" max="8195" width="9.875" bestFit="1" customWidth="1"/>
    <col min="8196" max="8196" width="9" customWidth="1"/>
    <col min="8201" max="8201" width="7.625" bestFit="1" customWidth="1"/>
    <col min="8202" max="8202" width="7.75" bestFit="1" customWidth="1"/>
    <col min="8203" max="8203" width="8" bestFit="1" customWidth="1"/>
    <col min="8204" max="8204" width="9.875" bestFit="1" customWidth="1"/>
    <col min="8205" max="8205" width="9" customWidth="1"/>
    <col min="8210" max="8210" width="7.625" bestFit="1" customWidth="1"/>
    <col min="8211" max="8211" width="7.75" bestFit="1" customWidth="1"/>
    <col min="8212" max="8212" width="8" bestFit="1" customWidth="1"/>
    <col min="8213" max="8213" width="9.875" bestFit="1" customWidth="1"/>
    <col min="8219" max="8219" width="7.625" bestFit="1" customWidth="1"/>
    <col min="8451" max="8451" width="9.875" bestFit="1" customWidth="1"/>
    <col min="8452" max="8452" width="9" customWidth="1"/>
    <col min="8457" max="8457" width="7.625" bestFit="1" customWidth="1"/>
    <col min="8458" max="8458" width="7.75" bestFit="1" customWidth="1"/>
    <col min="8459" max="8459" width="8" bestFit="1" customWidth="1"/>
    <col min="8460" max="8460" width="9.875" bestFit="1" customWidth="1"/>
    <col min="8461" max="8461" width="9" customWidth="1"/>
    <col min="8466" max="8466" width="7.625" bestFit="1" customWidth="1"/>
    <col min="8467" max="8467" width="7.75" bestFit="1" customWidth="1"/>
    <col min="8468" max="8468" width="8" bestFit="1" customWidth="1"/>
    <col min="8469" max="8469" width="9.875" bestFit="1" customWidth="1"/>
    <col min="8475" max="8475" width="7.625" bestFit="1" customWidth="1"/>
    <col min="8707" max="8707" width="9.875" bestFit="1" customWidth="1"/>
    <col min="8708" max="8708" width="9" customWidth="1"/>
    <col min="8713" max="8713" width="7.625" bestFit="1" customWidth="1"/>
    <col min="8714" max="8714" width="7.75" bestFit="1" customWidth="1"/>
    <col min="8715" max="8715" width="8" bestFit="1" customWidth="1"/>
    <col min="8716" max="8716" width="9.875" bestFit="1" customWidth="1"/>
    <col min="8717" max="8717" width="9" customWidth="1"/>
    <col min="8722" max="8722" width="7.625" bestFit="1" customWidth="1"/>
    <col min="8723" max="8723" width="7.75" bestFit="1" customWidth="1"/>
    <col min="8724" max="8724" width="8" bestFit="1" customWidth="1"/>
    <col min="8725" max="8725" width="9.875" bestFit="1" customWidth="1"/>
    <col min="8731" max="8731" width="7.625" bestFit="1" customWidth="1"/>
    <col min="8963" max="8963" width="9.875" bestFit="1" customWidth="1"/>
    <col min="8964" max="8964" width="9" customWidth="1"/>
    <col min="8969" max="8969" width="7.625" bestFit="1" customWidth="1"/>
    <col min="8970" max="8970" width="7.75" bestFit="1" customWidth="1"/>
    <col min="8971" max="8971" width="8" bestFit="1" customWidth="1"/>
    <col min="8972" max="8972" width="9.875" bestFit="1" customWidth="1"/>
    <col min="8973" max="8973" width="9" customWidth="1"/>
    <col min="8978" max="8978" width="7.625" bestFit="1" customWidth="1"/>
    <col min="8979" max="8979" width="7.75" bestFit="1" customWidth="1"/>
    <col min="8980" max="8980" width="8" bestFit="1" customWidth="1"/>
    <col min="8981" max="8981" width="9.875" bestFit="1" customWidth="1"/>
    <col min="8987" max="8987" width="7.625" bestFit="1" customWidth="1"/>
    <col min="9219" max="9219" width="9.875" bestFit="1" customWidth="1"/>
    <col min="9220" max="9220" width="9" customWidth="1"/>
    <col min="9225" max="9225" width="7.625" bestFit="1" customWidth="1"/>
    <col min="9226" max="9226" width="7.75" bestFit="1" customWidth="1"/>
    <col min="9227" max="9227" width="8" bestFit="1" customWidth="1"/>
    <col min="9228" max="9228" width="9.875" bestFit="1" customWidth="1"/>
    <col min="9229" max="9229" width="9" customWidth="1"/>
    <col min="9234" max="9234" width="7.625" bestFit="1" customWidth="1"/>
    <col min="9235" max="9235" width="7.75" bestFit="1" customWidth="1"/>
    <col min="9236" max="9236" width="8" bestFit="1" customWidth="1"/>
    <col min="9237" max="9237" width="9.875" bestFit="1" customWidth="1"/>
    <col min="9243" max="9243" width="7.625" bestFit="1" customWidth="1"/>
    <col min="9475" max="9475" width="9.875" bestFit="1" customWidth="1"/>
    <col min="9476" max="9476" width="9" customWidth="1"/>
    <col min="9481" max="9481" width="7.625" bestFit="1" customWidth="1"/>
    <col min="9482" max="9482" width="7.75" bestFit="1" customWidth="1"/>
    <col min="9483" max="9483" width="8" bestFit="1" customWidth="1"/>
    <col min="9484" max="9484" width="9.875" bestFit="1" customWidth="1"/>
    <col min="9485" max="9485" width="9" customWidth="1"/>
    <col min="9490" max="9490" width="7.625" bestFit="1" customWidth="1"/>
    <col min="9491" max="9491" width="7.75" bestFit="1" customWidth="1"/>
    <col min="9492" max="9492" width="8" bestFit="1" customWidth="1"/>
    <col min="9493" max="9493" width="9.875" bestFit="1" customWidth="1"/>
    <col min="9499" max="9499" width="7.625" bestFit="1" customWidth="1"/>
    <col min="9731" max="9731" width="9.875" bestFit="1" customWidth="1"/>
    <col min="9732" max="9732" width="9" customWidth="1"/>
    <col min="9737" max="9737" width="7.625" bestFit="1" customWidth="1"/>
    <col min="9738" max="9738" width="7.75" bestFit="1" customWidth="1"/>
    <col min="9739" max="9739" width="8" bestFit="1" customWidth="1"/>
    <col min="9740" max="9740" width="9.875" bestFit="1" customWidth="1"/>
    <col min="9741" max="9741" width="9" customWidth="1"/>
    <col min="9746" max="9746" width="7.625" bestFit="1" customWidth="1"/>
    <col min="9747" max="9747" width="7.75" bestFit="1" customWidth="1"/>
    <col min="9748" max="9748" width="8" bestFit="1" customWidth="1"/>
    <col min="9749" max="9749" width="9.875" bestFit="1" customWidth="1"/>
    <col min="9755" max="9755" width="7.625" bestFit="1" customWidth="1"/>
    <col min="9987" max="9987" width="9.875" bestFit="1" customWidth="1"/>
    <col min="9988" max="9988" width="9" customWidth="1"/>
    <col min="9993" max="9993" width="7.625" bestFit="1" customWidth="1"/>
    <col min="9994" max="9994" width="7.75" bestFit="1" customWidth="1"/>
    <col min="9995" max="9995" width="8" bestFit="1" customWidth="1"/>
    <col min="9996" max="9996" width="9.875" bestFit="1" customWidth="1"/>
    <col min="9997" max="9997" width="9" customWidth="1"/>
    <col min="10002" max="10002" width="7.625" bestFit="1" customWidth="1"/>
    <col min="10003" max="10003" width="7.75" bestFit="1" customWidth="1"/>
    <col min="10004" max="10004" width="8" bestFit="1" customWidth="1"/>
    <col min="10005" max="10005" width="9.875" bestFit="1" customWidth="1"/>
    <col min="10011" max="10011" width="7.625" bestFit="1" customWidth="1"/>
    <col min="10243" max="10243" width="9.875" bestFit="1" customWidth="1"/>
    <col min="10244" max="10244" width="9" customWidth="1"/>
    <col min="10249" max="10249" width="7.625" bestFit="1" customWidth="1"/>
    <col min="10250" max="10250" width="7.75" bestFit="1" customWidth="1"/>
    <col min="10251" max="10251" width="8" bestFit="1" customWidth="1"/>
    <col min="10252" max="10252" width="9.875" bestFit="1" customWidth="1"/>
    <col min="10253" max="10253" width="9" customWidth="1"/>
    <col min="10258" max="10258" width="7.625" bestFit="1" customWidth="1"/>
    <col min="10259" max="10259" width="7.75" bestFit="1" customWidth="1"/>
    <col min="10260" max="10260" width="8" bestFit="1" customWidth="1"/>
    <col min="10261" max="10261" width="9.875" bestFit="1" customWidth="1"/>
    <col min="10267" max="10267" width="7.625" bestFit="1" customWidth="1"/>
    <col min="10499" max="10499" width="9.875" bestFit="1" customWidth="1"/>
    <col min="10500" max="10500" width="9" customWidth="1"/>
    <col min="10505" max="10505" width="7.625" bestFit="1" customWidth="1"/>
    <col min="10506" max="10506" width="7.75" bestFit="1" customWidth="1"/>
    <col min="10507" max="10507" width="8" bestFit="1" customWidth="1"/>
    <col min="10508" max="10508" width="9.875" bestFit="1" customWidth="1"/>
    <col min="10509" max="10509" width="9" customWidth="1"/>
    <col min="10514" max="10514" width="7.625" bestFit="1" customWidth="1"/>
    <col min="10515" max="10515" width="7.75" bestFit="1" customWidth="1"/>
    <col min="10516" max="10516" width="8" bestFit="1" customWidth="1"/>
    <col min="10517" max="10517" width="9.875" bestFit="1" customWidth="1"/>
    <col min="10523" max="10523" width="7.625" bestFit="1" customWidth="1"/>
    <col min="10755" max="10755" width="9.875" bestFit="1" customWidth="1"/>
    <col min="10756" max="10756" width="9" customWidth="1"/>
    <col min="10761" max="10761" width="7.625" bestFit="1" customWidth="1"/>
    <col min="10762" max="10762" width="7.75" bestFit="1" customWidth="1"/>
    <col min="10763" max="10763" width="8" bestFit="1" customWidth="1"/>
    <col min="10764" max="10764" width="9.875" bestFit="1" customWidth="1"/>
    <col min="10765" max="10765" width="9" customWidth="1"/>
    <col min="10770" max="10770" width="7.625" bestFit="1" customWidth="1"/>
    <col min="10771" max="10771" width="7.75" bestFit="1" customWidth="1"/>
    <col min="10772" max="10772" width="8" bestFit="1" customWidth="1"/>
    <col min="10773" max="10773" width="9.875" bestFit="1" customWidth="1"/>
    <col min="10779" max="10779" width="7.625" bestFit="1" customWidth="1"/>
    <col min="11011" max="11011" width="9.875" bestFit="1" customWidth="1"/>
    <col min="11012" max="11012" width="9" customWidth="1"/>
    <col min="11017" max="11017" width="7.625" bestFit="1" customWidth="1"/>
    <col min="11018" max="11018" width="7.75" bestFit="1" customWidth="1"/>
    <col min="11019" max="11019" width="8" bestFit="1" customWidth="1"/>
    <col min="11020" max="11020" width="9.875" bestFit="1" customWidth="1"/>
    <col min="11021" max="11021" width="9" customWidth="1"/>
    <col min="11026" max="11026" width="7.625" bestFit="1" customWidth="1"/>
    <col min="11027" max="11027" width="7.75" bestFit="1" customWidth="1"/>
    <col min="11028" max="11028" width="8" bestFit="1" customWidth="1"/>
    <col min="11029" max="11029" width="9.875" bestFit="1" customWidth="1"/>
    <col min="11035" max="11035" width="7.625" bestFit="1" customWidth="1"/>
    <col min="11267" max="11267" width="9.875" bestFit="1" customWidth="1"/>
    <col min="11268" max="11268" width="9" customWidth="1"/>
    <col min="11273" max="11273" width="7.625" bestFit="1" customWidth="1"/>
    <col min="11274" max="11274" width="7.75" bestFit="1" customWidth="1"/>
    <col min="11275" max="11275" width="8" bestFit="1" customWidth="1"/>
    <col min="11276" max="11276" width="9.875" bestFit="1" customWidth="1"/>
    <col min="11277" max="11277" width="9" customWidth="1"/>
    <col min="11282" max="11282" width="7.625" bestFit="1" customWidth="1"/>
    <col min="11283" max="11283" width="7.75" bestFit="1" customWidth="1"/>
    <col min="11284" max="11284" width="8" bestFit="1" customWidth="1"/>
    <col min="11285" max="11285" width="9.875" bestFit="1" customWidth="1"/>
    <col min="11291" max="11291" width="7.625" bestFit="1" customWidth="1"/>
    <col min="11523" max="11523" width="9.875" bestFit="1" customWidth="1"/>
    <col min="11524" max="11524" width="9" customWidth="1"/>
    <col min="11529" max="11529" width="7.625" bestFit="1" customWidth="1"/>
    <col min="11530" max="11530" width="7.75" bestFit="1" customWidth="1"/>
    <col min="11531" max="11531" width="8" bestFit="1" customWidth="1"/>
    <col min="11532" max="11532" width="9.875" bestFit="1" customWidth="1"/>
    <col min="11533" max="11533" width="9" customWidth="1"/>
    <col min="11538" max="11538" width="7.625" bestFit="1" customWidth="1"/>
    <col min="11539" max="11539" width="7.75" bestFit="1" customWidth="1"/>
    <col min="11540" max="11540" width="8" bestFit="1" customWidth="1"/>
    <col min="11541" max="11541" width="9.875" bestFit="1" customWidth="1"/>
    <col min="11547" max="11547" width="7.625" bestFit="1" customWidth="1"/>
    <col min="11779" max="11779" width="9.875" bestFit="1" customWidth="1"/>
    <col min="11780" max="11780" width="9" customWidth="1"/>
    <col min="11785" max="11785" width="7.625" bestFit="1" customWidth="1"/>
    <col min="11786" max="11786" width="7.75" bestFit="1" customWidth="1"/>
    <col min="11787" max="11787" width="8" bestFit="1" customWidth="1"/>
    <col min="11788" max="11788" width="9.875" bestFit="1" customWidth="1"/>
    <col min="11789" max="11789" width="9" customWidth="1"/>
    <col min="11794" max="11794" width="7.625" bestFit="1" customWidth="1"/>
    <col min="11795" max="11795" width="7.75" bestFit="1" customWidth="1"/>
    <col min="11796" max="11796" width="8" bestFit="1" customWidth="1"/>
    <col min="11797" max="11797" width="9.875" bestFit="1" customWidth="1"/>
    <col min="11803" max="11803" width="7.625" bestFit="1" customWidth="1"/>
    <col min="12035" max="12035" width="9.875" bestFit="1" customWidth="1"/>
    <col min="12036" max="12036" width="9" customWidth="1"/>
    <col min="12041" max="12041" width="7.625" bestFit="1" customWidth="1"/>
    <col min="12042" max="12042" width="7.75" bestFit="1" customWidth="1"/>
    <col min="12043" max="12043" width="8" bestFit="1" customWidth="1"/>
    <col min="12044" max="12044" width="9.875" bestFit="1" customWidth="1"/>
    <col min="12045" max="12045" width="9" customWidth="1"/>
    <col min="12050" max="12050" width="7.625" bestFit="1" customWidth="1"/>
    <col min="12051" max="12051" width="7.75" bestFit="1" customWidth="1"/>
    <col min="12052" max="12052" width="8" bestFit="1" customWidth="1"/>
    <col min="12053" max="12053" width="9.875" bestFit="1" customWidth="1"/>
    <col min="12059" max="12059" width="7.625" bestFit="1" customWidth="1"/>
    <col min="12291" max="12291" width="9.875" bestFit="1" customWidth="1"/>
    <col min="12292" max="12292" width="9" customWidth="1"/>
    <col min="12297" max="12297" width="7.625" bestFit="1" customWidth="1"/>
    <col min="12298" max="12298" width="7.75" bestFit="1" customWidth="1"/>
    <col min="12299" max="12299" width="8" bestFit="1" customWidth="1"/>
    <col min="12300" max="12300" width="9.875" bestFit="1" customWidth="1"/>
    <col min="12301" max="12301" width="9" customWidth="1"/>
    <col min="12306" max="12306" width="7.625" bestFit="1" customWidth="1"/>
    <col min="12307" max="12307" width="7.75" bestFit="1" customWidth="1"/>
    <col min="12308" max="12308" width="8" bestFit="1" customWidth="1"/>
    <col min="12309" max="12309" width="9.875" bestFit="1" customWidth="1"/>
    <col min="12315" max="12315" width="7.625" bestFit="1" customWidth="1"/>
    <col min="12547" max="12547" width="9.875" bestFit="1" customWidth="1"/>
    <col min="12548" max="12548" width="9" customWidth="1"/>
    <col min="12553" max="12553" width="7.625" bestFit="1" customWidth="1"/>
    <col min="12554" max="12554" width="7.75" bestFit="1" customWidth="1"/>
    <col min="12555" max="12555" width="8" bestFit="1" customWidth="1"/>
    <col min="12556" max="12556" width="9.875" bestFit="1" customWidth="1"/>
    <col min="12557" max="12557" width="9" customWidth="1"/>
    <col min="12562" max="12562" width="7.625" bestFit="1" customWidth="1"/>
    <col min="12563" max="12563" width="7.75" bestFit="1" customWidth="1"/>
    <col min="12564" max="12564" width="8" bestFit="1" customWidth="1"/>
    <col min="12565" max="12565" width="9.875" bestFit="1" customWidth="1"/>
    <col min="12571" max="12571" width="7.625" bestFit="1" customWidth="1"/>
    <col min="12803" max="12803" width="9.875" bestFit="1" customWidth="1"/>
    <col min="12804" max="12804" width="9" customWidth="1"/>
    <col min="12809" max="12809" width="7.625" bestFit="1" customWidth="1"/>
    <col min="12810" max="12810" width="7.75" bestFit="1" customWidth="1"/>
    <col min="12811" max="12811" width="8" bestFit="1" customWidth="1"/>
    <col min="12812" max="12812" width="9.875" bestFit="1" customWidth="1"/>
    <col min="12813" max="12813" width="9" customWidth="1"/>
    <col min="12818" max="12818" width="7.625" bestFit="1" customWidth="1"/>
    <col min="12819" max="12819" width="7.75" bestFit="1" customWidth="1"/>
    <col min="12820" max="12820" width="8" bestFit="1" customWidth="1"/>
    <col min="12821" max="12821" width="9.875" bestFit="1" customWidth="1"/>
    <col min="12827" max="12827" width="7.625" bestFit="1" customWidth="1"/>
    <col min="13059" max="13059" width="9.875" bestFit="1" customWidth="1"/>
    <col min="13060" max="13060" width="9" customWidth="1"/>
    <col min="13065" max="13065" width="7.625" bestFit="1" customWidth="1"/>
    <col min="13066" max="13066" width="7.75" bestFit="1" customWidth="1"/>
    <col min="13067" max="13067" width="8" bestFit="1" customWidth="1"/>
    <col min="13068" max="13068" width="9.875" bestFit="1" customWidth="1"/>
    <col min="13069" max="13069" width="9" customWidth="1"/>
    <col min="13074" max="13074" width="7.625" bestFit="1" customWidth="1"/>
    <col min="13075" max="13075" width="7.75" bestFit="1" customWidth="1"/>
    <col min="13076" max="13076" width="8" bestFit="1" customWidth="1"/>
    <col min="13077" max="13077" width="9.875" bestFit="1" customWidth="1"/>
    <col min="13083" max="13083" width="7.625" bestFit="1" customWidth="1"/>
    <col min="13315" max="13315" width="9.875" bestFit="1" customWidth="1"/>
    <col min="13316" max="13316" width="9" customWidth="1"/>
    <col min="13321" max="13321" width="7.625" bestFit="1" customWidth="1"/>
    <col min="13322" max="13322" width="7.75" bestFit="1" customWidth="1"/>
    <col min="13323" max="13323" width="8" bestFit="1" customWidth="1"/>
    <col min="13324" max="13324" width="9.875" bestFit="1" customWidth="1"/>
    <col min="13325" max="13325" width="9" customWidth="1"/>
    <col min="13330" max="13330" width="7.625" bestFit="1" customWidth="1"/>
    <col min="13331" max="13331" width="7.75" bestFit="1" customWidth="1"/>
    <col min="13332" max="13332" width="8" bestFit="1" customWidth="1"/>
    <col min="13333" max="13333" width="9.875" bestFit="1" customWidth="1"/>
    <col min="13339" max="13339" width="7.625" bestFit="1" customWidth="1"/>
    <col min="13571" max="13571" width="9.875" bestFit="1" customWidth="1"/>
    <col min="13572" max="13572" width="9" customWidth="1"/>
    <col min="13577" max="13577" width="7.625" bestFit="1" customWidth="1"/>
    <col min="13578" max="13578" width="7.75" bestFit="1" customWidth="1"/>
    <col min="13579" max="13579" width="8" bestFit="1" customWidth="1"/>
    <col min="13580" max="13580" width="9.875" bestFit="1" customWidth="1"/>
    <col min="13581" max="13581" width="9" customWidth="1"/>
    <col min="13586" max="13586" width="7.625" bestFit="1" customWidth="1"/>
    <col min="13587" max="13587" width="7.75" bestFit="1" customWidth="1"/>
    <col min="13588" max="13588" width="8" bestFit="1" customWidth="1"/>
    <col min="13589" max="13589" width="9.875" bestFit="1" customWidth="1"/>
    <col min="13595" max="13595" width="7.625" bestFit="1" customWidth="1"/>
    <col min="13827" max="13827" width="9.875" bestFit="1" customWidth="1"/>
    <col min="13828" max="13828" width="9" customWidth="1"/>
    <col min="13833" max="13833" width="7.625" bestFit="1" customWidth="1"/>
    <col min="13834" max="13834" width="7.75" bestFit="1" customWidth="1"/>
    <col min="13835" max="13835" width="8" bestFit="1" customWidth="1"/>
    <col min="13836" max="13836" width="9.875" bestFit="1" customWidth="1"/>
    <col min="13837" max="13837" width="9" customWidth="1"/>
    <col min="13842" max="13842" width="7.625" bestFit="1" customWidth="1"/>
    <col min="13843" max="13843" width="7.75" bestFit="1" customWidth="1"/>
    <col min="13844" max="13844" width="8" bestFit="1" customWidth="1"/>
    <col min="13845" max="13845" width="9.875" bestFit="1" customWidth="1"/>
    <col min="13851" max="13851" width="7.625" bestFit="1" customWidth="1"/>
    <col min="14083" max="14083" width="9.875" bestFit="1" customWidth="1"/>
    <col min="14084" max="14084" width="9" customWidth="1"/>
    <col min="14089" max="14089" width="7.625" bestFit="1" customWidth="1"/>
    <col min="14090" max="14090" width="7.75" bestFit="1" customWidth="1"/>
    <col min="14091" max="14091" width="8" bestFit="1" customWidth="1"/>
    <col min="14092" max="14092" width="9.875" bestFit="1" customWidth="1"/>
    <col min="14093" max="14093" width="9" customWidth="1"/>
    <col min="14098" max="14098" width="7.625" bestFit="1" customWidth="1"/>
    <col min="14099" max="14099" width="7.75" bestFit="1" customWidth="1"/>
    <col min="14100" max="14100" width="8" bestFit="1" customWidth="1"/>
    <col min="14101" max="14101" width="9.875" bestFit="1" customWidth="1"/>
    <col min="14107" max="14107" width="7.625" bestFit="1" customWidth="1"/>
    <col min="14339" max="14339" width="9.875" bestFit="1" customWidth="1"/>
    <col min="14340" max="14340" width="9" customWidth="1"/>
    <col min="14345" max="14345" width="7.625" bestFit="1" customWidth="1"/>
    <col min="14346" max="14346" width="7.75" bestFit="1" customWidth="1"/>
    <col min="14347" max="14347" width="8" bestFit="1" customWidth="1"/>
    <col min="14348" max="14348" width="9.875" bestFit="1" customWidth="1"/>
    <col min="14349" max="14349" width="9" customWidth="1"/>
    <col min="14354" max="14354" width="7.625" bestFit="1" customWidth="1"/>
    <col min="14355" max="14355" width="7.75" bestFit="1" customWidth="1"/>
    <col min="14356" max="14356" width="8" bestFit="1" customWidth="1"/>
    <col min="14357" max="14357" width="9.875" bestFit="1" customWidth="1"/>
    <col min="14363" max="14363" width="7.625" bestFit="1" customWidth="1"/>
    <col min="14595" max="14595" width="9.875" bestFit="1" customWidth="1"/>
    <col min="14596" max="14596" width="9" customWidth="1"/>
    <col min="14601" max="14601" width="7.625" bestFit="1" customWidth="1"/>
    <col min="14602" max="14602" width="7.75" bestFit="1" customWidth="1"/>
    <col min="14603" max="14603" width="8" bestFit="1" customWidth="1"/>
    <col min="14604" max="14604" width="9.875" bestFit="1" customWidth="1"/>
    <col min="14605" max="14605" width="9" customWidth="1"/>
    <col min="14610" max="14610" width="7.625" bestFit="1" customWidth="1"/>
    <col min="14611" max="14611" width="7.75" bestFit="1" customWidth="1"/>
    <col min="14612" max="14612" width="8" bestFit="1" customWidth="1"/>
    <col min="14613" max="14613" width="9.875" bestFit="1" customWidth="1"/>
    <col min="14619" max="14619" width="7.625" bestFit="1" customWidth="1"/>
    <col min="14851" max="14851" width="9.875" bestFit="1" customWidth="1"/>
    <col min="14852" max="14852" width="9" customWidth="1"/>
    <col min="14857" max="14857" width="7.625" bestFit="1" customWidth="1"/>
    <col min="14858" max="14858" width="7.75" bestFit="1" customWidth="1"/>
    <col min="14859" max="14859" width="8" bestFit="1" customWidth="1"/>
    <col min="14860" max="14860" width="9.875" bestFit="1" customWidth="1"/>
    <col min="14861" max="14861" width="9" customWidth="1"/>
    <col min="14866" max="14866" width="7.625" bestFit="1" customWidth="1"/>
    <col min="14867" max="14867" width="7.75" bestFit="1" customWidth="1"/>
    <col min="14868" max="14868" width="8" bestFit="1" customWidth="1"/>
    <col min="14869" max="14869" width="9.875" bestFit="1" customWidth="1"/>
    <col min="14875" max="14875" width="7.625" bestFit="1" customWidth="1"/>
    <col min="15107" max="15107" width="9.875" bestFit="1" customWidth="1"/>
    <col min="15108" max="15108" width="9" customWidth="1"/>
    <col min="15113" max="15113" width="7.625" bestFit="1" customWidth="1"/>
    <col min="15114" max="15114" width="7.75" bestFit="1" customWidth="1"/>
    <col min="15115" max="15115" width="8" bestFit="1" customWidth="1"/>
    <col min="15116" max="15116" width="9.875" bestFit="1" customWidth="1"/>
    <col min="15117" max="15117" width="9" customWidth="1"/>
    <col min="15122" max="15122" width="7.625" bestFit="1" customWidth="1"/>
    <col min="15123" max="15123" width="7.75" bestFit="1" customWidth="1"/>
    <col min="15124" max="15124" width="8" bestFit="1" customWidth="1"/>
    <col min="15125" max="15125" width="9.875" bestFit="1" customWidth="1"/>
    <col min="15131" max="15131" width="7.625" bestFit="1" customWidth="1"/>
    <col min="15363" max="15363" width="9.875" bestFit="1" customWidth="1"/>
    <col min="15364" max="15364" width="9" customWidth="1"/>
    <col min="15369" max="15369" width="7.625" bestFit="1" customWidth="1"/>
    <col min="15370" max="15370" width="7.75" bestFit="1" customWidth="1"/>
    <col min="15371" max="15371" width="8" bestFit="1" customWidth="1"/>
    <col min="15372" max="15372" width="9.875" bestFit="1" customWidth="1"/>
    <col min="15373" max="15373" width="9" customWidth="1"/>
    <col min="15378" max="15378" width="7.625" bestFit="1" customWidth="1"/>
    <col min="15379" max="15379" width="7.75" bestFit="1" customWidth="1"/>
    <col min="15380" max="15380" width="8" bestFit="1" customWidth="1"/>
    <col min="15381" max="15381" width="9.875" bestFit="1" customWidth="1"/>
    <col min="15387" max="15387" width="7.625" bestFit="1" customWidth="1"/>
    <col min="15619" max="15619" width="9.875" bestFit="1" customWidth="1"/>
    <col min="15620" max="15620" width="9" customWidth="1"/>
    <col min="15625" max="15625" width="7.625" bestFit="1" customWidth="1"/>
    <col min="15626" max="15626" width="7.75" bestFit="1" customWidth="1"/>
    <col min="15627" max="15627" width="8" bestFit="1" customWidth="1"/>
    <col min="15628" max="15628" width="9.875" bestFit="1" customWidth="1"/>
    <col min="15629" max="15629" width="9" customWidth="1"/>
    <col min="15634" max="15634" width="7.625" bestFit="1" customWidth="1"/>
    <col min="15635" max="15635" width="7.75" bestFit="1" customWidth="1"/>
    <col min="15636" max="15636" width="8" bestFit="1" customWidth="1"/>
    <col min="15637" max="15637" width="9.875" bestFit="1" customWidth="1"/>
    <col min="15643" max="15643" width="7.625" bestFit="1" customWidth="1"/>
    <col min="15875" max="15875" width="9.875" bestFit="1" customWidth="1"/>
    <col min="15876" max="15876" width="9" customWidth="1"/>
    <col min="15881" max="15881" width="7.625" bestFit="1" customWidth="1"/>
    <col min="15882" max="15882" width="7.75" bestFit="1" customWidth="1"/>
    <col min="15883" max="15883" width="8" bestFit="1" customWidth="1"/>
    <col min="15884" max="15884" width="9.875" bestFit="1" customWidth="1"/>
    <col min="15885" max="15885" width="9" customWidth="1"/>
    <col min="15890" max="15890" width="7.625" bestFit="1" customWidth="1"/>
    <col min="15891" max="15891" width="7.75" bestFit="1" customWidth="1"/>
    <col min="15892" max="15892" width="8" bestFit="1" customWidth="1"/>
    <col min="15893" max="15893" width="9.875" bestFit="1" customWidth="1"/>
    <col min="15899" max="15899" width="7.625" bestFit="1" customWidth="1"/>
    <col min="16131" max="16131" width="9.875" bestFit="1" customWidth="1"/>
    <col min="16132" max="16132" width="9" customWidth="1"/>
    <col min="16137" max="16137" width="7.625" bestFit="1" customWidth="1"/>
    <col min="16138" max="16138" width="7.75" bestFit="1" customWidth="1"/>
    <col min="16139" max="16139" width="8" bestFit="1" customWidth="1"/>
    <col min="16140" max="16140" width="9.875" bestFit="1" customWidth="1"/>
    <col min="16141" max="16141" width="9" customWidth="1"/>
    <col min="16146" max="16146" width="7.625" bestFit="1" customWidth="1"/>
    <col min="16147" max="16147" width="7.75" bestFit="1" customWidth="1"/>
    <col min="16148" max="16148" width="8" bestFit="1" customWidth="1"/>
    <col min="16149" max="16149" width="9.875" bestFit="1" customWidth="1"/>
    <col min="16155" max="16155" width="7.625" bestFit="1" customWidth="1"/>
  </cols>
  <sheetData>
    <row r="1" spans="1:99" s="2" customFormat="1" ht="35.25">
      <c r="A1" s="1" t="s">
        <v>108</v>
      </c>
      <c r="B1" s="94" t="s">
        <v>109</v>
      </c>
      <c r="C1" s="94"/>
      <c r="D1" s="94"/>
      <c r="E1" s="94"/>
      <c r="F1" s="94"/>
      <c r="G1" s="94"/>
      <c r="H1" s="94"/>
      <c r="I1" s="94"/>
      <c r="J1" s="94"/>
      <c r="K1" s="94"/>
    </row>
    <row r="2" spans="1:99" ht="14.25">
      <c r="A2" s="3" t="s">
        <v>23</v>
      </c>
      <c r="B2" s="79" t="s">
        <v>24</v>
      </c>
      <c r="C2" s="80"/>
      <c r="D2" s="80"/>
      <c r="E2" s="80"/>
      <c r="F2" s="80"/>
      <c r="G2" s="80"/>
      <c r="H2" s="80"/>
      <c r="I2" s="80"/>
      <c r="J2" s="80"/>
      <c r="K2" s="1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99" ht="14.25">
      <c r="A3" s="3" t="s">
        <v>0</v>
      </c>
      <c r="B3" s="79" t="s">
        <v>25</v>
      </c>
      <c r="C3" s="80"/>
      <c r="D3" s="80"/>
      <c r="E3" s="80"/>
      <c r="F3" s="80"/>
      <c r="G3" s="80"/>
      <c r="H3" s="80"/>
      <c r="I3" s="80"/>
      <c r="J3" s="80"/>
      <c r="K3" s="1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99" ht="14.25" customHeight="1">
      <c r="A4" s="19" t="s">
        <v>167</v>
      </c>
      <c r="B4" s="5" t="s">
        <v>26</v>
      </c>
      <c r="C4" s="5" t="s">
        <v>27</v>
      </c>
      <c r="D4" s="5" t="s">
        <v>28</v>
      </c>
      <c r="E4" s="5" t="s">
        <v>56</v>
      </c>
      <c r="F4" s="5" t="s">
        <v>57</v>
      </c>
      <c r="G4" s="21" t="s">
        <v>3</v>
      </c>
      <c r="H4" s="41" t="s">
        <v>4</v>
      </c>
      <c r="I4" s="81" t="s">
        <v>29</v>
      </c>
      <c r="J4" s="19" t="s">
        <v>167</v>
      </c>
      <c r="K4" s="20" t="s">
        <v>26</v>
      </c>
      <c r="L4" s="20" t="s">
        <v>27</v>
      </c>
      <c r="M4" s="20" t="s">
        <v>28</v>
      </c>
      <c r="N4" s="20" t="s">
        <v>56</v>
      </c>
      <c r="O4" s="20" t="s">
        <v>57</v>
      </c>
      <c r="P4" s="21" t="s">
        <v>3</v>
      </c>
      <c r="Q4" s="41" t="s">
        <v>4</v>
      </c>
      <c r="R4" s="86" t="s">
        <v>29</v>
      </c>
      <c r="S4" s="19" t="s">
        <v>167</v>
      </c>
      <c r="T4" s="5" t="s">
        <v>26</v>
      </c>
      <c r="U4" s="5" t="s">
        <v>27</v>
      </c>
      <c r="V4" s="5" t="s">
        <v>28</v>
      </c>
      <c r="W4" s="5" t="s">
        <v>56</v>
      </c>
      <c r="X4" s="5" t="s">
        <v>57</v>
      </c>
      <c r="Y4" s="21" t="s">
        <v>3</v>
      </c>
      <c r="Z4" s="41" t="s">
        <v>4</v>
      </c>
      <c r="AA4" s="81" t="s">
        <v>29</v>
      </c>
      <c r="AB4" s="19" t="s">
        <v>167</v>
      </c>
      <c r="AC4" s="20" t="s">
        <v>26</v>
      </c>
      <c r="AD4" s="20" t="s">
        <v>27</v>
      </c>
      <c r="AE4" s="20" t="s">
        <v>28</v>
      </c>
      <c r="AF4" s="20" t="s">
        <v>56</v>
      </c>
      <c r="AG4" s="20" t="s">
        <v>57</v>
      </c>
      <c r="AH4" s="21" t="s">
        <v>3</v>
      </c>
      <c r="AI4" s="41" t="s">
        <v>4</v>
      </c>
      <c r="AJ4" s="86" t="s">
        <v>29</v>
      </c>
      <c r="AK4" s="19" t="s">
        <v>167</v>
      </c>
      <c r="AL4" s="20" t="s">
        <v>26</v>
      </c>
      <c r="AM4" s="20" t="s">
        <v>27</v>
      </c>
      <c r="AN4" s="20" t="s">
        <v>28</v>
      </c>
      <c r="AO4" s="20" t="s">
        <v>56</v>
      </c>
      <c r="AP4" s="20" t="s">
        <v>57</v>
      </c>
      <c r="AQ4" s="21" t="s">
        <v>3</v>
      </c>
      <c r="AR4" s="41" t="s">
        <v>4</v>
      </c>
      <c r="AS4" s="41" t="s">
        <v>29</v>
      </c>
      <c r="AT4" s="19" t="s">
        <v>167</v>
      </c>
      <c r="AU4" s="20" t="s">
        <v>26</v>
      </c>
      <c r="AV4" s="20" t="s">
        <v>27</v>
      </c>
      <c r="AW4" s="20" t="s">
        <v>28</v>
      </c>
      <c r="AX4" s="20" t="s">
        <v>56</v>
      </c>
      <c r="AY4" s="20" t="s">
        <v>57</v>
      </c>
      <c r="AZ4" s="21" t="s">
        <v>3</v>
      </c>
      <c r="BA4" s="41" t="s">
        <v>4</v>
      </c>
      <c r="BB4" s="49" t="s">
        <v>29</v>
      </c>
      <c r="BC4" s="19" t="s">
        <v>167</v>
      </c>
      <c r="BD4" s="20" t="s">
        <v>26</v>
      </c>
      <c r="BE4" s="20" t="s">
        <v>27</v>
      </c>
      <c r="BF4" s="20" t="s">
        <v>28</v>
      </c>
      <c r="BG4" s="20" t="s">
        <v>56</v>
      </c>
      <c r="BH4" s="20" t="s">
        <v>57</v>
      </c>
      <c r="BI4" s="21" t="s">
        <v>3</v>
      </c>
      <c r="BJ4" s="41" t="s">
        <v>4</v>
      </c>
      <c r="BK4" s="41" t="s">
        <v>29</v>
      </c>
      <c r="BL4" s="19" t="s">
        <v>167</v>
      </c>
      <c r="BM4" s="5" t="s">
        <v>26</v>
      </c>
      <c r="BN4" s="5" t="s">
        <v>27</v>
      </c>
      <c r="BO4" s="5" t="s">
        <v>28</v>
      </c>
      <c r="BP4" s="5" t="s">
        <v>56</v>
      </c>
      <c r="BQ4" s="5" t="s">
        <v>57</v>
      </c>
      <c r="BR4" s="21" t="s">
        <v>3</v>
      </c>
      <c r="BS4" s="41" t="s">
        <v>4</v>
      </c>
      <c r="BT4" s="47" t="s">
        <v>29</v>
      </c>
      <c r="BU4" s="19" t="s">
        <v>167</v>
      </c>
      <c r="BV4" s="20" t="s">
        <v>26</v>
      </c>
      <c r="BW4" s="20" t="s">
        <v>27</v>
      </c>
      <c r="BX4" s="20" t="s">
        <v>28</v>
      </c>
      <c r="BY4" s="20" t="s">
        <v>56</v>
      </c>
      <c r="BZ4" s="20" t="s">
        <v>57</v>
      </c>
      <c r="CA4" s="21" t="s">
        <v>3</v>
      </c>
      <c r="CB4" s="41" t="s">
        <v>4</v>
      </c>
      <c r="CC4" s="41" t="s">
        <v>29</v>
      </c>
      <c r="CD4" s="19" t="s">
        <v>167</v>
      </c>
      <c r="CE4" s="5" t="s">
        <v>26</v>
      </c>
      <c r="CF4" s="5" t="s">
        <v>27</v>
      </c>
      <c r="CG4" s="5" t="s">
        <v>28</v>
      </c>
      <c r="CH4" s="5" t="s">
        <v>56</v>
      </c>
      <c r="CI4" s="5" t="s">
        <v>57</v>
      </c>
      <c r="CJ4" s="21" t="s">
        <v>3</v>
      </c>
      <c r="CK4" s="41" t="s">
        <v>4</v>
      </c>
      <c r="CL4" s="47" t="s">
        <v>29</v>
      </c>
      <c r="CM4" s="19" t="s">
        <v>167</v>
      </c>
      <c r="CN4" s="20" t="s">
        <v>26</v>
      </c>
      <c r="CO4" s="20" t="s">
        <v>27</v>
      </c>
      <c r="CP4" s="20" t="s">
        <v>28</v>
      </c>
      <c r="CQ4" s="20" t="s">
        <v>56</v>
      </c>
      <c r="CR4" s="20" t="s">
        <v>57</v>
      </c>
      <c r="CS4" s="21" t="s">
        <v>3</v>
      </c>
      <c r="CT4" s="41" t="s">
        <v>4</v>
      </c>
      <c r="CU4" s="41" t="s">
        <v>29</v>
      </c>
    </row>
    <row r="5" spans="1:99" ht="15">
      <c r="A5" s="7" t="s">
        <v>30</v>
      </c>
      <c r="B5" s="8">
        <v>26697</v>
      </c>
      <c r="C5" s="8">
        <v>814.7</v>
      </c>
      <c r="D5" s="4">
        <v>1.4</v>
      </c>
      <c r="E5" s="8" t="s">
        <v>10</v>
      </c>
      <c r="F5" s="50">
        <v>1</v>
      </c>
      <c r="G5" s="24" t="s">
        <v>15</v>
      </c>
      <c r="H5" s="25" t="s">
        <v>6</v>
      </c>
      <c r="I5" s="82"/>
      <c r="J5" s="22" t="s">
        <v>31</v>
      </c>
      <c r="K5" s="28">
        <v>27033</v>
      </c>
      <c r="L5" s="28">
        <v>848.3</v>
      </c>
      <c r="M5" s="23">
        <v>1.4</v>
      </c>
      <c r="N5" s="28" t="s">
        <v>10</v>
      </c>
      <c r="O5" s="29">
        <v>1</v>
      </c>
      <c r="P5" s="24" t="s">
        <v>31</v>
      </c>
      <c r="Q5" s="25" t="s">
        <v>7</v>
      </c>
      <c r="R5" s="86"/>
      <c r="S5" s="7" t="s">
        <v>30</v>
      </c>
      <c r="T5" s="8">
        <v>26715</v>
      </c>
      <c r="U5" s="8">
        <v>816.5</v>
      </c>
      <c r="V5" s="4">
        <v>5</v>
      </c>
      <c r="W5" s="8" t="s">
        <v>10</v>
      </c>
      <c r="X5" s="50">
        <v>1</v>
      </c>
      <c r="Y5" s="24" t="s">
        <v>15</v>
      </c>
      <c r="Z5" s="25" t="s">
        <v>6</v>
      </c>
      <c r="AA5" s="82"/>
      <c r="AB5" s="22" t="s">
        <v>32</v>
      </c>
      <c r="AC5" s="28">
        <v>26865</v>
      </c>
      <c r="AD5" s="28">
        <v>831.5</v>
      </c>
      <c r="AE5" s="23">
        <v>5</v>
      </c>
      <c r="AF5" s="28" t="s">
        <v>10</v>
      </c>
      <c r="AG5" s="29">
        <v>1</v>
      </c>
      <c r="AH5" s="24" t="s">
        <v>15</v>
      </c>
      <c r="AI5" s="25" t="s">
        <v>7</v>
      </c>
      <c r="AJ5" s="86"/>
      <c r="AK5" s="27" t="s">
        <v>31</v>
      </c>
      <c r="AL5" s="28">
        <v>27015</v>
      </c>
      <c r="AM5" s="28">
        <v>846.5</v>
      </c>
      <c r="AN5" s="23">
        <v>5</v>
      </c>
      <c r="AO5" s="28" t="s">
        <v>10</v>
      </c>
      <c r="AP5" s="29">
        <v>1</v>
      </c>
      <c r="AQ5" s="24" t="s">
        <v>31</v>
      </c>
      <c r="AR5" s="25" t="s">
        <v>7</v>
      </c>
      <c r="AS5" s="41"/>
      <c r="AT5" s="27" t="s">
        <v>30</v>
      </c>
      <c r="AU5" s="28">
        <v>26715</v>
      </c>
      <c r="AV5" s="28">
        <v>816.5</v>
      </c>
      <c r="AW5" s="23">
        <v>5</v>
      </c>
      <c r="AX5" s="28" t="s">
        <v>10</v>
      </c>
      <c r="AY5" s="29">
        <v>25</v>
      </c>
      <c r="AZ5" s="24" t="s">
        <v>30</v>
      </c>
      <c r="BA5" s="25" t="s">
        <v>6</v>
      </c>
      <c r="BB5" s="51"/>
      <c r="BC5" s="27" t="s">
        <v>31</v>
      </c>
      <c r="BD5" s="28">
        <v>27015</v>
      </c>
      <c r="BE5" s="28">
        <v>846.5</v>
      </c>
      <c r="BF5" s="23">
        <v>5</v>
      </c>
      <c r="BG5" s="28" t="s">
        <v>10</v>
      </c>
      <c r="BH5" s="29">
        <v>25</v>
      </c>
      <c r="BI5" s="24" t="s">
        <v>31</v>
      </c>
      <c r="BJ5" s="25" t="s">
        <v>7</v>
      </c>
      <c r="BK5" s="41"/>
      <c r="BL5" s="7" t="s">
        <v>30</v>
      </c>
      <c r="BM5" s="8">
        <v>26775</v>
      </c>
      <c r="BN5" s="8">
        <v>822.5</v>
      </c>
      <c r="BO5" s="4">
        <v>15</v>
      </c>
      <c r="BP5" s="8" t="s">
        <v>10</v>
      </c>
      <c r="BQ5" s="50">
        <v>1</v>
      </c>
      <c r="BR5" s="24" t="s">
        <v>15</v>
      </c>
      <c r="BS5" s="25" t="s">
        <v>6</v>
      </c>
      <c r="BT5" s="48"/>
      <c r="BU5" s="27" t="s">
        <v>31</v>
      </c>
      <c r="BV5" s="28">
        <v>26965</v>
      </c>
      <c r="BW5" s="28">
        <v>841.5</v>
      </c>
      <c r="BX5" s="23">
        <v>15</v>
      </c>
      <c r="BY5" s="28" t="s">
        <v>10</v>
      </c>
      <c r="BZ5" s="29">
        <v>1</v>
      </c>
      <c r="CA5" s="24" t="s">
        <v>31</v>
      </c>
      <c r="CB5" s="25" t="s">
        <v>7</v>
      </c>
      <c r="CC5" s="41"/>
      <c r="CD5" s="7" t="s">
        <v>30</v>
      </c>
      <c r="CE5" s="8">
        <v>26775</v>
      </c>
      <c r="CF5" s="8">
        <v>822.5</v>
      </c>
      <c r="CG5" s="4">
        <v>15</v>
      </c>
      <c r="CH5" s="8" t="s">
        <v>10</v>
      </c>
      <c r="CI5" s="50">
        <v>75</v>
      </c>
      <c r="CJ5" s="24" t="s">
        <v>30</v>
      </c>
      <c r="CK5" s="25" t="s">
        <v>6</v>
      </c>
      <c r="CL5" s="48"/>
      <c r="CM5" s="27" t="s">
        <v>31</v>
      </c>
      <c r="CN5" s="28">
        <v>26965</v>
      </c>
      <c r="CO5" s="28">
        <v>841.5</v>
      </c>
      <c r="CP5" s="23">
        <v>15</v>
      </c>
      <c r="CQ5" s="28" t="s">
        <v>10</v>
      </c>
      <c r="CR5" s="29">
        <v>75</v>
      </c>
      <c r="CS5" s="24" t="s">
        <v>30</v>
      </c>
      <c r="CT5" s="25" t="s">
        <v>7</v>
      </c>
      <c r="CU5" s="41"/>
    </row>
    <row r="6" spans="1:99" ht="14.25">
      <c r="A6" s="83" t="s">
        <v>16</v>
      </c>
      <c r="B6" s="84"/>
      <c r="C6" s="6" t="s">
        <v>17</v>
      </c>
      <c r="D6" s="6" t="s">
        <v>33</v>
      </c>
      <c r="E6" s="83" t="s">
        <v>34</v>
      </c>
      <c r="F6" s="85"/>
      <c r="G6" s="84"/>
      <c r="H6" s="26" t="s">
        <v>5</v>
      </c>
      <c r="I6" s="2"/>
      <c r="J6" s="83" t="s">
        <v>16</v>
      </c>
      <c r="K6" s="84"/>
      <c r="L6" s="18" t="s">
        <v>17</v>
      </c>
      <c r="M6" s="18" t="s">
        <v>33</v>
      </c>
      <c r="N6" s="83" t="s">
        <v>34</v>
      </c>
      <c r="O6" s="85"/>
      <c r="P6" s="84"/>
      <c r="Q6" s="26" t="s">
        <v>5</v>
      </c>
      <c r="R6" s="19"/>
      <c r="S6" s="83" t="s">
        <v>16</v>
      </c>
      <c r="T6" s="84"/>
      <c r="U6" s="6" t="s">
        <v>17</v>
      </c>
      <c r="V6" s="6" t="s">
        <v>33</v>
      </c>
      <c r="W6" s="83" t="s">
        <v>34</v>
      </c>
      <c r="X6" s="85"/>
      <c r="Y6" s="84"/>
      <c r="Z6" s="26" t="s">
        <v>5</v>
      </c>
      <c r="AA6" s="2"/>
      <c r="AB6" s="83" t="s">
        <v>16</v>
      </c>
      <c r="AC6" s="84"/>
      <c r="AD6" s="18" t="s">
        <v>17</v>
      </c>
      <c r="AE6" s="18" t="s">
        <v>33</v>
      </c>
      <c r="AF6" s="83" t="s">
        <v>34</v>
      </c>
      <c r="AG6" s="85"/>
      <c r="AH6" s="84"/>
      <c r="AI6" s="26" t="s">
        <v>5</v>
      </c>
      <c r="AJ6" s="19"/>
      <c r="AK6" s="42" t="s">
        <v>16</v>
      </c>
      <c r="AL6" s="43"/>
      <c r="AM6" s="18" t="s">
        <v>17</v>
      </c>
      <c r="AN6" s="18" t="s">
        <v>33</v>
      </c>
      <c r="AO6" s="83" t="s">
        <v>34</v>
      </c>
      <c r="AP6" s="85"/>
      <c r="AQ6" s="84"/>
      <c r="AR6" s="26" t="s">
        <v>5</v>
      </c>
      <c r="AS6" s="19"/>
      <c r="AT6" s="42" t="s">
        <v>16</v>
      </c>
      <c r="AU6" s="43"/>
      <c r="AV6" s="18" t="s">
        <v>17</v>
      </c>
      <c r="AW6" s="18" t="s">
        <v>33</v>
      </c>
      <c r="AX6" s="83" t="s">
        <v>34</v>
      </c>
      <c r="AY6" s="85"/>
      <c r="AZ6" s="84"/>
      <c r="BA6" s="26" t="s">
        <v>5</v>
      </c>
      <c r="BB6" s="19"/>
      <c r="BC6" s="42" t="s">
        <v>16</v>
      </c>
      <c r="BD6" s="43"/>
      <c r="BE6" s="18" t="s">
        <v>17</v>
      </c>
      <c r="BF6" s="18" t="s">
        <v>33</v>
      </c>
      <c r="BG6" s="83" t="s">
        <v>34</v>
      </c>
      <c r="BH6" s="85"/>
      <c r="BI6" s="84"/>
      <c r="BJ6" s="26" t="s">
        <v>5</v>
      </c>
      <c r="BK6" s="19"/>
      <c r="BL6" s="52" t="s">
        <v>16</v>
      </c>
      <c r="BM6" s="53"/>
      <c r="BN6" s="6" t="s">
        <v>17</v>
      </c>
      <c r="BO6" s="6" t="s">
        <v>33</v>
      </c>
      <c r="BP6" s="83" t="s">
        <v>34</v>
      </c>
      <c r="BQ6" s="85"/>
      <c r="BR6" s="84"/>
      <c r="BS6" s="26" t="s">
        <v>5</v>
      </c>
      <c r="BT6" s="2"/>
      <c r="BU6" s="42" t="s">
        <v>16</v>
      </c>
      <c r="BV6" s="43"/>
      <c r="BW6" s="18" t="s">
        <v>17</v>
      </c>
      <c r="BX6" s="18" t="s">
        <v>33</v>
      </c>
      <c r="BY6" s="83" t="s">
        <v>34</v>
      </c>
      <c r="BZ6" s="85"/>
      <c r="CA6" s="84"/>
      <c r="CB6" s="26" t="s">
        <v>5</v>
      </c>
      <c r="CC6" s="19"/>
      <c r="CD6" s="52" t="s">
        <v>16</v>
      </c>
      <c r="CE6" s="53"/>
      <c r="CF6" s="6" t="s">
        <v>17</v>
      </c>
      <c r="CG6" s="6" t="s">
        <v>33</v>
      </c>
      <c r="CH6" s="83" t="s">
        <v>34</v>
      </c>
      <c r="CI6" s="85"/>
      <c r="CJ6" s="84"/>
      <c r="CK6" s="26" t="s">
        <v>5</v>
      </c>
      <c r="CL6" s="2"/>
      <c r="CM6" s="42" t="s">
        <v>16</v>
      </c>
      <c r="CN6" s="43"/>
      <c r="CO6" s="18" t="s">
        <v>17</v>
      </c>
      <c r="CP6" s="18" t="s">
        <v>33</v>
      </c>
      <c r="CQ6" s="83" t="s">
        <v>34</v>
      </c>
      <c r="CR6" s="85"/>
      <c r="CS6" s="84"/>
      <c r="CT6" s="26" t="s">
        <v>5</v>
      </c>
      <c r="CU6" s="19"/>
    </row>
    <row r="7" spans="1:99" ht="15">
      <c r="A7" s="54">
        <f>((C5-2.5*0.18)-0.2)*2</f>
        <v>1628.1</v>
      </c>
      <c r="B7" s="54">
        <f>((C5-2.5*0.18)+0.2)*2</f>
        <v>1628.9</v>
      </c>
      <c r="C7" s="10" t="s">
        <v>9</v>
      </c>
      <c r="D7" s="10" t="s">
        <v>9</v>
      </c>
      <c r="E7" s="87" t="s">
        <v>35</v>
      </c>
      <c r="F7" s="88"/>
      <c r="G7" s="89"/>
      <c r="H7" s="75"/>
      <c r="I7" s="55" t="s">
        <v>36</v>
      </c>
      <c r="J7" s="54">
        <f>((L5-2.5*0.18)-0.2)*2</f>
        <v>1695.2999999999997</v>
      </c>
      <c r="K7" s="54">
        <f>((L5-2.5*0.18)+0.2)*2</f>
        <v>1696.1</v>
      </c>
      <c r="L7" s="10" t="s">
        <v>9</v>
      </c>
      <c r="M7" s="10" t="s">
        <v>9</v>
      </c>
      <c r="N7" s="87" t="s">
        <v>35</v>
      </c>
      <c r="O7" s="88"/>
      <c r="P7" s="89"/>
      <c r="Q7" s="75"/>
      <c r="R7" s="55" t="s">
        <v>36</v>
      </c>
      <c r="S7" s="54">
        <f>((U5-INT((V5*5)/2)*0.18)-0.2)*2</f>
        <v>1628.28</v>
      </c>
      <c r="T7" s="54">
        <f>((U5-INT((V5*5)/2)*0.18)+0.2)*2</f>
        <v>1629.0800000000002</v>
      </c>
      <c r="U7" s="10" t="s">
        <v>9</v>
      </c>
      <c r="V7" s="10" t="s">
        <v>9</v>
      </c>
      <c r="W7" s="87" t="s">
        <v>35</v>
      </c>
      <c r="X7" s="88"/>
      <c r="Y7" s="89"/>
      <c r="Z7" s="75"/>
      <c r="AA7" s="55" t="s">
        <v>36</v>
      </c>
      <c r="AB7" s="54">
        <f>((AD5-INT((AE5*5)/2)*0.18)-0.2)*2</f>
        <v>1658.28</v>
      </c>
      <c r="AC7" s="54">
        <f>((AD5-INT((AE5*5)/2)*0.18)+0.2)*2</f>
        <v>1659.0800000000002</v>
      </c>
      <c r="AD7" s="10" t="s">
        <v>9</v>
      </c>
      <c r="AE7" s="10" t="s">
        <v>9</v>
      </c>
      <c r="AF7" s="87" t="s">
        <v>35</v>
      </c>
      <c r="AG7" s="88"/>
      <c r="AH7" s="89"/>
      <c r="AI7" s="75"/>
      <c r="AJ7" s="55" t="s">
        <v>36</v>
      </c>
      <c r="AK7" s="54">
        <f>((AM5+INT((AN5*5)/2)*0.18)-0.2)*2</f>
        <v>1696.9199999999998</v>
      </c>
      <c r="AL7" s="54">
        <f>((AM5+INT((AN5*5)/2)*0.18)+0.2)*2</f>
        <v>1697.72</v>
      </c>
      <c r="AM7" s="10" t="s">
        <v>9</v>
      </c>
      <c r="AN7" s="10" t="s">
        <v>9</v>
      </c>
      <c r="AO7" s="87" t="s">
        <v>35</v>
      </c>
      <c r="AP7" s="88"/>
      <c r="AQ7" s="89"/>
      <c r="AR7" s="75"/>
      <c r="AS7" s="55" t="s">
        <v>36</v>
      </c>
      <c r="AT7" s="54">
        <f>(AV5-AW5/2)*2</f>
        <v>1628</v>
      </c>
      <c r="AU7" s="54">
        <f>(AV5+AW5/2)*2</f>
        <v>1638</v>
      </c>
      <c r="AV7" s="10" t="s">
        <v>9</v>
      </c>
      <c r="AW7" s="10" t="s">
        <v>9</v>
      </c>
      <c r="AX7" s="87" t="s">
        <v>35</v>
      </c>
      <c r="AY7" s="88"/>
      <c r="AZ7" s="89"/>
      <c r="BA7" s="75"/>
      <c r="BB7" s="55" t="s">
        <v>36</v>
      </c>
      <c r="BC7" s="54">
        <f>(BE5-BF5/2)*2</f>
        <v>1688</v>
      </c>
      <c r="BD7" s="54">
        <f>(BE5+BF5/2)*2</f>
        <v>1698</v>
      </c>
      <c r="BE7" s="10" t="s">
        <v>9</v>
      </c>
      <c r="BF7" s="10" t="s">
        <v>9</v>
      </c>
      <c r="BG7" s="87" t="s">
        <v>35</v>
      </c>
      <c r="BH7" s="88"/>
      <c r="BI7" s="89"/>
      <c r="BJ7" s="75"/>
      <c r="BK7" s="55" t="s">
        <v>36</v>
      </c>
      <c r="BL7" s="54">
        <f>(BN5-(INT((BO5*5)/2)*0.18)-0.2)*2</f>
        <v>1631.28</v>
      </c>
      <c r="BM7" s="54">
        <f>(BN5-(INT((BO5*5)/2)*0.18)+0.2)*2</f>
        <v>1632.0800000000002</v>
      </c>
      <c r="BN7" s="10" t="s">
        <v>9</v>
      </c>
      <c r="BO7" s="10" t="s">
        <v>9</v>
      </c>
      <c r="BP7" s="87" t="s">
        <v>35</v>
      </c>
      <c r="BQ7" s="88"/>
      <c r="BR7" s="89"/>
      <c r="BS7" s="75"/>
      <c r="BT7" s="55" t="s">
        <v>36</v>
      </c>
      <c r="BU7" s="54">
        <f>((BW5+INT((BX5*5)/2)*0.18)-0.2)*2</f>
        <v>1695.9199999999998</v>
      </c>
      <c r="BV7" s="54">
        <f>((BW5+INT((BX5*5)/2)*0.18)+0.2)*2</f>
        <v>1696.72</v>
      </c>
      <c r="BW7" s="10" t="s">
        <v>9</v>
      </c>
      <c r="BX7" s="10" t="s">
        <v>9</v>
      </c>
      <c r="BY7" s="87" t="s">
        <v>35</v>
      </c>
      <c r="BZ7" s="88"/>
      <c r="CA7" s="89"/>
      <c r="CB7" s="75"/>
      <c r="CC7" s="55" t="s">
        <v>36</v>
      </c>
      <c r="CD7" s="54">
        <f>(CF5-CG5/2)*2</f>
        <v>1630</v>
      </c>
      <c r="CE7" s="54">
        <f>(CF5+CG5/2)*2</f>
        <v>1660</v>
      </c>
      <c r="CF7" s="10" t="s">
        <v>9</v>
      </c>
      <c r="CG7" s="10" t="s">
        <v>9</v>
      </c>
      <c r="CH7" s="87" t="s">
        <v>35</v>
      </c>
      <c r="CI7" s="88"/>
      <c r="CJ7" s="89"/>
      <c r="CK7" s="75"/>
      <c r="CL7" s="55" t="s">
        <v>36</v>
      </c>
      <c r="CM7" s="54">
        <f>(CO5-CP5/2)*2</f>
        <v>1668</v>
      </c>
      <c r="CN7" s="54">
        <f>(CO5+CP5/2)*2</f>
        <v>1698</v>
      </c>
      <c r="CO7" s="10" t="s">
        <v>9</v>
      </c>
      <c r="CP7" s="10" t="s">
        <v>9</v>
      </c>
      <c r="CQ7" s="87" t="s">
        <v>35</v>
      </c>
      <c r="CR7" s="88"/>
      <c r="CS7" s="89"/>
      <c r="CT7" s="75"/>
      <c r="CU7" s="55" t="s">
        <v>36</v>
      </c>
    </row>
    <row r="8" spans="1:99" ht="15">
      <c r="A8" s="54">
        <f>((C5-2.5*0.18)-0.2)*3</f>
        <v>2442.1499999999996</v>
      </c>
      <c r="B8" s="54">
        <f>((C5-2.5*0.18)+0.2)*2</f>
        <v>1628.9</v>
      </c>
      <c r="C8" s="10" t="s">
        <v>9</v>
      </c>
      <c r="D8" s="10" t="s">
        <v>9</v>
      </c>
      <c r="E8" s="87" t="s">
        <v>173</v>
      </c>
      <c r="F8" s="88"/>
      <c r="G8" s="89"/>
      <c r="H8" s="75"/>
      <c r="I8" s="55" t="s">
        <v>37</v>
      </c>
      <c r="J8" s="54">
        <f>((L5-2.5*0.18)-0.2)*3</f>
        <v>2542.9499999999998</v>
      </c>
      <c r="K8" s="54">
        <f>((L5-2.5*0.18)+0.2)*2</f>
        <v>1696.1</v>
      </c>
      <c r="L8" s="10" t="s">
        <v>9</v>
      </c>
      <c r="M8" s="10" t="s">
        <v>9</v>
      </c>
      <c r="N8" s="87" t="s">
        <v>173</v>
      </c>
      <c r="O8" s="88"/>
      <c r="P8" s="89"/>
      <c r="Q8" s="75"/>
      <c r="R8" s="55" t="s">
        <v>37</v>
      </c>
      <c r="S8" s="54">
        <f>((U5-INT((V5*5)/2)*0.18)-0.2)*3</f>
        <v>2442.42</v>
      </c>
      <c r="T8" s="54">
        <f>((U5-INT((V5*5)/2)*0.18)+0.2)*3</f>
        <v>2443.6200000000003</v>
      </c>
      <c r="U8" s="10" t="s">
        <v>9</v>
      </c>
      <c r="V8" s="10" t="s">
        <v>9</v>
      </c>
      <c r="W8" s="87" t="s">
        <v>173</v>
      </c>
      <c r="X8" s="88"/>
      <c r="Y8" s="89"/>
      <c r="Z8" s="75"/>
      <c r="AA8" s="55" t="s">
        <v>37</v>
      </c>
      <c r="AB8" s="54">
        <f>((AD5-INT((AE5*5)/2)*0.18)-0.2)*3</f>
        <v>2487.42</v>
      </c>
      <c r="AC8" s="54">
        <f>((AD5-INT((AE5*5)/2)*0.18)+0.2)*3</f>
        <v>2488.6200000000003</v>
      </c>
      <c r="AD8" s="10" t="s">
        <v>9</v>
      </c>
      <c r="AE8" s="10" t="s">
        <v>9</v>
      </c>
      <c r="AF8" s="87" t="s">
        <v>173</v>
      </c>
      <c r="AG8" s="88"/>
      <c r="AH8" s="89"/>
      <c r="AI8" s="75"/>
      <c r="AJ8" s="55" t="s">
        <v>37</v>
      </c>
      <c r="AK8" s="54">
        <f>((AM5+INT((AN5*5)/2)*0.18)-0.2)*3</f>
        <v>2545.3799999999997</v>
      </c>
      <c r="AL8" s="54">
        <f>((AM5+INT((AN5*5)/2)*0.18)+0.2)*3</f>
        <v>2546.58</v>
      </c>
      <c r="AM8" s="10" t="s">
        <v>9</v>
      </c>
      <c r="AN8" s="10" t="s">
        <v>9</v>
      </c>
      <c r="AO8" s="87" t="s">
        <v>173</v>
      </c>
      <c r="AP8" s="88"/>
      <c r="AQ8" s="89"/>
      <c r="AR8" s="75"/>
      <c r="AS8" s="55" t="s">
        <v>37</v>
      </c>
      <c r="AT8" s="54">
        <f>(AV5-AW5/2)*3</f>
        <v>2442</v>
      </c>
      <c r="AU8" s="54">
        <f>(AV5+AW5/2)*3</f>
        <v>2457</v>
      </c>
      <c r="AV8" s="10" t="s">
        <v>9</v>
      </c>
      <c r="AW8" s="10" t="s">
        <v>9</v>
      </c>
      <c r="AX8" s="87" t="s">
        <v>173</v>
      </c>
      <c r="AY8" s="88"/>
      <c r="AZ8" s="89"/>
      <c r="BA8" s="75"/>
      <c r="BB8" s="55" t="s">
        <v>37</v>
      </c>
      <c r="BC8" s="54">
        <f>(BE5-BF5/2)*3</f>
        <v>2532</v>
      </c>
      <c r="BD8" s="54">
        <f>(BE5+BF5/2)*3</f>
        <v>2547</v>
      </c>
      <c r="BE8" s="10" t="s">
        <v>9</v>
      </c>
      <c r="BF8" s="10" t="s">
        <v>9</v>
      </c>
      <c r="BG8" s="87" t="s">
        <v>173</v>
      </c>
      <c r="BH8" s="88"/>
      <c r="BI8" s="89"/>
      <c r="BJ8" s="75"/>
      <c r="BK8" s="55" t="s">
        <v>37</v>
      </c>
      <c r="BL8" s="54">
        <f>(BN5-(INT((BO5*5)/2)*0.18)-0.2)*3</f>
        <v>2446.92</v>
      </c>
      <c r="BM8" s="54">
        <f>(BN5-(INT((BO5*5)/2)*0.18)+0.2)*3</f>
        <v>2448.1200000000003</v>
      </c>
      <c r="BN8" s="10" t="s">
        <v>9</v>
      </c>
      <c r="BO8" s="10" t="s">
        <v>9</v>
      </c>
      <c r="BP8" s="87" t="s">
        <v>173</v>
      </c>
      <c r="BQ8" s="88"/>
      <c r="BR8" s="89"/>
      <c r="BS8" s="75"/>
      <c r="BT8" s="55" t="s">
        <v>37</v>
      </c>
      <c r="BU8" s="54">
        <f>((BW5+INT((BX5*5)/2)*0.18)-0.2)*3</f>
        <v>2543.8799999999997</v>
      </c>
      <c r="BV8" s="54">
        <f>((BW5+INT((BX5*5)/2)*0.18)+0.2)*3</f>
        <v>2545.08</v>
      </c>
      <c r="BW8" s="10" t="s">
        <v>9</v>
      </c>
      <c r="BX8" s="10" t="s">
        <v>9</v>
      </c>
      <c r="BY8" s="87" t="s">
        <v>173</v>
      </c>
      <c r="BZ8" s="88"/>
      <c r="CA8" s="89"/>
      <c r="CB8" s="75"/>
      <c r="CC8" s="55" t="s">
        <v>37</v>
      </c>
      <c r="CD8" s="54">
        <f>(CF5-CG5/2)*3</f>
        <v>2445</v>
      </c>
      <c r="CE8" s="54">
        <f>(CF5+CG5/2)*3</f>
        <v>2490</v>
      </c>
      <c r="CF8" s="10" t="s">
        <v>9</v>
      </c>
      <c r="CG8" s="10" t="s">
        <v>9</v>
      </c>
      <c r="CH8" s="87" t="s">
        <v>173</v>
      </c>
      <c r="CI8" s="88"/>
      <c r="CJ8" s="89"/>
      <c r="CK8" s="75"/>
      <c r="CL8" s="55" t="s">
        <v>37</v>
      </c>
      <c r="CM8" s="54">
        <f>(CO5-CP5/2)*3</f>
        <v>2502</v>
      </c>
      <c r="CN8" s="54">
        <f>(CO5+CP5/2)*3</f>
        <v>2547</v>
      </c>
      <c r="CO8" s="10" t="s">
        <v>9</v>
      </c>
      <c r="CP8" s="10" t="s">
        <v>9</v>
      </c>
      <c r="CQ8" s="87" t="s">
        <v>173</v>
      </c>
      <c r="CR8" s="88"/>
      <c r="CS8" s="89"/>
      <c r="CT8" s="75"/>
      <c r="CU8" s="55" t="s">
        <v>37</v>
      </c>
    </row>
    <row r="9" spans="1:99" ht="15">
      <c r="A9" s="54">
        <f>((C5-2.5*0.18)-0.2)*4</f>
        <v>3256.2</v>
      </c>
      <c r="B9" s="54">
        <f>((C5-2.5*0.18)+0.2)*4</f>
        <v>3257.8</v>
      </c>
      <c r="C9" s="10" t="s">
        <v>9</v>
      </c>
      <c r="D9" s="10" t="s">
        <v>9</v>
      </c>
      <c r="E9" s="90" t="s">
        <v>35</v>
      </c>
      <c r="F9" s="90"/>
      <c r="G9" s="90"/>
      <c r="H9" s="75"/>
      <c r="I9" s="55" t="s">
        <v>38</v>
      </c>
      <c r="J9" s="54">
        <f>((L5-2.5*0.18)-0.2)*4</f>
        <v>3390.5999999999995</v>
      </c>
      <c r="K9" s="54">
        <f>((L5-2.5*0.18)+0.2)*4</f>
        <v>3392.2</v>
      </c>
      <c r="L9" s="10" t="s">
        <v>9</v>
      </c>
      <c r="M9" s="10" t="s">
        <v>9</v>
      </c>
      <c r="N9" s="90" t="s">
        <v>35</v>
      </c>
      <c r="O9" s="90"/>
      <c r="P9" s="90"/>
      <c r="Q9" s="75"/>
      <c r="R9" s="55" t="s">
        <v>38</v>
      </c>
      <c r="S9" s="54">
        <f>((U5-INT((V5*5)/2)*0.18)-0.2)*4</f>
        <v>3256.56</v>
      </c>
      <c r="T9" s="54">
        <f>((U5-INT((V5*5)/2)*0.18)+0.2)*4</f>
        <v>3258.1600000000003</v>
      </c>
      <c r="U9" s="10" t="s">
        <v>9</v>
      </c>
      <c r="V9" s="10" t="s">
        <v>9</v>
      </c>
      <c r="W9" s="90" t="s">
        <v>35</v>
      </c>
      <c r="X9" s="90"/>
      <c r="Y9" s="90"/>
      <c r="Z9" s="75"/>
      <c r="AA9" s="55" t="s">
        <v>38</v>
      </c>
      <c r="AB9" s="54">
        <f>((AD5-INT((AE5*5)/2)*0.18)-0.2)*4</f>
        <v>3316.56</v>
      </c>
      <c r="AC9" s="54">
        <f>((AD5-INT((AE5*5)/2)*0.18)+0.2)*4</f>
        <v>3318.1600000000003</v>
      </c>
      <c r="AD9" s="10" t="s">
        <v>9</v>
      </c>
      <c r="AE9" s="10" t="s">
        <v>9</v>
      </c>
      <c r="AF9" s="90" t="s">
        <v>35</v>
      </c>
      <c r="AG9" s="90"/>
      <c r="AH9" s="90"/>
      <c r="AI9" s="75"/>
      <c r="AJ9" s="55" t="s">
        <v>38</v>
      </c>
      <c r="AK9" s="54">
        <f>((AM5+INT((AN5*5)/2)*0.18)-0.2)*4</f>
        <v>3393.8399999999997</v>
      </c>
      <c r="AL9" s="54">
        <f>((AM5+INT((AN5*5)/2)*0.18)+0.2)*4</f>
        <v>3395.44</v>
      </c>
      <c r="AM9" s="10" t="s">
        <v>9</v>
      </c>
      <c r="AN9" s="10" t="s">
        <v>9</v>
      </c>
      <c r="AO9" s="87" t="s">
        <v>39</v>
      </c>
      <c r="AP9" s="88"/>
      <c r="AQ9" s="89"/>
      <c r="AR9" s="75"/>
      <c r="AS9" s="55" t="s">
        <v>38</v>
      </c>
      <c r="AT9" s="54">
        <f>(AV5-AW5/2)*4</f>
        <v>3256</v>
      </c>
      <c r="AU9" s="54">
        <f>(AV5+AW5/2)*4</f>
        <v>3276</v>
      </c>
      <c r="AV9" s="10" t="s">
        <v>9</v>
      </c>
      <c r="AW9" s="10" t="s">
        <v>9</v>
      </c>
      <c r="AX9" s="87" t="s">
        <v>39</v>
      </c>
      <c r="AY9" s="88"/>
      <c r="AZ9" s="89"/>
      <c r="BA9" s="75"/>
      <c r="BB9" s="55" t="s">
        <v>38</v>
      </c>
      <c r="BC9" s="54">
        <f>(BE5-BF5/2)*4</f>
        <v>3376</v>
      </c>
      <c r="BD9" s="54">
        <f>(BE5+BF5/2)*4</f>
        <v>3396</v>
      </c>
      <c r="BE9" s="10" t="s">
        <v>9</v>
      </c>
      <c r="BF9" s="10" t="s">
        <v>9</v>
      </c>
      <c r="BG9" s="87" t="s">
        <v>39</v>
      </c>
      <c r="BH9" s="88"/>
      <c r="BI9" s="89"/>
      <c r="BJ9" s="75"/>
      <c r="BK9" s="55" t="s">
        <v>38</v>
      </c>
      <c r="BL9" s="54">
        <f>(BN5-(INT((BO5*5)/2)*0.18)-0.2)*4</f>
        <v>3262.56</v>
      </c>
      <c r="BM9" s="54">
        <f>(BN5-(INT((BO5*5)/2)*0.18)+0.2)*4</f>
        <v>3264.1600000000003</v>
      </c>
      <c r="BN9" s="10" t="s">
        <v>9</v>
      </c>
      <c r="BO9" s="10" t="s">
        <v>9</v>
      </c>
      <c r="BP9" s="87" t="s">
        <v>39</v>
      </c>
      <c r="BQ9" s="88"/>
      <c r="BR9" s="89"/>
      <c r="BS9" s="75"/>
      <c r="BT9" s="55" t="s">
        <v>38</v>
      </c>
      <c r="BU9" s="54">
        <f>((BW5+INT((BX5*5)/2)*0.18)-0.2)*4</f>
        <v>3391.8399999999997</v>
      </c>
      <c r="BV9" s="54">
        <f>((BW5+INT((BX5*5)/2)*0.18)+0.2)*4</f>
        <v>3393.44</v>
      </c>
      <c r="BW9" s="10" t="s">
        <v>9</v>
      </c>
      <c r="BX9" s="10" t="s">
        <v>9</v>
      </c>
      <c r="BY9" s="87" t="s">
        <v>39</v>
      </c>
      <c r="BZ9" s="88"/>
      <c r="CA9" s="89"/>
      <c r="CB9" s="75"/>
      <c r="CC9" s="55" t="s">
        <v>38</v>
      </c>
      <c r="CD9" s="54">
        <f>(CF5-CG5/2)*4</f>
        <v>3260</v>
      </c>
      <c r="CE9" s="54">
        <f>(CF5+CG5/2)*4</f>
        <v>3320</v>
      </c>
      <c r="CF9" s="10" t="s">
        <v>9</v>
      </c>
      <c r="CG9" s="10" t="s">
        <v>9</v>
      </c>
      <c r="CH9" s="87" t="s">
        <v>39</v>
      </c>
      <c r="CI9" s="88"/>
      <c r="CJ9" s="89"/>
      <c r="CK9" s="75"/>
      <c r="CL9" s="55" t="s">
        <v>38</v>
      </c>
      <c r="CM9" s="54">
        <f>(CO5-CP5/2)*4</f>
        <v>3336</v>
      </c>
      <c r="CN9" s="54">
        <f>(CO5+CP5/2)*4</f>
        <v>3396</v>
      </c>
      <c r="CO9" s="10" t="s">
        <v>9</v>
      </c>
      <c r="CP9" s="10" t="s">
        <v>9</v>
      </c>
      <c r="CQ9" s="87" t="s">
        <v>35</v>
      </c>
      <c r="CR9" s="88"/>
      <c r="CS9" s="89"/>
      <c r="CT9" s="75"/>
      <c r="CU9" s="55" t="s">
        <v>38</v>
      </c>
    </row>
    <row r="10" spans="1:99" ht="15">
      <c r="A10" s="54">
        <f>((C5-2.5*0.18)-0.2)*5</f>
        <v>4070.25</v>
      </c>
      <c r="B10" s="54">
        <f>((C5-2.5*0.18)+0.2)*5</f>
        <v>4072.25</v>
      </c>
      <c r="C10" s="10" t="s">
        <v>9</v>
      </c>
      <c r="D10" s="10" t="s">
        <v>9</v>
      </c>
      <c r="E10" s="87" t="s">
        <v>35</v>
      </c>
      <c r="F10" s="88"/>
      <c r="G10" s="89"/>
      <c r="H10" s="75"/>
      <c r="I10" s="55" t="s">
        <v>40</v>
      </c>
      <c r="J10" s="54">
        <f>((L5-2.5*0.18)-0.2)*5</f>
        <v>4238.2499999999991</v>
      </c>
      <c r="K10" s="54">
        <f>((L5-2.5*0.18)+0.2)*5</f>
        <v>4240.25</v>
      </c>
      <c r="L10" s="10" t="s">
        <v>9</v>
      </c>
      <c r="M10" s="10" t="s">
        <v>9</v>
      </c>
      <c r="N10" s="87" t="s">
        <v>35</v>
      </c>
      <c r="O10" s="88"/>
      <c r="P10" s="89"/>
      <c r="Q10" s="75"/>
      <c r="R10" s="55" t="s">
        <v>40</v>
      </c>
      <c r="S10" s="54">
        <f>((U5-INT((V5*5)/2)*0.18)-0.2)*5</f>
        <v>4070.7</v>
      </c>
      <c r="T10" s="54">
        <f>((U5-INT((V5*5)/2)*0.18)+0.2)*5</f>
        <v>4072.7000000000003</v>
      </c>
      <c r="U10" s="10" t="s">
        <v>9</v>
      </c>
      <c r="V10" s="10" t="s">
        <v>9</v>
      </c>
      <c r="W10" s="87" t="s">
        <v>35</v>
      </c>
      <c r="X10" s="88"/>
      <c r="Y10" s="89"/>
      <c r="Z10" s="75"/>
      <c r="AA10" s="55" t="s">
        <v>40</v>
      </c>
      <c r="AB10" s="54">
        <f>((AD5-INT((AE5*5)/2)*0.18)-0.2)*5</f>
        <v>4145.7</v>
      </c>
      <c r="AC10" s="54">
        <f>((AD5-INT((AE5*5)/2)*0.18)+0.2)*5</f>
        <v>4147.7000000000007</v>
      </c>
      <c r="AD10" s="10" t="s">
        <v>9</v>
      </c>
      <c r="AE10" s="10" t="s">
        <v>9</v>
      </c>
      <c r="AF10" s="87" t="s">
        <v>35</v>
      </c>
      <c r="AG10" s="88"/>
      <c r="AH10" s="89"/>
      <c r="AI10" s="75"/>
      <c r="AJ10" s="55" t="s">
        <v>40</v>
      </c>
      <c r="AK10" s="54">
        <f>((AM5+INT((AN5*5)/2)*0.18)-0.2)*5</f>
        <v>4242.2999999999993</v>
      </c>
      <c r="AL10" s="54">
        <f>((AM5+INT((AN5*5)/2)*0.18)+0.2)*5</f>
        <v>4244.3</v>
      </c>
      <c r="AM10" s="10" t="s">
        <v>9</v>
      </c>
      <c r="AN10" s="10" t="s">
        <v>9</v>
      </c>
      <c r="AO10" s="87" t="s">
        <v>39</v>
      </c>
      <c r="AP10" s="88"/>
      <c r="AQ10" s="89"/>
      <c r="AR10" s="75"/>
      <c r="AS10" s="55" t="s">
        <v>40</v>
      </c>
      <c r="AT10" s="54">
        <f>(AV5-AW5/2)*5</f>
        <v>4070</v>
      </c>
      <c r="AU10" s="54">
        <f>(AV5+AW5/2)*5</f>
        <v>4095</v>
      </c>
      <c r="AV10" s="10" t="s">
        <v>9</v>
      </c>
      <c r="AW10" s="10" t="s">
        <v>9</v>
      </c>
      <c r="AX10" s="87" t="s">
        <v>39</v>
      </c>
      <c r="AY10" s="88"/>
      <c r="AZ10" s="89"/>
      <c r="BA10" s="75"/>
      <c r="BB10" s="55" t="s">
        <v>40</v>
      </c>
      <c r="BC10" s="54">
        <f>(BE5-BF5/2)*5</f>
        <v>4220</v>
      </c>
      <c r="BD10" s="54">
        <f>(BE5+BF5/2)*5</f>
        <v>4245</v>
      </c>
      <c r="BE10" s="10" t="s">
        <v>9</v>
      </c>
      <c r="BF10" s="10" t="s">
        <v>9</v>
      </c>
      <c r="BG10" s="87" t="s">
        <v>39</v>
      </c>
      <c r="BH10" s="88"/>
      <c r="BI10" s="89"/>
      <c r="BJ10" s="75"/>
      <c r="BK10" s="55" t="s">
        <v>40</v>
      </c>
      <c r="BL10" s="54">
        <f>(BN5-(INT((BO5*5)/2)*0.18)-0.2)*5</f>
        <v>4078.2</v>
      </c>
      <c r="BM10" s="54">
        <f>(BN5-(INT((BO5*5)/2)*0.18)+0.2)*5</f>
        <v>4080.2000000000003</v>
      </c>
      <c r="BN10" s="10" t="s">
        <v>9</v>
      </c>
      <c r="BO10" s="10" t="s">
        <v>9</v>
      </c>
      <c r="BP10" s="87" t="s">
        <v>39</v>
      </c>
      <c r="BQ10" s="88"/>
      <c r="BR10" s="89"/>
      <c r="BS10" s="75"/>
      <c r="BT10" s="55" t="s">
        <v>40</v>
      </c>
      <c r="BU10" s="54">
        <f>((BW5+INT((BX5*5)/2)*0.18)-0.2)*5</f>
        <v>4239.7999999999993</v>
      </c>
      <c r="BV10" s="54">
        <f>((BW5+INT((BX5*5)/2)*0.18)+0.2)*5</f>
        <v>4241.8</v>
      </c>
      <c r="BW10" s="10" t="s">
        <v>9</v>
      </c>
      <c r="BX10" s="10" t="s">
        <v>9</v>
      </c>
      <c r="BY10" s="87" t="s">
        <v>39</v>
      </c>
      <c r="BZ10" s="88"/>
      <c r="CA10" s="89"/>
      <c r="CB10" s="75"/>
      <c r="CC10" s="55" t="s">
        <v>40</v>
      </c>
      <c r="CD10" s="54">
        <f>(CF5-CG5/2)*5</f>
        <v>4075</v>
      </c>
      <c r="CE10" s="54">
        <f>(CF5+CG5/2)*5</f>
        <v>4150</v>
      </c>
      <c r="CF10" s="10" t="s">
        <v>9</v>
      </c>
      <c r="CG10" s="10" t="s">
        <v>9</v>
      </c>
      <c r="CH10" s="87" t="s">
        <v>39</v>
      </c>
      <c r="CI10" s="88"/>
      <c r="CJ10" s="89"/>
      <c r="CK10" s="75"/>
      <c r="CL10" s="55" t="s">
        <v>40</v>
      </c>
      <c r="CM10" s="54">
        <f>(CO5-CP5/2)*5</f>
        <v>4170</v>
      </c>
      <c r="CN10" s="54">
        <f>(CO5+CP5/2)*5</f>
        <v>4245</v>
      </c>
      <c r="CO10" s="10" t="s">
        <v>9</v>
      </c>
      <c r="CP10" s="10" t="s">
        <v>9</v>
      </c>
      <c r="CQ10" s="87" t="s">
        <v>35</v>
      </c>
      <c r="CR10" s="88"/>
      <c r="CS10" s="89"/>
      <c r="CT10" s="75"/>
      <c r="CU10" s="55" t="s">
        <v>40</v>
      </c>
    </row>
    <row r="11" spans="1:99" ht="15">
      <c r="A11" s="54">
        <f>((C5-2.5*0.18)-0.2)*6</f>
        <v>4884.2999999999993</v>
      </c>
      <c r="B11" s="54">
        <f>((C5-2.5*0.18)+0.2)*6</f>
        <v>4886.7000000000007</v>
      </c>
      <c r="C11" s="10" t="s">
        <v>9</v>
      </c>
      <c r="D11" s="10" t="s">
        <v>9</v>
      </c>
      <c r="E11" s="90" t="s">
        <v>35</v>
      </c>
      <c r="F11" s="90"/>
      <c r="G11" s="90"/>
      <c r="H11" s="75"/>
      <c r="I11" s="55" t="s">
        <v>41</v>
      </c>
      <c r="J11" s="54">
        <f>((L5-2.5*0.18)-0.2)*6</f>
        <v>5085.8999999999996</v>
      </c>
      <c r="K11" s="54">
        <f>((L5-2.5*0.18)+0.2)*6</f>
        <v>5088.2999999999993</v>
      </c>
      <c r="L11" s="10" t="s">
        <v>9</v>
      </c>
      <c r="M11" s="10" t="s">
        <v>9</v>
      </c>
      <c r="N11" s="90" t="s">
        <v>35</v>
      </c>
      <c r="O11" s="90"/>
      <c r="P11" s="90"/>
      <c r="Q11" s="75"/>
      <c r="R11" s="55" t="s">
        <v>41</v>
      </c>
      <c r="S11" s="54">
        <f>((U5-INT((V5*5)/2)*0.18)-0.2)*6</f>
        <v>4884.84</v>
      </c>
      <c r="T11" s="54">
        <f>((U5-INT((V5*5)/2)*0.18)+0.2)*6</f>
        <v>4887.2400000000007</v>
      </c>
      <c r="U11" s="10" t="s">
        <v>9</v>
      </c>
      <c r="V11" s="10" t="s">
        <v>9</v>
      </c>
      <c r="W11" s="90" t="s">
        <v>35</v>
      </c>
      <c r="X11" s="90"/>
      <c r="Y11" s="90"/>
      <c r="Z11" s="75"/>
      <c r="AA11" s="55" t="s">
        <v>41</v>
      </c>
      <c r="AB11" s="54">
        <f>((AD5-INT((AE5*5)/2)*0.18)-0.2)*6</f>
        <v>4974.84</v>
      </c>
      <c r="AC11" s="54">
        <f>((AD5-INT((AE5*5)/2)*0.18)+0.2)*6</f>
        <v>4977.2400000000007</v>
      </c>
      <c r="AD11" s="10" t="s">
        <v>9</v>
      </c>
      <c r="AE11" s="10" t="s">
        <v>9</v>
      </c>
      <c r="AF11" s="90" t="s">
        <v>35</v>
      </c>
      <c r="AG11" s="90"/>
      <c r="AH11" s="90"/>
      <c r="AI11" s="75"/>
      <c r="AJ11" s="55" t="s">
        <v>41</v>
      </c>
      <c r="AK11" s="54">
        <f>((AM5+INT((AN5*5)/2)*0.18)-0.2)*6</f>
        <v>5090.7599999999993</v>
      </c>
      <c r="AL11" s="54">
        <f>((AM5+INT((AN5*5)/2)*0.18)+0.2)*6</f>
        <v>5093.16</v>
      </c>
      <c r="AM11" s="10" t="s">
        <v>9</v>
      </c>
      <c r="AN11" s="10" t="s">
        <v>9</v>
      </c>
      <c r="AO11" s="87" t="s">
        <v>39</v>
      </c>
      <c r="AP11" s="88"/>
      <c r="AQ11" s="89"/>
      <c r="AR11" s="75"/>
      <c r="AS11" s="55" t="s">
        <v>41</v>
      </c>
      <c r="AT11" s="54">
        <f>(AV5-AW5/2)*6</f>
        <v>4884</v>
      </c>
      <c r="AU11" s="54">
        <f>(AV5+AW5/2)*6</f>
        <v>4914</v>
      </c>
      <c r="AV11" s="10" t="s">
        <v>9</v>
      </c>
      <c r="AW11" s="10" t="s">
        <v>9</v>
      </c>
      <c r="AX11" s="87" t="s">
        <v>39</v>
      </c>
      <c r="AY11" s="88"/>
      <c r="AZ11" s="89"/>
      <c r="BA11" s="75"/>
      <c r="BB11" s="55" t="s">
        <v>41</v>
      </c>
      <c r="BC11" s="54">
        <f>(BE5-BF5/2)*6</f>
        <v>5064</v>
      </c>
      <c r="BD11" s="54">
        <f>(BE5+BF5/2)*6</f>
        <v>5094</v>
      </c>
      <c r="BE11" s="10" t="s">
        <v>9</v>
      </c>
      <c r="BF11" s="10" t="s">
        <v>9</v>
      </c>
      <c r="BG11" s="87" t="s">
        <v>39</v>
      </c>
      <c r="BH11" s="88"/>
      <c r="BI11" s="89"/>
      <c r="BJ11" s="75"/>
      <c r="BK11" s="55" t="s">
        <v>41</v>
      </c>
      <c r="BL11" s="54">
        <f>(BN5-(INT((BO5*5)/2)*0.18)-0.2)*6</f>
        <v>4893.84</v>
      </c>
      <c r="BM11" s="54">
        <f>(BN5-(INT((BO5*5)/2)*0.18)+0.2)*6</f>
        <v>4896.2400000000007</v>
      </c>
      <c r="BN11" s="10" t="s">
        <v>9</v>
      </c>
      <c r="BO11" s="10" t="s">
        <v>9</v>
      </c>
      <c r="BP11" s="87" t="s">
        <v>39</v>
      </c>
      <c r="BQ11" s="88"/>
      <c r="BR11" s="89"/>
      <c r="BS11" s="75"/>
      <c r="BT11" s="55" t="s">
        <v>41</v>
      </c>
      <c r="BU11" s="54">
        <f>((BW5+INT((BX5*5)/2)*0.18)-0.2)*6</f>
        <v>5087.7599999999993</v>
      </c>
      <c r="BV11" s="54">
        <f>((BW5+INT((BX5*5)/2)*0.18)+0.2)*6</f>
        <v>5090.16</v>
      </c>
      <c r="BW11" s="10" t="s">
        <v>9</v>
      </c>
      <c r="BX11" s="10" t="s">
        <v>9</v>
      </c>
      <c r="BY11" s="87" t="s">
        <v>39</v>
      </c>
      <c r="BZ11" s="88"/>
      <c r="CA11" s="89"/>
      <c r="CB11" s="75"/>
      <c r="CC11" s="55" t="s">
        <v>41</v>
      </c>
      <c r="CD11" s="54">
        <f>(CF5-CG5/2)*6</f>
        <v>4890</v>
      </c>
      <c r="CE11" s="54">
        <f>(CF5+CG5/2)*6</f>
        <v>4980</v>
      </c>
      <c r="CF11" s="10" t="s">
        <v>9</v>
      </c>
      <c r="CG11" s="10" t="s">
        <v>9</v>
      </c>
      <c r="CH11" s="87" t="s">
        <v>39</v>
      </c>
      <c r="CI11" s="88"/>
      <c r="CJ11" s="89"/>
      <c r="CK11" s="75"/>
      <c r="CL11" s="55" t="s">
        <v>41</v>
      </c>
      <c r="CM11" s="54">
        <f>(CO5-CP5/2)*6</f>
        <v>5004</v>
      </c>
      <c r="CN11" s="54">
        <f>(CO5+CP5/2)*6</f>
        <v>5094</v>
      </c>
      <c r="CO11" s="10" t="s">
        <v>9</v>
      </c>
      <c r="CP11" s="10" t="s">
        <v>9</v>
      </c>
      <c r="CQ11" s="87" t="s">
        <v>35</v>
      </c>
      <c r="CR11" s="88"/>
      <c r="CS11" s="89"/>
      <c r="CT11" s="75"/>
      <c r="CU11" s="55" t="s">
        <v>41</v>
      </c>
    </row>
    <row r="12" spans="1:99" ht="15">
      <c r="A12" s="54">
        <f>((C5-2.5*0.18)-0.2)*7</f>
        <v>5698.3499999999995</v>
      </c>
      <c r="B12" s="54">
        <f>((C5-2.5*0.18)+0.2)*7</f>
        <v>5701.1500000000005</v>
      </c>
      <c r="C12" s="10" t="s">
        <v>9</v>
      </c>
      <c r="D12" s="10" t="s">
        <v>9</v>
      </c>
      <c r="E12" s="90" t="s">
        <v>35</v>
      </c>
      <c r="F12" s="90"/>
      <c r="G12" s="90"/>
      <c r="H12" s="75"/>
      <c r="I12" s="55" t="s">
        <v>62</v>
      </c>
      <c r="J12" s="54">
        <f>((L5-2.5*0.18)-0.2)*7</f>
        <v>5933.5499999999993</v>
      </c>
      <c r="K12" s="54">
        <f>((L5-2.5*0.18)+0.2)*7</f>
        <v>5936.3499999999995</v>
      </c>
      <c r="L12" s="10" t="s">
        <v>63</v>
      </c>
      <c r="M12" s="10" t="s">
        <v>9</v>
      </c>
      <c r="N12" s="87" t="s">
        <v>39</v>
      </c>
      <c r="O12" s="88"/>
      <c r="P12" s="89"/>
      <c r="Q12" s="75"/>
      <c r="R12" s="55" t="s">
        <v>62</v>
      </c>
      <c r="S12" s="54">
        <f>((U5-INT((V5*5)/2)*0.18)-0.2)*7</f>
        <v>5698.98</v>
      </c>
      <c r="T12" s="54">
        <f>((U5-INT((V5*5)/2)*0.18)+0.2)*7</f>
        <v>5701.7800000000007</v>
      </c>
      <c r="U12" s="10" t="s">
        <v>63</v>
      </c>
      <c r="V12" s="10" t="s">
        <v>9</v>
      </c>
      <c r="W12" s="87" t="s">
        <v>39</v>
      </c>
      <c r="X12" s="88"/>
      <c r="Y12" s="89"/>
      <c r="Z12" s="75"/>
      <c r="AA12" s="55" t="s">
        <v>62</v>
      </c>
      <c r="AB12" s="54">
        <f>((AD5-INT((AE5*5)/2)*0.18)-0.2)*7</f>
        <v>5803.98</v>
      </c>
      <c r="AC12" s="54">
        <f>((AD5-INT((AE5*5)/2)*0.18)+0.2)*7</f>
        <v>5806.7800000000007</v>
      </c>
      <c r="AD12" s="10" t="s">
        <v>9</v>
      </c>
      <c r="AE12" s="10" t="s">
        <v>9</v>
      </c>
      <c r="AF12" s="90" t="s">
        <v>64</v>
      </c>
      <c r="AG12" s="90"/>
      <c r="AH12" s="90"/>
      <c r="AI12" s="75"/>
      <c r="AJ12" s="55" t="s">
        <v>65</v>
      </c>
      <c r="AK12" s="54">
        <f>((AM5+INT((AN5*5)/2)*0.18)-0.2)*7</f>
        <v>5939.2199999999993</v>
      </c>
      <c r="AL12" s="54">
        <f>((AM5+INT((AN5*5)/2)*0.18)+0.2)*7</f>
        <v>5942.02</v>
      </c>
      <c r="AM12" s="10" t="s">
        <v>9</v>
      </c>
      <c r="AN12" s="10" t="s">
        <v>9</v>
      </c>
      <c r="AO12" s="87" t="s">
        <v>39</v>
      </c>
      <c r="AP12" s="88"/>
      <c r="AQ12" s="89"/>
      <c r="AR12" s="75"/>
      <c r="AS12" s="55" t="s">
        <v>65</v>
      </c>
      <c r="AT12" s="54">
        <f>(AV5-AW5/2)*7</f>
        <v>5698</v>
      </c>
      <c r="AU12" s="54">
        <f>(AV5+AW5/2)*7</f>
        <v>5733</v>
      </c>
      <c r="AV12" s="10" t="s">
        <v>9</v>
      </c>
      <c r="AW12" s="10" t="s">
        <v>9</v>
      </c>
      <c r="AX12" s="87" t="s">
        <v>39</v>
      </c>
      <c r="AY12" s="88"/>
      <c r="AZ12" s="89"/>
      <c r="BA12" s="75"/>
      <c r="BB12" s="55" t="s">
        <v>65</v>
      </c>
      <c r="BC12" s="54">
        <f>(BE5-BF5/2)*7</f>
        <v>5908</v>
      </c>
      <c r="BD12" s="54">
        <f>(BE5+BF5/2)*7</f>
        <v>5943</v>
      </c>
      <c r="BE12" s="10" t="s">
        <v>9</v>
      </c>
      <c r="BF12" s="10" t="s">
        <v>9</v>
      </c>
      <c r="BG12" s="87" t="s">
        <v>64</v>
      </c>
      <c r="BH12" s="88"/>
      <c r="BI12" s="89"/>
      <c r="BJ12" s="75"/>
      <c r="BK12" s="55" t="s">
        <v>65</v>
      </c>
      <c r="BL12" s="54">
        <f>(BN5-(INT((BO5*5)/2)*0.18)-0.2)*7</f>
        <v>5709.48</v>
      </c>
      <c r="BM12" s="54">
        <f>(BN5-(INT((BO5*5)/2)*0.18)+0.2)*7</f>
        <v>5712.2800000000007</v>
      </c>
      <c r="BN12" s="10" t="s">
        <v>9</v>
      </c>
      <c r="BO12" s="10" t="s">
        <v>9</v>
      </c>
      <c r="BP12" s="87" t="s">
        <v>39</v>
      </c>
      <c r="BQ12" s="88"/>
      <c r="BR12" s="89"/>
      <c r="BS12" s="75"/>
      <c r="BT12" s="55" t="s">
        <v>65</v>
      </c>
      <c r="BU12" s="54">
        <f>((BW5+INT((BX5*5)/2)*0.18)-0.2)*7</f>
        <v>5935.7199999999993</v>
      </c>
      <c r="BV12" s="54">
        <f>((BW5+INT((BX5*5)/2)*0.18)+0.2)*7</f>
        <v>5938.52</v>
      </c>
      <c r="BW12" s="10" t="s">
        <v>9</v>
      </c>
      <c r="BX12" s="10" t="s">
        <v>9</v>
      </c>
      <c r="BY12" s="87" t="s">
        <v>39</v>
      </c>
      <c r="BZ12" s="88"/>
      <c r="CA12" s="89"/>
      <c r="CB12" s="75"/>
      <c r="CC12" s="55" t="s">
        <v>65</v>
      </c>
      <c r="CD12" s="54">
        <f>(CF5-CG5/2)*7</f>
        <v>5705</v>
      </c>
      <c r="CE12" s="54">
        <f>(CF5+CG5/2)*7</f>
        <v>5810</v>
      </c>
      <c r="CF12" s="10" t="s">
        <v>9</v>
      </c>
      <c r="CG12" s="10" t="s">
        <v>9</v>
      </c>
      <c r="CH12" s="87" t="s">
        <v>39</v>
      </c>
      <c r="CI12" s="88"/>
      <c r="CJ12" s="89"/>
      <c r="CK12" s="75"/>
      <c r="CL12" s="55" t="s">
        <v>65</v>
      </c>
      <c r="CM12" s="54">
        <f>(CO5-CP5/2)*7</f>
        <v>5838</v>
      </c>
      <c r="CN12" s="54">
        <f>(CO5+CP5/2)*7</f>
        <v>5943</v>
      </c>
      <c r="CO12" s="10" t="s">
        <v>9</v>
      </c>
      <c r="CP12" s="10" t="s">
        <v>9</v>
      </c>
      <c r="CQ12" s="87" t="s">
        <v>64</v>
      </c>
      <c r="CR12" s="88"/>
      <c r="CS12" s="89"/>
      <c r="CT12" s="75"/>
      <c r="CU12" s="55" t="s">
        <v>65</v>
      </c>
    </row>
    <row r="13" spans="1:99" ht="15">
      <c r="A13" s="54">
        <f>((C5-2.5*0.18)-0.2)*8</f>
        <v>6512.4</v>
      </c>
      <c r="B13" s="54">
        <f>((C5-2.5*0.18)+0.2)*8</f>
        <v>6515.6</v>
      </c>
      <c r="C13" s="10" t="s">
        <v>9</v>
      </c>
      <c r="D13" s="10" t="s">
        <v>9</v>
      </c>
      <c r="E13" s="90" t="s">
        <v>35</v>
      </c>
      <c r="F13" s="90"/>
      <c r="G13" s="90"/>
      <c r="H13" s="75"/>
      <c r="I13" s="55" t="s">
        <v>66</v>
      </c>
      <c r="J13" s="54">
        <f>((L5-2.5*0.18)-0.2)*8</f>
        <v>6781.1999999999989</v>
      </c>
      <c r="K13" s="54">
        <f>((L5-2.5*0.18)+0.2)*8</f>
        <v>6784.4</v>
      </c>
      <c r="L13" s="10" t="s">
        <v>9</v>
      </c>
      <c r="M13" s="10" t="s">
        <v>9</v>
      </c>
      <c r="N13" s="87" t="s">
        <v>39</v>
      </c>
      <c r="O13" s="88"/>
      <c r="P13" s="89"/>
      <c r="Q13" s="75"/>
      <c r="R13" s="55" t="s">
        <v>66</v>
      </c>
      <c r="S13" s="54">
        <f>((U5-INT((V5*5)/2)*0.18)-0.2)*8</f>
        <v>6513.12</v>
      </c>
      <c r="T13" s="54">
        <f>((U5-INT((V5*5)/2)*0.18)+0.2)*8</f>
        <v>6516.3200000000006</v>
      </c>
      <c r="U13" s="10" t="s">
        <v>9</v>
      </c>
      <c r="V13" s="10" t="s">
        <v>9</v>
      </c>
      <c r="W13" s="87" t="s">
        <v>39</v>
      </c>
      <c r="X13" s="88"/>
      <c r="Y13" s="89"/>
      <c r="Z13" s="75"/>
      <c r="AA13" s="55" t="s">
        <v>66</v>
      </c>
      <c r="AB13" s="54">
        <f>((AD5-INT((AE5*5)/2)*0.18)-0.2)*8</f>
        <v>6633.12</v>
      </c>
      <c r="AC13" s="54">
        <f>((AD5-INT((AE5*5)/2)*0.18)+0.2)*8</f>
        <v>6636.3200000000006</v>
      </c>
      <c r="AD13" s="10" t="s">
        <v>9</v>
      </c>
      <c r="AE13" s="10" t="s">
        <v>9</v>
      </c>
      <c r="AF13" s="90" t="s">
        <v>67</v>
      </c>
      <c r="AG13" s="90"/>
      <c r="AH13" s="90"/>
      <c r="AI13" s="75"/>
      <c r="AJ13" s="55" t="s">
        <v>68</v>
      </c>
      <c r="AK13" s="54">
        <f>((AM5+INT((AN5*5)/2)*0.18)-0.2)*8</f>
        <v>6787.6799999999994</v>
      </c>
      <c r="AL13" s="54">
        <f>((AM5+INT((AN5*5)/2)*0.18)+0.2)*8</f>
        <v>6790.88</v>
      </c>
      <c r="AM13" s="10" t="s">
        <v>9</v>
      </c>
      <c r="AN13" s="10" t="s">
        <v>9</v>
      </c>
      <c r="AO13" s="87" t="s">
        <v>39</v>
      </c>
      <c r="AP13" s="88"/>
      <c r="AQ13" s="89"/>
      <c r="AR13" s="75"/>
      <c r="AS13" s="55" t="s">
        <v>68</v>
      </c>
      <c r="AT13" s="54">
        <f>(AV5-AW5/2)*8</f>
        <v>6512</v>
      </c>
      <c r="AU13" s="54">
        <f>(AV5+AW5/2)*8</f>
        <v>6552</v>
      </c>
      <c r="AV13" s="10" t="s">
        <v>9</v>
      </c>
      <c r="AW13" s="10" t="s">
        <v>9</v>
      </c>
      <c r="AX13" s="87" t="s">
        <v>39</v>
      </c>
      <c r="AY13" s="88"/>
      <c r="AZ13" s="89"/>
      <c r="BA13" s="75"/>
      <c r="BB13" s="55" t="s">
        <v>68</v>
      </c>
      <c r="BC13" s="54">
        <f>(BE5-BF5/2)*8</f>
        <v>6752</v>
      </c>
      <c r="BD13" s="54">
        <f>(BE5+BF5/2)*8</f>
        <v>6792</v>
      </c>
      <c r="BE13" s="10" t="s">
        <v>9</v>
      </c>
      <c r="BF13" s="10" t="s">
        <v>9</v>
      </c>
      <c r="BG13" s="87" t="s">
        <v>67</v>
      </c>
      <c r="BH13" s="88"/>
      <c r="BI13" s="89"/>
      <c r="BJ13" s="75"/>
      <c r="BK13" s="55" t="s">
        <v>68</v>
      </c>
      <c r="BL13" s="54">
        <f>(BN5-(INT((BO5*5)/2)*0.18)-0.2)*8</f>
        <v>6525.12</v>
      </c>
      <c r="BM13" s="54">
        <f>(BN5-(INT((BO5*5)/2)*0.18)+0.2)*8</f>
        <v>6528.3200000000006</v>
      </c>
      <c r="BN13" s="10" t="s">
        <v>9</v>
      </c>
      <c r="BO13" s="10" t="s">
        <v>9</v>
      </c>
      <c r="BP13" s="87" t="s">
        <v>39</v>
      </c>
      <c r="BQ13" s="88"/>
      <c r="BR13" s="89"/>
      <c r="BS13" s="75"/>
      <c r="BT13" s="55" t="s">
        <v>68</v>
      </c>
      <c r="BU13" s="54">
        <f>((BW5+INT((BX5*5)/2)*0.18)-0.2)*8</f>
        <v>6783.6799999999994</v>
      </c>
      <c r="BV13" s="54">
        <f>((BW5+INT((BX5*5)/2)*0.18)+0.2)*8</f>
        <v>6786.88</v>
      </c>
      <c r="BW13" s="10" t="s">
        <v>9</v>
      </c>
      <c r="BX13" s="10" t="s">
        <v>9</v>
      </c>
      <c r="BY13" s="87" t="s">
        <v>39</v>
      </c>
      <c r="BZ13" s="88"/>
      <c r="CA13" s="89"/>
      <c r="CB13" s="75"/>
      <c r="CC13" s="55" t="s">
        <v>68</v>
      </c>
      <c r="CD13" s="54">
        <f>(CF5-CG5/2)*8</f>
        <v>6520</v>
      </c>
      <c r="CE13" s="54">
        <f>(CF5+CG5/2)*8</f>
        <v>6640</v>
      </c>
      <c r="CF13" s="10" t="s">
        <v>9</v>
      </c>
      <c r="CG13" s="10" t="s">
        <v>9</v>
      </c>
      <c r="CH13" s="87" t="s">
        <v>39</v>
      </c>
      <c r="CI13" s="88"/>
      <c r="CJ13" s="89"/>
      <c r="CK13" s="75"/>
      <c r="CL13" s="55" t="s">
        <v>68</v>
      </c>
      <c r="CM13" s="54">
        <f>(CO5-CP5/2)*8</f>
        <v>6672</v>
      </c>
      <c r="CN13" s="54">
        <f>(CO5+CP5/2)*8</f>
        <v>6792</v>
      </c>
      <c r="CO13" s="10" t="s">
        <v>9</v>
      </c>
      <c r="CP13" s="10" t="s">
        <v>9</v>
      </c>
      <c r="CQ13" s="87" t="s">
        <v>67</v>
      </c>
      <c r="CR13" s="88"/>
      <c r="CS13" s="89"/>
      <c r="CT13" s="75"/>
      <c r="CU13" s="55" t="s">
        <v>68</v>
      </c>
    </row>
    <row r="14" spans="1:99" ht="15">
      <c r="A14" s="54">
        <f>((C5-2.5*0.18)-0.2)*9</f>
        <v>7326.45</v>
      </c>
      <c r="B14" s="54">
        <f>((C5-2.5*0.18)+0.2)*9</f>
        <v>7330.05</v>
      </c>
      <c r="C14" s="10" t="s">
        <v>9</v>
      </c>
      <c r="D14" s="10" t="s">
        <v>9</v>
      </c>
      <c r="E14" s="90" t="s">
        <v>35</v>
      </c>
      <c r="F14" s="90"/>
      <c r="G14" s="90"/>
      <c r="H14" s="75"/>
      <c r="I14" s="55" t="s">
        <v>69</v>
      </c>
      <c r="J14" s="54">
        <f>((L5-2.5*0.18)-0.2)*9</f>
        <v>7628.8499999999985</v>
      </c>
      <c r="K14" s="54">
        <f>((L5-2.5*0.18)+0.2)*9</f>
        <v>7632.45</v>
      </c>
      <c r="L14" s="10" t="s">
        <v>9</v>
      </c>
      <c r="M14" s="10" t="s">
        <v>9</v>
      </c>
      <c r="N14" s="87" t="s">
        <v>39</v>
      </c>
      <c r="O14" s="88"/>
      <c r="P14" s="89"/>
      <c r="Q14" s="75"/>
      <c r="R14" s="55" t="s">
        <v>69</v>
      </c>
      <c r="S14" s="54">
        <f>((U5-INT((V5*5)/2)*0.18)-0.2)*9</f>
        <v>7327.26</v>
      </c>
      <c r="T14" s="54">
        <f>((U5-INT((V5*5)/2)*0.18)+0.2)*9</f>
        <v>7330.8600000000006</v>
      </c>
      <c r="U14" s="10" t="s">
        <v>9</v>
      </c>
      <c r="V14" s="10" t="s">
        <v>9</v>
      </c>
      <c r="W14" s="87" t="s">
        <v>39</v>
      </c>
      <c r="X14" s="88"/>
      <c r="Y14" s="89"/>
      <c r="Z14" s="75"/>
      <c r="AA14" s="55" t="s">
        <v>69</v>
      </c>
      <c r="AB14" s="54">
        <f>((AD5-INT((AE5*5)/2)*0.18)-0.2)*9</f>
        <v>7462.26</v>
      </c>
      <c r="AC14" s="54">
        <f>((AD5-INT((AE5*5)/2)*0.18)+0.2)*9</f>
        <v>7465.8600000000006</v>
      </c>
      <c r="AD14" s="10" t="s">
        <v>9</v>
      </c>
      <c r="AE14" s="10" t="s">
        <v>9</v>
      </c>
      <c r="AF14" s="90" t="s">
        <v>70</v>
      </c>
      <c r="AG14" s="90"/>
      <c r="AH14" s="90"/>
      <c r="AI14" s="75"/>
      <c r="AJ14" s="55" t="s">
        <v>71</v>
      </c>
      <c r="AK14" s="54">
        <f>((AM5+INT((AN5*5)/2)*0.18)-0.2)*9</f>
        <v>7636.1399999999994</v>
      </c>
      <c r="AL14" s="54">
        <f>((AM5+INT((AN5*5)/2)*0.18)+0.2)*9</f>
        <v>7639.74</v>
      </c>
      <c r="AM14" s="10" t="s">
        <v>9</v>
      </c>
      <c r="AN14" s="10" t="s">
        <v>9</v>
      </c>
      <c r="AO14" s="87" t="s">
        <v>39</v>
      </c>
      <c r="AP14" s="88"/>
      <c r="AQ14" s="89"/>
      <c r="AR14" s="75"/>
      <c r="AS14" s="55" t="s">
        <v>71</v>
      </c>
      <c r="AT14" s="54">
        <f>(AV5-AW5/2)*9</f>
        <v>7326</v>
      </c>
      <c r="AU14" s="54">
        <f>(AV5+AW5/2)*9</f>
        <v>7371</v>
      </c>
      <c r="AV14" s="10" t="s">
        <v>9</v>
      </c>
      <c r="AW14" s="10" t="s">
        <v>9</v>
      </c>
      <c r="AX14" s="87" t="s">
        <v>39</v>
      </c>
      <c r="AY14" s="88"/>
      <c r="AZ14" s="89"/>
      <c r="BA14" s="75"/>
      <c r="BB14" s="55" t="s">
        <v>71</v>
      </c>
      <c r="BC14" s="54">
        <f>(BE5-BF5/2)*9</f>
        <v>7596</v>
      </c>
      <c r="BD14" s="54">
        <f>(BE5+BF5/2)*9</f>
        <v>7641</v>
      </c>
      <c r="BE14" s="10" t="s">
        <v>9</v>
      </c>
      <c r="BF14" s="10" t="s">
        <v>9</v>
      </c>
      <c r="BG14" s="87" t="s">
        <v>70</v>
      </c>
      <c r="BH14" s="88"/>
      <c r="BI14" s="89"/>
      <c r="BJ14" s="75"/>
      <c r="BK14" s="55" t="s">
        <v>71</v>
      </c>
      <c r="BL14" s="54">
        <f>(BN5-(INT((BO5*5)/2)*0.18)-0.2)*9</f>
        <v>7340.76</v>
      </c>
      <c r="BM14" s="54">
        <f>(BN5-(INT((BO5*5)/2)*0.18)+0.2)*9</f>
        <v>7344.3600000000006</v>
      </c>
      <c r="BN14" s="10" t="s">
        <v>9</v>
      </c>
      <c r="BO14" s="10" t="s">
        <v>9</v>
      </c>
      <c r="BP14" s="87" t="s">
        <v>39</v>
      </c>
      <c r="BQ14" s="88"/>
      <c r="BR14" s="89"/>
      <c r="BS14" s="75"/>
      <c r="BT14" s="55" t="s">
        <v>71</v>
      </c>
      <c r="BU14" s="54">
        <f>((BW5+INT((BX5*5)/2)*0.18)-0.2)*9</f>
        <v>7631.6399999999994</v>
      </c>
      <c r="BV14" s="54">
        <f>((BW5+INT((BX5*5)/2)*0.18)+0.2)*9</f>
        <v>7635.24</v>
      </c>
      <c r="BW14" s="10" t="s">
        <v>9</v>
      </c>
      <c r="BX14" s="10" t="s">
        <v>9</v>
      </c>
      <c r="BY14" s="87" t="s">
        <v>39</v>
      </c>
      <c r="BZ14" s="88"/>
      <c r="CA14" s="89"/>
      <c r="CB14" s="75"/>
      <c r="CC14" s="55" t="s">
        <v>71</v>
      </c>
      <c r="CD14" s="54">
        <f>(CF5-CG5/2)*9</f>
        <v>7335</v>
      </c>
      <c r="CE14" s="54">
        <f>(CF5+CG5/2)*9</f>
        <v>7470</v>
      </c>
      <c r="CF14" s="10" t="s">
        <v>9</v>
      </c>
      <c r="CG14" s="10" t="s">
        <v>9</v>
      </c>
      <c r="CH14" s="87" t="s">
        <v>39</v>
      </c>
      <c r="CI14" s="88"/>
      <c r="CJ14" s="89"/>
      <c r="CK14" s="75"/>
      <c r="CL14" s="55" t="s">
        <v>71</v>
      </c>
      <c r="CM14" s="54">
        <f>(CO5-CP5/2)*9</f>
        <v>7506</v>
      </c>
      <c r="CN14" s="54">
        <f>(CO5+CP5/2)*9</f>
        <v>7641</v>
      </c>
      <c r="CO14" s="10" t="s">
        <v>9</v>
      </c>
      <c r="CP14" s="10" t="s">
        <v>9</v>
      </c>
      <c r="CQ14" s="87" t="s">
        <v>70</v>
      </c>
      <c r="CR14" s="88"/>
      <c r="CS14" s="89"/>
      <c r="CT14" s="75"/>
      <c r="CU14" s="55" t="s">
        <v>71</v>
      </c>
    </row>
    <row r="15" spans="1:99" ht="15">
      <c r="A15" s="54">
        <f>((C5-2.5*0.18)-0.2)*10</f>
        <v>8140.5</v>
      </c>
      <c r="B15" s="54">
        <f>((C5-2.5*0.18)+0.2)*10</f>
        <v>8144.5</v>
      </c>
      <c r="C15" s="10" t="s">
        <v>9</v>
      </c>
      <c r="D15" s="10" t="s">
        <v>9</v>
      </c>
      <c r="E15" s="90" t="s">
        <v>35</v>
      </c>
      <c r="F15" s="90"/>
      <c r="G15" s="90"/>
      <c r="H15" s="75"/>
      <c r="I15" s="55" t="s">
        <v>72</v>
      </c>
      <c r="J15" s="54">
        <f>((L5-2.5*0.18)-0.2)*10</f>
        <v>8476.4999999999982</v>
      </c>
      <c r="K15" s="54">
        <f>((L5-2.5*0.18)+0.2)*10</f>
        <v>8480.5</v>
      </c>
      <c r="L15" s="10" t="s">
        <v>9</v>
      </c>
      <c r="M15" s="10" t="s">
        <v>9</v>
      </c>
      <c r="N15" s="87" t="s">
        <v>39</v>
      </c>
      <c r="O15" s="88"/>
      <c r="P15" s="89"/>
      <c r="Q15" s="75"/>
      <c r="R15" s="55" t="s">
        <v>72</v>
      </c>
      <c r="S15" s="54">
        <f>((U5-INT((V5*5)/2)*0.18)-0.2)*10</f>
        <v>8141.4</v>
      </c>
      <c r="T15" s="54">
        <f>((U5-INT((V5*5)/2)*0.18)+0.2)*10</f>
        <v>8145.4000000000005</v>
      </c>
      <c r="U15" s="10" t="s">
        <v>9</v>
      </c>
      <c r="V15" s="10" t="s">
        <v>9</v>
      </c>
      <c r="W15" s="87" t="s">
        <v>39</v>
      </c>
      <c r="X15" s="88"/>
      <c r="Y15" s="89"/>
      <c r="Z15" s="75"/>
      <c r="AA15" s="55" t="s">
        <v>72</v>
      </c>
      <c r="AB15" s="54">
        <f>((AD5-INT((AE5*5)/2)*0.18)-0.2)*10</f>
        <v>8291.4</v>
      </c>
      <c r="AC15" s="54">
        <f>((AD5-INT((AE5*5)/2)*0.18)+0.2)*10</f>
        <v>8295.4000000000015</v>
      </c>
      <c r="AD15" s="10" t="s">
        <v>9</v>
      </c>
      <c r="AE15" s="10" t="s">
        <v>9</v>
      </c>
      <c r="AF15" s="90" t="s">
        <v>73</v>
      </c>
      <c r="AG15" s="90"/>
      <c r="AH15" s="90"/>
      <c r="AI15" s="75"/>
      <c r="AJ15" s="55" t="s">
        <v>74</v>
      </c>
      <c r="AK15" s="54">
        <f>((AM5+INT((AN5*5)/2)*0.18)-0.2)*10</f>
        <v>8484.5999999999985</v>
      </c>
      <c r="AL15" s="54">
        <f>((AM5+INT((AN5*5)/2)*0.18)+0.2)*10</f>
        <v>8488.6</v>
      </c>
      <c r="AM15" s="10" t="s">
        <v>9</v>
      </c>
      <c r="AN15" s="10" t="s">
        <v>9</v>
      </c>
      <c r="AO15" s="87" t="s">
        <v>39</v>
      </c>
      <c r="AP15" s="88"/>
      <c r="AQ15" s="89"/>
      <c r="AR15" s="75"/>
      <c r="AS15" s="55" t="s">
        <v>74</v>
      </c>
      <c r="AT15" s="54">
        <f>(AV5-AW5/2)*10</f>
        <v>8140</v>
      </c>
      <c r="AU15" s="54">
        <f>(AV5+AW5/2)*10</f>
        <v>8190</v>
      </c>
      <c r="AV15" s="10" t="s">
        <v>9</v>
      </c>
      <c r="AW15" s="10" t="s">
        <v>9</v>
      </c>
      <c r="AX15" s="87" t="s">
        <v>39</v>
      </c>
      <c r="AY15" s="88"/>
      <c r="AZ15" s="89"/>
      <c r="BA15" s="75"/>
      <c r="BB15" s="55" t="s">
        <v>74</v>
      </c>
      <c r="BC15" s="54">
        <f>(BE5-BF5/2)*10</f>
        <v>8440</v>
      </c>
      <c r="BD15" s="54">
        <f>(BE5+BF5/2)*10</f>
        <v>8490</v>
      </c>
      <c r="BE15" s="10" t="s">
        <v>9</v>
      </c>
      <c r="BF15" s="10" t="s">
        <v>9</v>
      </c>
      <c r="BG15" s="87" t="s">
        <v>73</v>
      </c>
      <c r="BH15" s="88"/>
      <c r="BI15" s="89"/>
      <c r="BJ15" s="75"/>
      <c r="BK15" s="55" t="s">
        <v>74</v>
      </c>
      <c r="BL15" s="54">
        <f>(BN5-(INT((BO5*5)/2)*0.18)-0.2)*10</f>
        <v>8156.4</v>
      </c>
      <c r="BM15" s="54">
        <f>(BN5-(INT((BO5*5)/2)*0.18)+0.2)*10</f>
        <v>8160.4000000000005</v>
      </c>
      <c r="BN15" s="10" t="s">
        <v>9</v>
      </c>
      <c r="BO15" s="10" t="s">
        <v>9</v>
      </c>
      <c r="BP15" s="87" t="s">
        <v>39</v>
      </c>
      <c r="BQ15" s="88"/>
      <c r="BR15" s="89"/>
      <c r="BS15" s="75"/>
      <c r="BT15" s="55" t="s">
        <v>74</v>
      </c>
      <c r="BU15" s="54">
        <f>((BW5+INT((BX5*5)/2)*0.18)-0.2)*10</f>
        <v>8479.5999999999985</v>
      </c>
      <c r="BV15" s="54">
        <f>((BW5+INT((BX5*5)/2)*0.18)+0.2)*10</f>
        <v>8483.6</v>
      </c>
      <c r="BW15" s="10" t="s">
        <v>9</v>
      </c>
      <c r="BX15" s="10" t="s">
        <v>9</v>
      </c>
      <c r="BY15" s="87" t="s">
        <v>39</v>
      </c>
      <c r="BZ15" s="88"/>
      <c r="CA15" s="89"/>
      <c r="CB15" s="75"/>
      <c r="CC15" s="55" t="s">
        <v>74</v>
      </c>
      <c r="CD15" s="54">
        <f>(CF5-CG5/2)*10</f>
        <v>8150</v>
      </c>
      <c r="CE15" s="54">
        <f>(CF5+CG5/2)*10</f>
        <v>8300</v>
      </c>
      <c r="CF15" s="10" t="s">
        <v>9</v>
      </c>
      <c r="CG15" s="10" t="s">
        <v>9</v>
      </c>
      <c r="CH15" s="87" t="s">
        <v>39</v>
      </c>
      <c r="CI15" s="88"/>
      <c r="CJ15" s="89"/>
      <c r="CK15" s="75"/>
      <c r="CL15" s="55" t="s">
        <v>74</v>
      </c>
      <c r="CM15" s="54">
        <f>(CO5-CP5/2)*10</f>
        <v>8340</v>
      </c>
      <c r="CN15" s="54">
        <f>(CO5+CP5/2)*10</f>
        <v>8490</v>
      </c>
      <c r="CO15" s="10" t="s">
        <v>9</v>
      </c>
      <c r="CP15" s="10" t="s">
        <v>9</v>
      </c>
      <c r="CQ15" s="87" t="s">
        <v>73</v>
      </c>
      <c r="CR15" s="88"/>
      <c r="CS15" s="89"/>
      <c r="CT15" s="75"/>
      <c r="CU15" s="55" t="s">
        <v>74</v>
      </c>
    </row>
    <row r="16" spans="1:99" ht="15">
      <c r="A16" s="54">
        <f>((C5-2.5*0.18)-0.2)*11</f>
        <v>8954.5499999999993</v>
      </c>
      <c r="B16" s="54">
        <f>((C5-2.5*0.18)+0.2)*11</f>
        <v>8958.9500000000007</v>
      </c>
      <c r="C16" s="10" t="s">
        <v>9</v>
      </c>
      <c r="D16" s="10" t="s">
        <v>9</v>
      </c>
      <c r="E16" s="90" t="s">
        <v>35</v>
      </c>
      <c r="F16" s="90"/>
      <c r="G16" s="90"/>
      <c r="H16" s="75"/>
      <c r="I16" s="55" t="s">
        <v>75</v>
      </c>
      <c r="J16" s="54">
        <f>((L5-2.5*0.18)-0.2)*11</f>
        <v>9324.1499999999978</v>
      </c>
      <c r="K16" s="54">
        <f>((L5-2.5*0.18)+0.2)*11</f>
        <v>9328.5499999999993</v>
      </c>
      <c r="L16" s="10" t="s">
        <v>9</v>
      </c>
      <c r="M16" s="10" t="s">
        <v>9</v>
      </c>
      <c r="N16" s="87" t="s">
        <v>39</v>
      </c>
      <c r="O16" s="88"/>
      <c r="P16" s="89"/>
      <c r="Q16" s="75"/>
      <c r="R16" s="55" t="s">
        <v>75</v>
      </c>
      <c r="S16" s="54">
        <f>((U5-INT((V5*5)/2)*0.18)-0.2)*11</f>
        <v>8955.5399999999991</v>
      </c>
      <c r="T16" s="54">
        <f>((U5-INT((V5*5)/2)*0.18)+0.2)*12</f>
        <v>9774.4800000000014</v>
      </c>
      <c r="U16" s="10" t="s">
        <v>9</v>
      </c>
      <c r="V16" s="10" t="s">
        <v>9</v>
      </c>
      <c r="W16" s="87" t="s">
        <v>39</v>
      </c>
      <c r="X16" s="88"/>
      <c r="Y16" s="89"/>
      <c r="Z16" s="75"/>
      <c r="AA16" s="55" t="s">
        <v>75</v>
      </c>
      <c r="AB16" s="54">
        <f>((AD5-INT((AE5*5)/2)*0.18)-0.2)*11</f>
        <v>9120.5399999999991</v>
      </c>
      <c r="AC16" s="54">
        <f>((AD5-INT((AE5*5)/2)*0.18)+0.2)*11</f>
        <v>9124.94</v>
      </c>
      <c r="AD16" s="10" t="s">
        <v>9</v>
      </c>
      <c r="AE16" s="10" t="s">
        <v>9</v>
      </c>
      <c r="AF16" s="90" t="s">
        <v>76</v>
      </c>
      <c r="AG16" s="90"/>
      <c r="AH16" s="90"/>
      <c r="AI16" s="75"/>
      <c r="AJ16" s="55" t="s">
        <v>77</v>
      </c>
      <c r="AK16" s="54">
        <f>((AM5+INT((AN5*5)/2)*0.18)-0.2)*11</f>
        <v>9333.06</v>
      </c>
      <c r="AL16" s="54">
        <f>((AM5+INT((AN5*5)/2)*0.18)+0.2)*11</f>
        <v>9337.4600000000009</v>
      </c>
      <c r="AM16" s="10" t="s">
        <v>9</v>
      </c>
      <c r="AN16" s="10" t="s">
        <v>9</v>
      </c>
      <c r="AO16" s="87" t="s">
        <v>39</v>
      </c>
      <c r="AP16" s="88"/>
      <c r="AQ16" s="89"/>
      <c r="AR16" s="75"/>
      <c r="AS16" s="55" t="s">
        <v>77</v>
      </c>
      <c r="AT16" s="54">
        <f>(AV5-AW5/2)*11</f>
        <v>8954</v>
      </c>
      <c r="AU16" s="54">
        <f>(AV5+AW5/2)*11</f>
        <v>9009</v>
      </c>
      <c r="AV16" s="10" t="s">
        <v>9</v>
      </c>
      <c r="AW16" s="10" t="s">
        <v>9</v>
      </c>
      <c r="AX16" s="87" t="s">
        <v>39</v>
      </c>
      <c r="AY16" s="88"/>
      <c r="AZ16" s="89"/>
      <c r="BA16" s="75"/>
      <c r="BB16" s="55" t="s">
        <v>77</v>
      </c>
      <c r="BC16" s="54">
        <f>(BE5-BF5/2)*11</f>
        <v>9284</v>
      </c>
      <c r="BD16" s="54">
        <f>(BE5+BF5/2)*11</f>
        <v>9339</v>
      </c>
      <c r="BE16" s="10" t="s">
        <v>9</v>
      </c>
      <c r="BF16" s="10" t="s">
        <v>9</v>
      </c>
      <c r="BG16" s="87" t="s">
        <v>76</v>
      </c>
      <c r="BH16" s="88"/>
      <c r="BI16" s="89"/>
      <c r="BJ16" s="75"/>
      <c r="BK16" s="55" t="s">
        <v>77</v>
      </c>
      <c r="BL16" s="54">
        <f>(BN5-(INT((BO5*5)/2)*0.18)-0.2)*11</f>
        <v>8972.0399999999991</v>
      </c>
      <c r="BM16" s="54">
        <f>(BN5-(INT((BO5*5)/2)*0.18)+0.2)*11</f>
        <v>8976.44</v>
      </c>
      <c r="BN16" s="10" t="s">
        <v>9</v>
      </c>
      <c r="BO16" s="10" t="s">
        <v>9</v>
      </c>
      <c r="BP16" s="87" t="s">
        <v>39</v>
      </c>
      <c r="BQ16" s="88"/>
      <c r="BR16" s="89"/>
      <c r="BS16" s="75"/>
      <c r="BT16" s="55" t="s">
        <v>77</v>
      </c>
      <c r="BU16" s="54">
        <f>((BW5+INT((BX5*5)/2)*0.18)-0.2)*11</f>
        <v>9327.56</v>
      </c>
      <c r="BV16" s="54">
        <f>((BW5+INT((BX5*5)/2)*0.18)+0.2)*11</f>
        <v>9331.9600000000009</v>
      </c>
      <c r="BW16" s="10" t="s">
        <v>9</v>
      </c>
      <c r="BX16" s="10" t="s">
        <v>9</v>
      </c>
      <c r="BY16" s="87" t="s">
        <v>39</v>
      </c>
      <c r="BZ16" s="88"/>
      <c r="CA16" s="89"/>
      <c r="CB16" s="75"/>
      <c r="CC16" s="55" t="s">
        <v>77</v>
      </c>
      <c r="CD16" s="54">
        <f>(CF5-CG5/2)*11</f>
        <v>8965</v>
      </c>
      <c r="CE16" s="54">
        <f>(CF5+CG5/2)*11</f>
        <v>9130</v>
      </c>
      <c r="CF16" s="10" t="s">
        <v>9</v>
      </c>
      <c r="CG16" s="10" t="s">
        <v>9</v>
      </c>
      <c r="CH16" s="87" t="s">
        <v>39</v>
      </c>
      <c r="CI16" s="88"/>
      <c r="CJ16" s="89"/>
      <c r="CK16" s="75"/>
      <c r="CL16" s="55" t="s">
        <v>77</v>
      </c>
      <c r="CM16" s="54">
        <f>(CO5-CP5/2)*11</f>
        <v>9174</v>
      </c>
      <c r="CN16" s="54">
        <f>(CO5+CP5/2)*11</f>
        <v>9339</v>
      </c>
      <c r="CO16" s="10" t="s">
        <v>9</v>
      </c>
      <c r="CP16" s="10" t="s">
        <v>9</v>
      </c>
      <c r="CQ16" s="87" t="s">
        <v>76</v>
      </c>
      <c r="CR16" s="88"/>
      <c r="CS16" s="89"/>
      <c r="CT16" s="75"/>
      <c r="CU16" s="55" t="s">
        <v>77</v>
      </c>
    </row>
    <row r="17" spans="1:99" ht="15">
      <c r="A17" s="54">
        <f>((C5-2.5*0.18)-0.2)*12</f>
        <v>9768.5999999999985</v>
      </c>
      <c r="B17" s="54">
        <f>((C5-2.5*0.18)+0.2)*12</f>
        <v>9773.4000000000015</v>
      </c>
      <c r="C17" s="10" t="s">
        <v>9</v>
      </c>
      <c r="D17" s="10" t="s">
        <v>9</v>
      </c>
      <c r="E17" s="90" t="s">
        <v>35</v>
      </c>
      <c r="F17" s="90"/>
      <c r="G17" s="90"/>
      <c r="H17" s="75"/>
      <c r="I17" s="55" t="s">
        <v>78</v>
      </c>
      <c r="J17" s="54">
        <f>((L5-2.5*0.18)-0.2)*12</f>
        <v>10171.799999999999</v>
      </c>
      <c r="K17" s="54">
        <f>((L5-2.5*0.18)+0.2)*12</f>
        <v>10176.599999999999</v>
      </c>
      <c r="L17" s="10" t="s">
        <v>9</v>
      </c>
      <c r="M17" s="10" t="s">
        <v>9</v>
      </c>
      <c r="N17" s="87" t="s">
        <v>39</v>
      </c>
      <c r="O17" s="88"/>
      <c r="P17" s="89"/>
      <c r="Q17" s="75"/>
      <c r="R17" s="55" t="s">
        <v>78</v>
      </c>
      <c r="S17" s="54">
        <f>((U5-INT((V5*5)/2)*0.18)-0.2)*13</f>
        <v>10583.82</v>
      </c>
      <c r="T17" s="54">
        <f>((U5-INT((V5*5)/2)*0.18)+0.2)*14</f>
        <v>11403.560000000001</v>
      </c>
      <c r="U17" s="10" t="s">
        <v>9</v>
      </c>
      <c r="V17" s="10" t="s">
        <v>9</v>
      </c>
      <c r="W17" s="87" t="s">
        <v>39</v>
      </c>
      <c r="X17" s="88"/>
      <c r="Y17" s="89"/>
      <c r="Z17" s="75"/>
      <c r="AA17" s="55" t="s">
        <v>78</v>
      </c>
      <c r="AB17" s="54">
        <f>((AD5-INT((AE5*5)/2)*0.18)-0.2)*12</f>
        <v>9949.68</v>
      </c>
      <c r="AC17" s="54">
        <f>((AD5-INT((AE5*5)/2)*0.18)+0.2)*12</f>
        <v>9954.4800000000014</v>
      </c>
      <c r="AD17" s="10" t="s">
        <v>9</v>
      </c>
      <c r="AE17" s="10" t="s">
        <v>9</v>
      </c>
      <c r="AF17" s="90" t="s">
        <v>79</v>
      </c>
      <c r="AG17" s="90"/>
      <c r="AH17" s="90"/>
      <c r="AI17" s="75"/>
      <c r="AJ17" s="55" t="s">
        <v>80</v>
      </c>
      <c r="AK17" s="54">
        <f>((AM5+INT((AN5*5)/2)*0.18)-0.2)*12</f>
        <v>10181.519999999999</v>
      </c>
      <c r="AL17" s="54">
        <f>((AM5+INT((AN5*5)/2)*0.18)+0.2)*12</f>
        <v>10186.32</v>
      </c>
      <c r="AM17" s="10" t="s">
        <v>9</v>
      </c>
      <c r="AN17" s="10" t="s">
        <v>9</v>
      </c>
      <c r="AO17" s="87" t="s">
        <v>39</v>
      </c>
      <c r="AP17" s="88"/>
      <c r="AQ17" s="89"/>
      <c r="AR17" s="75"/>
      <c r="AS17" s="55" t="s">
        <v>80</v>
      </c>
      <c r="AT17" s="54">
        <f>(AV5-AW5/2)*12</f>
        <v>9768</v>
      </c>
      <c r="AU17" s="54">
        <f>(AV5+AW5/2)*12</f>
        <v>9828</v>
      </c>
      <c r="AV17" s="10" t="s">
        <v>9</v>
      </c>
      <c r="AW17" s="10" t="s">
        <v>9</v>
      </c>
      <c r="AX17" s="87" t="s">
        <v>39</v>
      </c>
      <c r="AY17" s="88"/>
      <c r="AZ17" s="89"/>
      <c r="BA17" s="75"/>
      <c r="BB17" s="55" t="s">
        <v>80</v>
      </c>
      <c r="BC17" s="54">
        <f>(BE5-BF5/2)*12</f>
        <v>10128</v>
      </c>
      <c r="BD17" s="54">
        <f>(BE5+BF5/2)*12</f>
        <v>10188</v>
      </c>
      <c r="BE17" s="10" t="s">
        <v>9</v>
      </c>
      <c r="BF17" s="10" t="s">
        <v>9</v>
      </c>
      <c r="BG17" s="87" t="s">
        <v>79</v>
      </c>
      <c r="BH17" s="88"/>
      <c r="BI17" s="89"/>
      <c r="BJ17" s="75"/>
      <c r="BK17" s="55" t="s">
        <v>80</v>
      </c>
      <c r="BL17" s="54">
        <f>(BN5-(INT((BO5*5)/2)*0.18)-0.2)*12</f>
        <v>9787.68</v>
      </c>
      <c r="BM17" s="54">
        <f>(BN5-(INT((BO5*5)/2)*0.18)+0.2)*12</f>
        <v>9792.4800000000014</v>
      </c>
      <c r="BN17" s="10" t="s">
        <v>9</v>
      </c>
      <c r="BO17" s="10" t="s">
        <v>9</v>
      </c>
      <c r="BP17" s="87" t="s">
        <v>39</v>
      </c>
      <c r="BQ17" s="88"/>
      <c r="BR17" s="89"/>
      <c r="BS17" s="75"/>
      <c r="BT17" s="55" t="s">
        <v>80</v>
      </c>
      <c r="BU17" s="54">
        <f>((BW5+INT((BX5*5)/2)*0.18)-0.2)*12</f>
        <v>10175.519999999999</v>
      </c>
      <c r="BV17" s="54">
        <f>((BW5+INT((BX5*5)/2)*0.18)+0.2)*12</f>
        <v>10180.32</v>
      </c>
      <c r="BW17" s="10" t="s">
        <v>9</v>
      </c>
      <c r="BX17" s="10" t="s">
        <v>9</v>
      </c>
      <c r="BY17" s="87" t="s">
        <v>39</v>
      </c>
      <c r="BZ17" s="88"/>
      <c r="CA17" s="89"/>
      <c r="CB17" s="75"/>
      <c r="CC17" s="55" t="s">
        <v>80</v>
      </c>
      <c r="CD17" s="54">
        <f>(CF5-CG5/2)*12</f>
        <v>9780</v>
      </c>
      <c r="CE17" s="54">
        <f>(CF5+CG5/2)*12</f>
        <v>9960</v>
      </c>
      <c r="CF17" s="10" t="s">
        <v>9</v>
      </c>
      <c r="CG17" s="10" t="s">
        <v>9</v>
      </c>
      <c r="CH17" s="87" t="s">
        <v>39</v>
      </c>
      <c r="CI17" s="88"/>
      <c r="CJ17" s="89"/>
      <c r="CK17" s="75"/>
      <c r="CL17" s="55" t="s">
        <v>80</v>
      </c>
      <c r="CM17" s="54">
        <f>(CO5-CP5/2)*12</f>
        <v>10008</v>
      </c>
      <c r="CN17" s="54">
        <f>(CO5+CP5/2)*12</f>
        <v>10188</v>
      </c>
      <c r="CO17" s="10" t="s">
        <v>9</v>
      </c>
      <c r="CP17" s="10" t="s">
        <v>9</v>
      </c>
      <c r="CQ17" s="87" t="s">
        <v>79</v>
      </c>
      <c r="CR17" s="88"/>
      <c r="CS17" s="89"/>
      <c r="CT17" s="75"/>
      <c r="CU17" s="55" t="s">
        <v>80</v>
      </c>
    </row>
    <row r="18" spans="1:99" ht="15">
      <c r="A18" s="54">
        <f>((C5-2.5*0.18)-0.2)*13</f>
        <v>10582.65</v>
      </c>
      <c r="B18" s="54">
        <f>((C5-2.5*0.18)+0.2)*13</f>
        <v>10587.85</v>
      </c>
      <c r="C18" s="10" t="s">
        <v>9</v>
      </c>
      <c r="D18" s="10" t="s">
        <v>9</v>
      </c>
      <c r="E18" s="90" t="s">
        <v>35</v>
      </c>
      <c r="F18" s="90"/>
      <c r="G18" s="90"/>
      <c r="H18" s="75"/>
      <c r="I18" s="55" t="s">
        <v>81</v>
      </c>
      <c r="J18" s="54">
        <f>((L5-2.5*0.18)-0.2)*13</f>
        <v>11019.449999999999</v>
      </c>
      <c r="K18" s="54">
        <f>((L5-2.5*0.18)+0.2)*13</f>
        <v>11024.65</v>
      </c>
      <c r="L18" s="10" t="s">
        <v>9</v>
      </c>
      <c r="M18" s="10" t="s">
        <v>9</v>
      </c>
      <c r="N18" s="87" t="s">
        <v>39</v>
      </c>
      <c r="O18" s="88"/>
      <c r="P18" s="89"/>
      <c r="Q18" s="75"/>
      <c r="R18" s="55" t="s">
        <v>81</v>
      </c>
      <c r="S18" s="54">
        <f>((U5-INT((V5*5)/2)*0.18)-0.2)*13</f>
        <v>10583.82</v>
      </c>
      <c r="T18" s="54">
        <f>((U5-INT((V5*5)/2)*0.18)+0.2)*13</f>
        <v>10589.02</v>
      </c>
      <c r="U18" s="10" t="s">
        <v>9</v>
      </c>
      <c r="V18" s="10" t="s">
        <v>9</v>
      </c>
      <c r="W18" s="87" t="s">
        <v>39</v>
      </c>
      <c r="X18" s="88"/>
      <c r="Y18" s="89"/>
      <c r="Z18" s="75"/>
      <c r="AA18" s="55" t="s">
        <v>81</v>
      </c>
      <c r="AB18" s="54">
        <f>((AD5-INT((AE5*5)/2)*0.18)-0.2)*13</f>
        <v>10778.82</v>
      </c>
      <c r="AC18" s="54">
        <f>((AD5-INT((AE5*5)/2)*0.18)+0.2)*13</f>
        <v>10784.02</v>
      </c>
      <c r="AD18" s="10" t="s">
        <v>9</v>
      </c>
      <c r="AE18" s="10" t="s">
        <v>9</v>
      </c>
      <c r="AF18" s="90" t="s">
        <v>82</v>
      </c>
      <c r="AG18" s="90"/>
      <c r="AH18" s="90"/>
      <c r="AI18" s="75"/>
      <c r="AJ18" s="55" t="s">
        <v>83</v>
      </c>
      <c r="AK18" s="54">
        <f>((AM5+INT((AN5*5)/2)*0.18)-0.2)*13</f>
        <v>11029.98</v>
      </c>
      <c r="AL18" s="54">
        <f>((AM5+INT((AN5*5)/2)*0.18)+0.2)*13</f>
        <v>11035.18</v>
      </c>
      <c r="AM18" s="10" t="s">
        <v>9</v>
      </c>
      <c r="AN18" s="10" t="s">
        <v>9</v>
      </c>
      <c r="AO18" s="87" t="s">
        <v>39</v>
      </c>
      <c r="AP18" s="88"/>
      <c r="AQ18" s="89"/>
      <c r="AR18" s="75"/>
      <c r="AS18" s="55" t="s">
        <v>83</v>
      </c>
      <c r="AT18" s="54">
        <f>(AV5-AW5/2)*13</f>
        <v>10582</v>
      </c>
      <c r="AU18" s="54">
        <f>(AV5+AW5/2)*13</f>
        <v>10647</v>
      </c>
      <c r="AV18" s="10" t="s">
        <v>9</v>
      </c>
      <c r="AW18" s="10" t="s">
        <v>9</v>
      </c>
      <c r="AX18" s="87" t="s">
        <v>39</v>
      </c>
      <c r="AY18" s="88"/>
      <c r="AZ18" s="89"/>
      <c r="BA18" s="75"/>
      <c r="BB18" s="55" t="s">
        <v>83</v>
      </c>
      <c r="BC18" s="54">
        <f>(BE5-BF5/2)*13</f>
        <v>10972</v>
      </c>
      <c r="BD18" s="54">
        <f>(BE5+BF5/2)*13</f>
        <v>11037</v>
      </c>
      <c r="BE18" s="10" t="s">
        <v>9</v>
      </c>
      <c r="BF18" s="10" t="s">
        <v>9</v>
      </c>
      <c r="BG18" s="87" t="s">
        <v>82</v>
      </c>
      <c r="BH18" s="88"/>
      <c r="BI18" s="89"/>
      <c r="BJ18" s="75"/>
      <c r="BK18" s="55" t="s">
        <v>83</v>
      </c>
      <c r="BL18" s="54">
        <f>(BN5-(INT((BO5*5)/2)*0.18)-0.2)*13</f>
        <v>10603.32</v>
      </c>
      <c r="BM18" s="54">
        <f>(BN5-(INT((BO5*5)/2)*0.18)+0.2)*13</f>
        <v>10608.52</v>
      </c>
      <c r="BN18" s="10" t="s">
        <v>9</v>
      </c>
      <c r="BO18" s="10" t="s">
        <v>9</v>
      </c>
      <c r="BP18" s="87" t="s">
        <v>39</v>
      </c>
      <c r="BQ18" s="88"/>
      <c r="BR18" s="89"/>
      <c r="BS18" s="75"/>
      <c r="BT18" s="55" t="s">
        <v>83</v>
      </c>
      <c r="BU18" s="54">
        <f>((BW5+INT((BX5*5)/2)*0.18)-0.2)*13</f>
        <v>11023.48</v>
      </c>
      <c r="BV18" s="54">
        <f>((BW5+INT((BX5*5)/2)*0.18)+0.2)*13</f>
        <v>11028.68</v>
      </c>
      <c r="BW18" s="10" t="s">
        <v>9</v>
      </c>
      <c r="BX18" s="10" t="s">
        <v>9</v>
      </c>
      <c r="BY18" s="87" t="s">
        <v>39</v>
      </c>
      <c r="BZ18" s="88"/>
      <c r="CA18" s="89"/>
      <c r="CB18" s="75"/>
      <c r="CC18" s="55" t="s">
        <v>83</v>
      </c>
      <c r="CD18" s="54">
        <f>(CF5-CG5/2)*13</f>
        <v>10595</v>
      </c>
      <c r="CE18" s="54">
        <f>(CF5+CG5/2)*13</f>
        <v>10790</v>
      </c>
      <c r="CF18" s="10" t="s">
        <v>9</v>
      </c>
      <c r="CG18" s="10" t="s">
        <v>9</v>
      </c>
      <c r="CH18" s="87" t="s">
        <v>39</v>
      </c>
      <c r="CI18" s="88"/>
      <c r="CJ18" s="89"/>
      <c r="CK18" s="75"/>
      <c r="CL18" s="55" t="s">
        <v>83</v>
      </c>
      <c r="CM18" s="54">
        <f>(CO5-CP5/2)*13</f>
        <v>10842</v>
      </c>
      <c r="CN18" s="54">
        <f>(CO5+CP5/2)*13</f>
        <v>11037</v>
      </c>
      <c r="CO18" s="10" t="s">
        <v>9</v>
      </c>
      <c r="CP18" s="10" t="s">
        <v>9</v>
      </c>
      <c r="CQ18" s="87" t="s">
        <v>82</v>
      </c>
      <c r="CR18" s="88"/>
      <c r="CS18" s="89"/>
      <c r="CT18" s="75"/>
      <c r="CU18" s="55" t="s">
        <v>83</v>
      </c>
    </row>
    <row r="19" spans="1:99" ht="15">
      <c r="A19" s="54">
        <f>((C5-2.5*0.18)-0.2)*14</f>
        <v>11396.699999999999</v>
      </c>
      <c r="B19" s="54">
        <f>((C5-2.5*0.18)+0.2)*14</f>
        <v>11402.300000000001</v>
      </c>
      <c r="C19" s="10" t="s">
        <v>9</v>
      </c>
      <c r="D19" s="10" t="s">
        <v>9</v>
      </c>
      <c r="E19" s="90" t="s">
        <v>35</v>
      </c>
      <c r="F19" s="90"/>
      <c r="G19" s="90"/>
      <c r="H19" s="75"/>
      <c r="I19" s="55" t="s">
        <v>84</v>
      </c>
      <c r="J19" s="54">
        <f>((L5-2.5*0.18)-0.2)*14</f>
        <v>11867.099999999999</v>
      </c>
      <c r="K19" s="54">
        <f>((L5-2.5*0.18)+0.2)*14</f>
        <v>11872.699999999999</v>
      </c>
      <c r="L19" s="10" t="s">
        <v>9</v>
      </c>
      <c r="M19" s="10" t="s">
        <v>9</v>
      </c>
      <c r="N19" s="87" t="s">
        <v>39</v>
      </c>
      <c r="O19" s="88"/>
      <c r="P19" s="89"/>
      <c r="Q19" s="75"/>
      <c r="R19" s="55" t="s">
        <v>84</v>
      </c>
      <c r="S19" s="54">
        <f>((U5-INT((V5*5)/2)*0.18)-0.2)*14</f>
        <v>11397.96</v>
      </c>
      <c r="T19" s="54">
        <f>((U5-INT((V5*5)/2)*0.18)+0.2)*14</f>
        <v>11403.560000000001</v>
      </c>
      <c r="U19" s="10" t="s">
        <v>9</v>
      </c>
      <c r="V19" s="10" t="s">
        <v>9</v>
      </c>
      <c r="W19" s="87" t="s">
        <v>39</v>
      </c>
      <c r="X19" s="88"/>
      <c r="Y19" s="89"/>
      <c r="Z19" s="75"/>
      <c r="AA19" s="55" t="s">
        <v>84</v>
      </c>
      <c r="AB19" s="54">
        <f>((AD5-INT((AE5*5)/2)*0.18)-0.2)*14</f>
        <v>11607.96</v>
      </c>
      <c r="AC19" s="54">
        <f>((AD5-INT((AE5*5)/2)*0.18)+0.2)*14</f>
        <v>11613.560000000001</v>
      </c>
      <c r="AD19" s="10" t="s">
        <v>9</v>
      </c>
      <c r="AE19" s="10" t="s">
        <v>9</v>
      </c>
      <c r="AF19" s="90" t="s">
        <v>85</v>
      </c>
      <c r="AG19" s="90"/>
      <c r="AH19" s="90"/>
      <c r="AI19" s="75"/>
      <c r="AJ19" s="55" t="s">
        <v>86</v>
      </c>
      <c r="AK19" s="54">
        <f>((AM5+INT((AN5*5)/2)*0.18)-0.2)*14</f>
        <v>11878.439999999999</v>
      </c>
      <c r="AL19" s="54">
        <f>((AM5+INT((AN5*5)/2)*0.18)+0.2)*14</f>
        <v>11884.04</v>
      </c>
      <c r="AM19" s="10" t="s">
        <v>9</v>
      </c>
      <c r="AN19" s="10" t="s">
        <v>9</v>
      </c>
      <c r="AO19" s="87" t="s">
        <v>39</v>
      </c>
      <c r="AP19" s="88"/>
      <c r="AQ19" s="89"/>
      <c r="AR19" s="75"/>
      <c r="AS19" s="55" t="s">
        <v>86</v>
      </c>
      <c r="AT19" s="54">
        <f>(AV5-AW5/2)*14</f>
        <v>11396</v>
      </c>
      <c r="AU19" s="54">
        <f>(AV5+AW5/2)*14</f>
        <v>11466</v>
      </c>
      <c r="AV19" s="10" t="s">
        <v>9</v>
      </c>
      <c r="AW19" s="10" t="s">
        <v>9</v>
      </c>
      <c r="AX19" s="87" t="s">
        <v>39</v>
      </c>
      <c r="AY19" s="88"/>
      <c r="AZ19" s="89"/>
      <c r="BA19" s="75"/>
      <c r="BB19" s="55" t="s">
        <v>86</v>
      </c>
      <c r="BC19" s="54">
        <f>(BE5-BF5/2)*14</f>
        <v>11816</v>
      </c>
      <c r="BD19" s="54">
        <f>(BE5+BF5/2)*14</f>
        <v>11886</v>
      </c>
      <c r="BE19" s="10" t="s">
        <v>9</v>
      </c>
      <c r="BF19" s="10" t="s">
        <v>9</v>
      </c>
      <c r="BG19" s="87" t="s">
        <v>85</v>
      </c>
      <c r="BH19" s="88"/>
      <c r="BI19" s="89"/>
      <c r="BJ19" s="75"/>
      <c r="BK19" s="55" t="s">
        <v>86</v>
      </c>
      <c r="BL19" s="54">
        <f>(BN5-(INT((BO5*5)/2)*0.18)-0.2)*14</f>
        <v>11418.96</v>
      </c>
      <c r="BM19" s="54">
        <f>(BN5-(INT((BO5*5)/2)*0.18)+0.2)*14</f>
        <v>11424.560000000001</v>
      </c>
      <c r="BN19" s="10" t="s">
        <v>9</v>
      </c>
      <c r="BO19" s="10" t="s">
        <v>9</v>
      </c>
      <c r="BP19" s="87" t="s">
        <v>39</v>
      </c>
      <c r="BQ19" s="88"/>
      <c r="BR19" s="89"/>
      <c r="BS19" s="75"/>
      <c r="BT19" s="55" t="s">
        <v>86</v>
      </c>
      <c r="BU19" s="54">
        <f>((BW5+INT((BX5*5)/2)*0.18)-0.2)*14</f>
        <v>11871.439999999999</v>
      </c>
      <c r="BV19" s="54">
        <f>((BW5+INT((BX5*5)/2)*0.18)+0.2)*14</f>
        <v>11877.04</v>
      </c>
      <c r="BW19" s="10" t="s">
        <v>9</v>
      </c>
      <c r="BX19" s="10" t="s">
        <v>9</v>
      </c>
      <c r="BY19" s="87" t="s">
        <v>39</v>
      </c>
      <c r="BZ19" s="88"/>
      <c r="CA19" s="89"/>
      <c r="CB19" s="75"/>
      <c r="CC19" s="55" t="s">
        <v>86</v>
      </c>
      <c r="CD19" s="54">
        <f>(CF5-CG5/2)*14</f>
        <v>11410</v>
      </c>
      <c r="CE19" s="54">
        <f>(CF5+CG5/2)*14</f>
        <v>11620</v>
      </c>
      <c r="CF19" s="10" t="s">
        <v>9</v>
      </c>
      <c r="CG19" s="10" t="s">
        <v>9</v>
      </c>
      <c r="CH19" s="87" t="s">
        <v>39</v>
      </c>
      <c r="CI19" s="88"/>
      <c r="CJ19" s="89"/>
      <c r="CK19" s="75"/>
      <c r="CL19" s="55" t="s">
        <v>86</v>
      </c>
      <c r="CM19" s="54">
        <f>(CO5-CP5/2)*14</f>
        <v>11676</v>
      </c>
      <c r="CN19" s="54">
        <f>(CO5+CP5/2)*14</f>
        <v>11886</v>
      </c>
      <c r="CO19" s="10" t="s">
        <v>9</v>
      </c>
      <c r="CP19" s="10" t="s">
        <v>9</v>
      </c>
      <c r="CQ19" s="87" t="s">
        <v>85</v>
      </c>
      <c r="CR19" s="88"/>
      <c r="CS19" s="89"/>
      <c r="CT19" s="75"/>
      <c r="CU19" s="55" t="s">
        <v>86</v>
      </c>
    </row>
  </sheetData>
  <mergeCells count="165">
    <mergeCell ref="AO18:AQ18"/>
    <mergeCell ref="AX18:AZ18"/>
    <mergeCell ref="BG18:BI18"/>
    <mergeCell ref="BP18:BR18"/>
    <mergeCell ref="BY18:CA18"/>
    <mergeCell ref="CH18:CJ18"/>
    <mergeCell ref="CQ18:CS18"/>
    <mergeCell ref="AO19:AQ19"/>
    <mergeCell ref="AX19:AZ19"/>
    <mergeCell ref="BG19:BI19"/>
    <mergeCell ref="BP19:BR19"/>
    <mergeCell ref="BY19:CA19"/>
    <mergeCell ref="CH19:CJ19"/>
    <mergeCell ref="CQ19:CS19"/>
    <mergeCell ref="AO16:AQ16"/>
    <mergeCell ref="AX16:AZ16"/>
    <mergeCell ref="BG16:BI16"/>
    <mergeCell ref="BP16:BR16"/>
    <mergeCell ref="BY16:CA16"/>
    <mergeCell ref="CH16:CJ16"/>
    <mergeCell ref="CQ16:CS16"/>
    <mergeCell ref="AO17:AQ17"/>
    <mergeCell ref="AX17:AZ17"/>
    <mergeCell ref="BG17:BI17"/>
    <mergeCell ref="BP17:BR17"/>
    <mergeCell ref="BY17:CA17"/>
    <mergeCell ref="CH17:CJ17"/>
    <mergeCell ref="CQ17:CS17"/>
    <mergeCell ref="AO14:AQ14"/>
    <mergeCell ref="AX14:AZ14"/>
    <mergeCell ref="BG14:BI14"/>
    <mergeCell ref="BP14:BR14"/>
    <mergeCell ref="BY14:CA14"/>
    <mergeCell ref="CH14:CJ14"/>
    <mergeCell ref="CQ14:CS14"/>
    <mergeCell ref="AO15:AQ15"/>
    <mergeCell ref="AX15:AZ15"/>
    <mergeCell ref="BG15:BI15"/>
    <mergeCell ref="BP15:BR15"/>
    <mergeCell ref="BY15:CA15"/>
    <mergeCell ref="CH15:CJ15"/>
    <mergeCell ref="CQ15:CS15"/>
    <mergeCell ref="AO12:AQ12"/>
    <mergeCell ref="AX12:AZ12"/>
    <mergeCell ref="BG12:BI12"/>
    <mergeCell ref="BP12:BR12"/>
    <mergeCell ref="BY12:CA12"/>
    <mergeCell ref="CH12:CJ12"/>
    <mergeCell ref="CQ12:CS12"/>
    <mergeCell ref="AO13:AQ13"/>
    <mergeCell ref="AX13:AZ13"/>
    <mergeCell ref="BG13:BI13"/>
    <mergeCell ref="BP13:BR13"/>
    <mergeCell ref="BY13:CA13"/>
    <mergeCell ref="CH13:CJ13"/>
    <mergeCell ref="CQ13:CS13"/>
    <mergeCell ref="AO10:AQ10"/>
    <mergeCell ref="AX10:AZ10"/>
    <mergeCell ref="BG10:BI10"/>
    <mergeCell ref="BP10:BR10"/>
    <mergeCell ref="BY10:CA10"/>
    <mergeCell ref="CH10:CJ10"/>
    <mergeCell ref="CQ10:CS10"/>
    <mergeCell ref="AO11:AQ11"/>
    <mergeCell ref="AX11:AZ11"/>
    <mergeCell ref="BG11:BI11"/>
    <mergeCell ref="BP11:BR11"/>
    <mergeCell ref="BY11:CA11"/>
    <mergeCell ref="CH11:CJ11"/>
    <mergeCell ref="CQ11:CS11"/>
    <mergeCell ref="AO8:AQ8"/>
    <mergeCell ref="AX8:AZ8"/>
    <mergeCell ref="BG8:BI8"/>
    <mergeCell ref="BP8:BR8"/>
    <mergeCell ref="BY8:CA8"/>
    <mergeCell ref="CH8:CJ8"/>
    <mergeCell ref="CQ8:CS8"/>
    <mergeCell ref="AO9:AQ9"/>
    <mergeCell ref="AX9:AZ9"/>
    <mergeCell ref="BG9:BI9"/>
    <mergeCell ref="BP9:BR9"/>
    <mergeCell ref="BY9:CA9"/>
    <mergeCell ref="CH9:CJ9"/>
    <mergeCell ref="CQ9:CS9"/>
    <mergeCell ref="AO6:AQ6"/>
    <mergeCell ref="AX6:AZ6"/>
    <mergeCell ref="BG6:BI6"/>
    <mergeCell ref="BP6:BR6"/>
    <mergeCell ref="BY6:CA6"/>
    <mergeCell ref="CH6:CJ6"/>
    <mergeCell ref="CQ6:CS6"/>
    <mergeCell ref="AO7:AQ7"/>
    <mergeCell ref="AX7:AZ7"/>
    <mergeCell ref="BG7:BI7"/>
    <mergeCell ref="BP7:BR7"/>
    <mergeCell ref="BY7:CA7"/>
    <mergeCell ref="CH7:CJ7"/>
    <mergeCell ref="CQ7:CS7"/>
    <mergeCell ref="AF18:AH18"/>
    <mergeCell ref="AF19:AH19"/>
    <mergeCell ref="AF15:AH15"/>
    <mergeCell ref="AF16:AH16"/>
    <mergeCell ref="AF17:AH17"/>
    <mergeCell ref="AF12:AH12"/>
    <mergeCell ref="AF13:AH13"/>
    <mergeCell ref="AF14:AH14"/>
    <mergeCell ref="AF9:AH9"/>
    <mergeCell ref="AF10:AH10"/>
    <mergeCell ref="AF11:AH11"/>
    <mergeCell ref="AJ4:AJ5"/>
    <mergeCell ref="AB6:AC6"/>
    <mergeCell ref="AF6:AH6"/>
    <mergeCell ref="AF7:AH7"/>
    <mergeCell ref="AF8:AH8"/>
    <mergeCell ref="B1:K1"/>
    <mergeCell ref="B2:J2"/>
    <mergeCell ref="B3:J3"/>
    <mergeCell ref="I4:I5"/>
    <mergeCell ref="E6:G6"/>
    <mergeCell ref="R4:R5"/>
    <mergeCell ref="AA4:AA5"/>
    <mergeCell ref="A6:B6"/>
    <mergeCell ref="J6:K6"/>
    <mergeCell ref="S6:T6"/>
    <mergeCell ref="N6:P6"/>
    <mergeCell ref="W6:Y6"/>
    <mergeCell ref="E7:G7"/>
    <mergeCell ref="N7:P7"/>
    <mergeCell ref="W7:Y7"/>
    <mergeCell ref="E8:G8"/>
    <mergeCell ref="N8:P8"/>
    <mergeCell ref="W8:Y8"/>
    <mergeCell ref="E9:G9"/>
    <mergeCell ref="N9:P9"/>
    <mergeCell ref="W9:Y9"/>
    <mergeCell ref="E10:G10"/>
    <mergeCell ref="N10:P10"/>
    <mergeCell ref="W10:Y10"/>
    <mergeCell ref="E11:G11"/>
    <mergeCell ref="N11:P11"/>
    <mergeCell ref="W11:Y11"/>
    <mergeCell ref="E12:G12"/>
    <mergeCell ref="N12:P12"/>
    <mergeCell ref="W12:Y12"/>
    <mergeCell ref="E13:G13"/>
    <mergeCell ref="N13:P13"/>
    <mergeCell ref="W13:Y13"/>
    <mergeCell ref="E14:G14"/>
    <mergeCell ref="N14:P14"/>
    <mergeCell ref="W14:Y14"/>
    <mergeCell ref="E18:G18"/>
    <mergeCell ref="N18:P18"/>
    <mergeCell ref="W18:Y18"/>
    <mergeCell ref="E19:G19"/>
    <mergeCell ref="N19:P19"/>
    <mergeCell ref="W19:Y19"/>
    <mergeCell ref="E15:G15"/>
    <mergeCell ref="N15:P15"/>
    <mergeCell ref="W15:Y15"/>
    <mergeCell ref="E16:G16"/>
    <mergeCell ref="N16:P16"/>
    <mergeCell ref="W16:Y16"/>
    <mergeCell ref="E17:G17"/>
    <mergeCell ref="N17:P17"/>
    <mergeCell ref="W17:Y17"/>
  </mergeCells>
  <phoneticPr fontId="1" type="noConversion"/>
  <conditionalFormatting sqref="CB11:CB19">
    <cfRule type="containsBlanks" priority="79" stopIfTrue="1">
      <formula>LEN(TRIM(CB11))=0</formula>
    </cfRule>
    <cfRule type="cellIs" dxfId="1183" priority="80" stopIfTrue="1" operator="greaterThan">
      <formula>-30</formula>
    </cfRule>
    <cfRule type="cellIs" dxfId="1182" priority="81" stopIfTrue="1" operator="between">
      <formula>-33</formula>
      <formula>-30</formula>
    </cfRule>
  </conditionalFormatting>
  <conditionalFormatting sqref="Z10">
    <cfRule type="containsBlanks" priority="76" stopIfTrue="1">
      <formula>LEN(TRIM(Z10))=0</formula>
    </cfRule>
    <cfRule type="cellIs" dxfId="1181" priority="77" stopIfTrue="1" operator="greaterThan">
      <formula>-30</formula>
    </cfRule>
    <cfRule type="cellIs" dxfId="1180" priority="78" stopIfTrue="1" operator="between">
      <formula>-33</formula>
      <formula>-30</formula>
    </cfRule>
  </conditionalFormatting>
  <conditionalFormatting sqref="Z11">
    <cfRule type="containsBlanks" priority="73" stopIfTrue="1">
      <formula>LEN(TRIM(Z11))=0</formula>
    </cfRule>
    <cfRule type="cellIs" dxfId="1179" priority="74" stopIfTrue="1" operator="greaterThan">
      <formula>-30</formula>
    </cfRule>
    <cfRule type="cellIs" dxfId="1178" priority="75" stopIfTrue="1" operator="between">
      <formula>-33</formula>
      <formula>-30</formula>
    </cfRule>
  </conditionalFormatting>
  <conditionalFormatting sqref="AI10">
    <cfRule type="containsBlanks" priority="70" stopIfTrue="1">
      <formula>LEN(TRIM(AI10))=0</formula>
    </cfRule>
    <cfRule type="cellIs" dxfId="1177" priority="71" stopIfTrue="1" operator="greaterThan">
      <formula>-30</formula>
    </cfRule>
    <cfRule type="cellIs" dxfId="1176" priority="72" stopIfTrue="1" operator="between">
      <formula>-33</formula>
      <formula>-30</formula>
    </cfRule>
  </conditionalFormatting>
  <conditionalFormatting sqref="AI11:AI19">
    <cfRule type="containsBlanks" priority="67" stopIfTrue="1">
      <formula>LEN(TRIM(AI11))=0</formula>
    </cfRule>
    <cfRule type="cellIs" dxfId="1175" priority="68" stopIfTrue="1" operator="greaterThan">
      <formula>-30</formula>
    </cfRule>
    <cfRule type="cellIs" dxfId="1174" priority="69" stopIfTrue="1" operator="between">
      <formula>-33</formula>
      <formula>-30</formula>
    </cfRule>
  </conditionalFormatting>
  <conditionalFormatting sqref="AR10">
    <cfRule type="containsBlanks" priority="64" stopIfTrue="1">
      <formula>LEN(TRIM(AR10))=0</formula>
    </cfRule>
    <cfRule type="cellIs" dxfId="1173" priority="65" stopIfTrue="1" operator="greaterThan">
      <formula>-30</formula>
    </cfRule>
    <cfRule type="cellIs" dxfId="1172" priority="66" stopIfTrue="1" operator="between">
      <formula>-33</formula>
      <formula>-30</formula>
    </cfRule>
  </conditionalFormatting>
  <conditionalFormatting sqref="AR11:AR19">
    <cfRule type="containsBlanks" priority="61" stopIfTrue="1">
      <formula>LEN(TRIM(AR11))=0</formula>
    </cfRule>
    <cfRule type="cellIs" dxfId="1171" priority="62" stopIfTrue="1" operator="greaterThan">
      <formula>-30</formula>
    </cfRule>
    <cfRule type="cellIs" dxfId="1170" priority="63" stopIfTrue="1" operator="between">
      <formula>-33</formula>
      <formula>-30</formula>
    </cfRule>
  </conditionalFormatting>
  <conditionalFormatting sqref="BA10">
    <cfRule type="containsBlanks" priority="58" stopIfTrue="1">
      <formula>LEN(TRIM(BA10))=0</formula>
    </cfRule>
    <cfRule type="cellIs" dxfId="1169" priority="59" stopIfTrue="1" operator="greaterThan">
      <formula>-30</formula>
    </cfRule>
    <cfRule type="cellIs" dxfId="1168" priority="60" stopIfTrue="1" operator="between">
      <formula>-33</formula>
      <formula>-30</formula>
    </cfRule>
  </conditionalFormatting>
  <conditionalFormatting sqref="BA11:BA19">
    <cfRule type="containsBlanks" priority="55" stopIfTrue="1">
      <formula>LEN(TRIM(BA11))=0</formula>
    </cfRule>
    <cfRule type="cellIs" dxfId="1167" priority="56" stopIfTrue="1" operator="greaterThan">
      <formula>-30</formula>
    </cfRule>
    <cfRule type="cellIs" dxfId="1166" priority="57" stopIfTrue="1" operator="between">
      <formula>-33</formula>
      <formula>-30</formula>
    </cfRule>
  </conditionalFormatting>
  <conditionalFormatting sqref="BJ10">
    <cfRule type="containsBlanks" priority="52" stopIfTrue="1">
      <formula>LEN(TRIM(BJ10))=0</formula>
    </cfRule>
    <cfRule type="cellIs" dxfId="1165" priority="53" stopIfTrue="1" operator="greaterThan">
      <formula>-30</formula>
    </cfRule>
    <cfRule type="cellIs" dxfId="1164" priority="54" stopIfTrue="1" operator="between">
      <formula>-33</formula>
      <formula>-30</formula>
    </cfRule>
  </conditionalFormatting>
  <conditionalFormatting sqref="BJ11:BJ19">
    <cfRule type="containsBlanks" priority="49" stopIfTrue="1">
      <formula>LEN(TRIM(BJ11))=0</formula>
    </cfRule>
    <cfRule type="cellIs" dxfId="1163" priority="50" stopIfTrue="1" operator="greaterThan">
      <formula>-30</formula>
    </cfRule>
    <cfRule type="cellIs" dxfId="1162" priority="51" stopIfTrue="1" operator="between">
      <formula>-33</formula>
      <formula>-30</formula>
    </cfRule>
  </conditionalFormatting>
  <conditionalFormatting sqref="BS10">
    <cfRule type="containsBlanks" priority="46" stopIfTrue="1">
      <formula>LEN(TRIM(BS10))=0</formula>
    </cfRule>
    <cfRule type="cellIs" dxfId="1161" priority="47" stopIfTrue="1" operator="greaterThan">
      <formula>-30</formula>
    </cfRule>
    <cfRule type="cellIs" dxfId="1160" priority="48" stopIfTrue="1" operator="between">
      <formula>-33</formula>
      <formula>-30</formula>
    </cfRule>
  </conditionalFormatting>
  <conditionalFormatting sqref="BS11:BS19">
    <cfRule type="containsBlanks" priority="43" stopIfTrue="1">
      <formula>LEN(TRIM(BS11))=0</formula>
    </cfRule>
    <cfRule type="cellIs" dxfId="1159" priority="44" stopIfTrue="1" operator="greaterThan">
      <formula>-30</formula>
    </cfRule>
    <cfRule type="cellIs" dxfId="1158" priority="45" stopIfTrue="1" operator="between">
      <formula>-33</formula>
      <formula>-30</formula>
    </cfRule>
  </conditionalFormatting>
  <conditionalFormatting sqref="CB10">
    <cfRule type="containsBlanks" priority="40" stopIfTrue="1">
      <formula>LEN(TRIM(CB10))=0</formula>
    </cfRule>
    <cfRule type="cellIs" dxfId="1157" priority="41" stopIfTrue="1" operator="greaterThan">
      <formula>-30</formula>
    </cfRule>
    <cfRule type="cellIs" dxfId="1156" priority="42" stopIfTrue="1" operator="between">
      <formula>-33</formula>
      <formula>-30</formula>
    </cfRule>
  </conditionalFormatting>
  <conditionalFormatting sqref="CB11:CB19">
    <cfRule type="containsBlanks" priority="37" stopIfTrue="1">
      <formula>LEN(TRIM(CB11))=0</formula>
    </cfRule>
    <cfRule type="cellIs" dxfId="1155" priority="38" stopIfTrue="1" operator="greaterThan">
      <formula>-30</formula>
    </cfRule>
    <cfRule type="cellIs" dxfId="1154" priority="39" stopIfTrue="1" operator="between">
      <formula>-33</formula>
      <formula>-30</formula>
    </cfRule>
  </conditionalFormatting>
  <conditionalFormatting sqref="CK10">
    <cfRule type="containsBlanks" priority="34" stopIfTrue="1">
      <formula>LEN(TRIM(CK10))=0</formula>
    </cfRule>
    <cfRule type="cellIs" dxfId="1153" priority="35" stopIfTrue="1" operator="greaterThan">
      <formula>-30</formula>
    </cfRule>
    <cfRule type="cellIs" dxfId="1152" priority="36" stopIfTrue="1" operator="between">
      <formula>-33</formula>
      <formula>-30</formula>
    </cfRule>
  </conditionalFormatting>
  <conditionalFormatting sqref="CK11:CK19">
    <cfRule type="containsBlanks" priority="31" stopIfTrue="1">
      <formula>LEN(TRIM(CK11))=0</formula>
    </cfRule>
    <cfRule type="cellIs" dxfId="1151" priority="32" stopIfTrue="1" operator="greaterThan">
      <formula>-30</formula>
    </cfRule>
    <cfRule type="cellIs" dxfId="1150" priority="33" stopIfTrue="1" operator="between">
      <formula>-33</formula>
      <formula>-30</formula>
    </cfRule>
  </conditionalFormatting>
  <conditionalFormatting sqref="CT10">
    <cfRule type="containsBlanks" priority="28" stopIfTrue="1">
      <formula>LEN(TRIM(CT10))=0</formula>
    </cfRule>
    <cfRule type="cellIs" dxfId="1149" priority="29" stopIfTrue="1" operator="greaterThan">
      <formula>-30</formula>
    </cfRule>
    <cfRule type="cellIs" dxfId="1148" priority="30" stopIfTrue="1" operator="between">
      <formula>-33</formula>
      <formula>-30</formula>
    </cfRule>
  </conditionalFormatting>
  <conditionalFormatting sqref="CT11:CT19">
    <cfRule type="containsBlanks" priority="25" stopIfTrue="1">
      <formula>LEN(TRIM(CT11))=0</formula>
    </cfRule>
    <cfRule type="cellIs" dxfId="1147" priority="26" stopIfTrue="1" operator="greaterThan">
      <formula>-30</formula>
    </cfRule>
    <cfRule type="cellIs" dxfId="1146" priority="27" stopIfTrue="1" operator="between">
      <formula>-33</formula>
      <formula>-30</formula>
    </cfRule>
  </conditionalFormatting>
  <conditionalFormatting sqref="H12">
    <cfRule type="containsBlanks" priority="22" stopIfTrue="1">
      <formula>LEN(TRIM(H12))=0</formula>
    </cfRule>
    <cfRule type="cellIs" dxfId="1145" priority="23" stopIfTrue="1" operator="greaterThan">
      <formula>-30</formula>
    </cfRule>
    <cfRule type="cellIs" dxfId="1144" priority="24" stopIfTrue="1" operator="between">
      <formula>-33</formula>
      <formula>-30</formula>
    </cfRule>
  </conditionalFormatting>
  <conditionalFormatting sqref="H13">
    <cfRule type="containsBlanks" priority="19" stopIfTrue="1">
      <formula>LEN(TRIM(H13))=0</formula>
    </cfRule>
    <cfRule type="cellIs" dxfId="1143" priority="20" stopIfTrue="1" operator="greaterThan">
      <formula>-30</formula>
    </cfRule>
    <cfRule type="cellIs" dxfId="1142" priority="21" stopIfTrue="1" operator="between">
      <formula>-33</formula>
      <formula>-30</formula>
    </cfRule>
  </conditionalFormatting>
  <conditionalFormatting sqref="H14">
    <cfRule type="containsBlanks" priority="16" stopIfTrue="1">
      <formula>LEN(TRIM(H14))=0</formula>
    </cfRule>
    <cfRule type="cellIs" dxfId="1141" priority="17" stopIfTrue="1" operator="greaterThan">
      <formula>-30</formula>
    </cfRule>
    <cfRule type="cellIs" dxfId="1140" priority="18" stopIfTrue="1" operator="between">
      <formula>-33</formula>
      <formula>-30</formula>
    </cfRule>
  </conditionalFormatting>
  <conditionalFormatting sqref="H15">
    <cfRule type="containsBlanks" priority="13" stopIfTrue="1">
      <formula>LEN(TRIM(H15))=0</formula>
    </cfRule>
    <cfRule type="cellIs" dxfId="1139" priority="14" stopIfTrue="1" operator="greaterThan">
      <formula>-30</formula>
    </cfRule>
    <cfRule type="cellIs" dxfId="1138" priority="15" stopIfTrue="1" operator="between">
      <formula>-33</formula>
      <formula>-30</formula>
    </cfRule>
  </conditionalFormatting>
  <conditionalFormatting sqref="H16">
    <cfRule type="containsBlanks" priority="10" stopIfTrue="1">
      <formula>LEN(TRIM(H16))=0</formula>
    </cfRule>
    <cfRule type="cellIs" dxfId="1137" priority="11" stopIfTrue="1" operator="greaterThan">
      <formula>-30</formula>
    </cfRule>
    <cfRule type="cellIs" dxfId="1136" priority="12" stopIfTrue="1" operator="between">
      <formula>-33</formula>
      <formula>-30</formula>
    </cfRule>
  </conditionalFormatting>
  <conditionalFormatting sqref="H17">
    <cfRule type="containsBlanks" priority="7" stopIfTrue="1">
      <formula>LEN(TRIM(H17))=0</formula>
    </cfRule>
    <cfRule type="cellIs" dxfId="1135" priority="8" stopIfTrue="1" operator="greaterThan">
      <formula>-30</formula>
    </cfRule>
    <cfRule type="cellIs" dxfId="1134" priority="9" stopIfTrue="1" operator="between">
      <formula>-33</formula>
      <formula>-30</formula>
    </cfRule>
  </conditionalFormatting>
  <conditionalFormatting sqref="H18">
    <cfRule type="containsBlanks" priority="4" stopIfTrue="1">
      <formula>LEN(TRIM(H18))=0</formula>
    </cfRule>
    <cfRule type="cellIs" dxfId="1133" priority="5" stopIfTrue="1" operator="greaterThan">
      <formula>-30</formula>
    </cfRule>
    <cfRule type="cellIs" dxfId="1132" priority="6" stopIfTrue="1" operator="between">
      <formula>-33</formula>
      <formula>-30</formula>
    </cfRule>
  </conditionalFormatting>
  <conditionalFormatting sqref="H19">
    <cfRule type="containsBlanks" priority="1" stopIfTrue="1">
      <formula>LEN(TRIM(H19))=0</formula>
    </cfRule>
    <cfRule type="cellIs" dxfId="1131" priority="2" stopIfTrue="1" operator="greaterThan">
      <formula>-30</formula>
    </cfRule>
    <cfRule type="cellIs" dxfId="1130" priority="3" stopIfTrue="1" operator="between">
      <formula>-33</formula>
      <formula>-30</formula>
    </cfRule>
  </conditionalFormatting>
  <conditionalFormatting sqref="H7">
    <cfRule type="containsBlanks" priority="292" stopIfTrue="1">
      <formula>LEN(TRIM(H7))=0</formula>
    </cfRule>
    <cfRule type="cellIs" dxfId="1129" priority="293" stopIfTrue="1" operator="greaterThan">
      <formula>-30</formula>
    </cfRule>
    <cfRule type="cellIs" dxfId="1128" priority="294" stopIfTrue="1" operator="between">
      <formula>-33</formula>
      <formula>-30</formula>
    </cfRule>
  </conditionalFormatting>
  <conditionalFormatting sqref="H8">
    <cfRule type="containsBlanks" priority="289" stopIfTrue="1">
      <formula>LEN(TRIM(H8))=0</formula>
    </cfRule>
    <cfRule type="cellIs" dxfId="1127" priority="290" stopIfTrue="1" operator="greaterThan">
      <formula>-30</formula>
    </cfRule>
    <cfRule type="cellIs" dxfId="1126" priority="291" stopIfTrue="1" operator="between">
      <formula>-33</formula>
      <formula>-30</formula>
    </cfRule>
  </conditionalFormatting>
  <conditionalFormatting sqref="H9">
    <cfRule type="containsBlanks" priority="286" stopIfTrue="1">
      <formula>LEN(TRIM(H9))=0</formula>
    </cfRule>
    <cfRule type="cellIs" dxfId="1125" priority="287" stopIfTrue="1" operator="greaterThan">
      <formula>-30</formula>
    </cfRule>
    <cfRule type="cellIs" dxfId="1124" priority="288" stopIfTrue="1" operator="between">
      <formula>-33</formula>
      <formula>-30</formula>
    </cfRule>
  </conditionalFormatting>
  <conditionalFormatting sqref="Q7">
    <cfRule type="containsBlanks" priority="283" stopIfTrue="1">
      <formula>LEN(TRIM(Q7))=0</formula>
    </cfRule>
    <cfRule type="cellIs" dxfId="1123" priority="284" stopIfTrue="1" operator="greaterThan">
      <formula>-30</formula>
    </cfRule>
    <cfRule type="cellIs" dxfId="1122" priority="285" stopIfTrue="1" operator="between">
      <formula>-33</formula>
      <formula>-30</formula>
    </cfRule>
  </conditionalFormatting>
  <conditionalFormatting sqref="Q8">
    <cfRule type="containsBlanks" priority="280" stopIfTrue="1">
      <formula>LEN(TRIM(Q8))=0</formula>
    </cfRule>
    <cfRule type="cellIs" dxfId="1121" priority="281" stopIfTrue="1" operator="greaterThan">
      <formula>-30</formula>
    </cfRule>
    <cfRule type="cellIs" dxfId="1120" priority="282" stopIfTrue="1" operator="between">
      <formula>-33</formula>
      <formula>-30</formula>
    </cfRule>
  </conditionalFormatting>
  <conditionalFormatting sqref="Q9">
    <cfRule type="containsBlanks" priority="277" stopIfTrue="1">
      <formula>LEN(TRIM(Q9))=0</formula>
    </cfRule>
    <cfRule type="cellIs" dxfId="1119" priority="278" stopIfTrue="1" operator="greaterThan">
      <formula>-30</formula>
    </cfRule>
    <cfRule type="cellIs" dxfId="1118" priority="279" stopIfTrue="1" operator="between">
      <formula>-33</formula>
      <formula>-30</formula>
    </cfRule>
  </conditionalFormatting>
  <conditionalFormatting sqref="Z7">
    <cfRule type="containsBlanks" priority="274" stopIfTrue="1">
      <formula>LEN(TRIM(Z7))=0</formula>
    </cfRule>
    <cfRule type="cellIs" dxfId="1117" priority="275" stopIfTrue="1" operator="greaterThan">
      <formula>-30</formula>
    </cfRule>
    <cfRule type="cellIs" dxfId="1116" priority="276" stopIfTrue="1" operator="between">
      <formula>-33</formula>
      <formula>-30</formula>
    </cfRule>
  </conditionalFormatting>
  <conditionalFormatting sqref="Z8">
    <cfRule type="containsBlanks" priority="271" stopIfTrue="1">
      <formula>LEN(TRIM(Z8))=0</formula>
    </cfRule>
    <cfRule type="cellIs" dxfId="1115" priority="272" stopIfTrue="1" operator="greaterThan">
      <formula>-30</formula>
    </cfRule>
    <cfRule type="cellIs" dxfId="1114" priority="273" stopIfTrue="1" operator="between">
      <formula>-33</formula>
      <formula>-30</formula>
    </cfRule>
  </conditionalFormatting>
  <conditionalFormatting sqref="Z9">
    <cfRule type="containsBlanks" priority="268" stopIfTrue="1">
      <formula>LEN(TRIM(Z9))=0</formula>
    </cfRule>
    <cfRule type="cellIs" dxfId="1113" priority="269" stopIfTrue="1" operator="greaterThan">
      <formula>-30</formula>
    </cfRule>
    <cfRule type="cellIs" dxfId="1112" priority="270" stopIfTrue="1" operator="between">
      <formula>-33</formula>
      <formula>-30</formula>
    </cfRule>
  </conditionalFormatting>
  <conditionalFormatting sqref="AI7">
    <cfRule type="containsBlanks" priority="265" stopIfTrue="1">
      <formula>LEN(TRIM(AI7))=0</formula>
    </cfRule>
    <cfRule type="cellIs" dxfId="1111" priority="266" stopIfTrue="1" operator="greaterThan">
      <formula>-30</formula>
    </cfRule>
    <cfRule type="cellIs" dxfId="1110" priority="267" stopIfTrue="1" operator="between">
      <formula>-33</formula>
      <formula>-30</formula>
    </cfRule>
  </conditionalFormatting>
  <conditionalFormatting sqref="AI8">
    <cfRule type="containsBlanks" priority="262" stopIfTrue="1">
      <formula>LEN(TRIM(AI8))=0</formula>
    </cfRule>
    <cfRule type="cellIs" dxfId="1109" priority="263" stopIfTrue="1" operator="greaterThan">
      <formula>-30</formula>
    </cfRule>
    <cfRule type="cellIs" dxfId="1108" priority="264" stopIfTrue="1" operator="between">
      <formula>-33</formula>
      <formula>-30</formula>
    </cfRule>
  </conditionalFormatting>
  <conditionalFormatting sqref="AI9">
    <cfRule type="containsBlanks" priority="259" stopIfTrue="1">
      <formula>LEN(TRIM(AI9))=0</formula>
    </cfRule>
    <cfRule type="cellIs" dxfId="1107" priority="260" stopIfTrue="1" operator="greaterThan">
      <formula>-30</formula>
    </cfRule>
    <cfRule type="cellIs" dxfId="1106" priority="261" stopIfTrue="1" operator="between">
      <formula>-33</formula>
      <formula>-30</formula>
    </cfRule>
  </conditionalFormatting>
  <conditionalFormatting sqref="AR7">
    <cfRule type="containsBlanks" priority="256" stopIfTrue="1">
      <formula>LEN(TRIM(AR7))=0</formula>
    </cfRule>
    <cfRule type="cellIs" dxfId="1105" priority="257" stopIfTrue="1" operator="greaterThan">
      <formula>-30</formula>
    </cfRule>
    <cfRule type="cellIs" dxfId="1104" priority="258" stopIfTrue="1" operator="between">
      <formula>-33</formula>
      <formula>-30</formula>
    </cfRule>
  </conditionalFormatting>
  <conditionalFormatting sqref="AR8">
    <cfRule type="containsBlanks" priority="253" stopIfTrue="1">
      <formula>LEN(TRIM(AR8))=0</formula>
    </cfRule>
    <cfRule type="cellIs" dxfId="1103" priority="254" stopIfTrue="1" operator="greaterThan">
      <formula>-30</formula>
    </cfRule>
    <cfRule type="cellIs" dxfId="1102" priority="255" stopIfTrue="1" operator="between">
      <formula>-33</formula>
      <formula>-30</formula>
    </cfRule>
  </conditionalFormatting>
  <conditionalFormatting sqref="AR9">
    <cfRule type="containsBlanks" priority="250" stopIfTrue="1">
      <formula>LEN(TRIM(AR9))=0</formula>
    </cfRule>
    <cfRule type="cellIs" dxfId="1101" priority="251" stopIfTrue="1" operator="greaterThan">
      <formula>-30</formula>
    </cfRule>
    <cfRule type="cellIs" dxfId="1100" priority="252" stopIfTrue="1" operator="between">
      <formula>-33</formula>
      <formula>-30</formula>
    </cfRule>
  </conditionalFormatting>
  <conditionalFormatting sqref="BA7">
    <cfRule type="containsBlanks" priority="247" stopIfTrue="1">
      <formula>LEN(TRIM(BA7))=0</formula>
    </cfRule>
    <cfRule type="cellIs" dxfId="1099" priority="248" stopIfTrue="1" operator="greaterThan">
      <formula>-30</formula>
    </cfRule>
    <cfRule type="cellIs" dxfId="1098" priority="249" stopIfTrue="1" operator="between">
      <formula>-33</formula>
      <formula>-30</formula>
    </cfRule>
  </conditionalFormatting>
  <conditionalFormatting sqref="BA8">
    <cfRule type="containsBlanks" priority="244" stopIfTrue="1">
      <formula>LEN(TRIM(BA8))=0</formula>
    </cfRule>
    <cfRule type="cellIs" dxfId="1097" priority="245" stopIfTrue="1" operator="greaterThan">
      <formula>-30</formula>
    </cfRule>
    <cfRule type="cellIs" dxfId="1096" priority="246" stopIfTrue="1" operator="between">
      <formula>-33</formula>
      <formula>-30</formula>
    </cfRule>
  </conditionalFormatting>
  <conditionalFormatting sqref="BA9">
    <cfRule type="containsBlanks" priority="241" stopIfTrue="1">
      <formula>LEN(TRIM(BA9))=0</formula>
    </cfRule>
    <cfRule type="cellIs" dxfId="1095" priority="242" stopIfTrue="1" operator="greaterThan">
      <formula>-30</formula>
    </cfRule>
    <cfRule type="cellIs" dxfId="1094" priority="243" stopIfTrue="1" operator="between">
      <formula>-33</formula>
      <formula>-30</formula>
    </cfRule>
  </conditionalFormatting>
  <conditionalFormatting sqref="BJ7">
    <cfRule type="containsBlanks" priority="238" stopIfTrue="1">
      <formula>LEN(TRIM(BJ7))=0</formula>
    </cfRule>
    <cfRule type="cellIs" dxfId="1093" priority="239" stopIfTrue="1" operator="greaterThan">
      <formula>-30</formula>
    </cfRule>
    <cfRule type="cellIs" dxfId="1092" priority="240" stopIfTrue="1" operator="between">
      <formula>-33</formula>
      <formula>-30</formula>
    </cfRule>
  </conditionalFormatting>
  <conditionalFormatting sqref="BJ8">
    <cfRule type="containsBlanks" priority="235" stopIfTrue="1">
      <formula>LEN(TRIM(BJ8))=0</formula>
    </cfRule>
    <cfRule type="cellIs" dxfId="1091" priority="236" stopIfTrue="1" operator="greaterThan">
      <formula>-30</formula>
    </cfRule>
    <cfRule type="cellIs" dxfId="1090" priority="237" stopIfTrue="1" operator="between">
      <formula>-33</formula>
      <formula>-30</formula>
    </cfRule>
  </conditionalFormatting>
  <conditionalFormatting sqref="BJ9">
    <cfRule type="containsBlanks" priority="232" stopIfTrue="1">
      <formula>LEN(TRIM(BJ9))=0</formula>
    </cfRule>
    <cfRule type="cellIs" dxfId="1089" priority="233" stopIfTrue="1" operator="greaterThan">
      <formula>-30</formula>
    </cfRule>
    <cfRule type="cellIs" dxfId="1088" priority="234" stopIfTrue="1" operator="between">
      <formula>-33</formula>
      <formula>-30</formula>
    </cfRule>
  </conditionalFormatting>
  <conditionalFormatting sqref="BS7">
    <cfRule type="containsBlanks" priority="229" stopIfTrue="1">
      <formula>LEN(TRIM(BS7))=0</formula>
    </cfRule>
    <cfRule type="cellIs" dxfId="1087" priority="230" stopIfTrue="1" operator="greaterThan">
      <formula>-30</formula>
    </cfRule>
    <cfRule type="cellIs" dxfId="1086" priority="231" stopIfTrue="1" operator="between">
      <formula>-33</formula>
      <formula>-30</formula>
    </cfRule>
  </conditionalFormatting>
  <conditionalFormatting sqref="BS8">
    <cfRule type="containsBlanks" priority="226" stopIfTrue="1">
      <formula>LEN(TRIM(BS8))=0</formula>
    </cfRule>
    <cfRule type="cellIs" dxfId="1085" priority="227" stopIfTrue="1" operator="greaterThan">
      <formula>-30</formula>
    </cfRule>
    <cfRule type="cellIs" dxfId="1084" priority="228" stopIfTrue="1" operator="between">
      <formula>-33</formula>
      <formula>-30</formula>
    </cfRule>
  </conditionalFormatting>
  <conditionalFormatting sqref="BS9">
    <cfRule type="containsBlanks" priority="223" stopIfTrue="1">
      <formula>LEN(TRIM(BS9))=0</formula>
    </cfRule>
    <cfRule type="cellIs" dxfId="1083" priority="224" stopIfTrue="1" operator="greaterThan">
      <formula>-30</formula>
    </cfRule>
    <cfRule type="cellIs" dxfId="1082" priority="225" stopIfTrue="1" operator="between">
      <formula>-33</formula>
      <formula>-30</formula>
    </cfRule>
  </conditionalFormatting>
  <conditionalFormatting sqref="CB7">
    <cfRule type="containsBlanks" priority="220" stopIfTrue="1">
      <formula>LEN(TRIM(CB7))=0</formula>
    </cfRule>
    <cfRule type="cellIs" dxfId="1081" priority="221" stopIfTrue="1" operator="greaterThan">
      <formula>-30</formula>
    </cfRule>
    <cfRule type="cellIs" dxfId="1080" priority="222" stopIfTrue="1" operator="between">
      <formula>-33</formula>
      <formula>-30</formula>
    </cfRule>
  </conditionalFormatting>
  <conditionalFormatting sqref="CB8">
    <cfRule type="containsBlanks" priority="217" stopIfTrue="1">
      <formula>LEN(TRIM(CB8))=0</formula>
    </cfRule>
    <cfRule type="cellIs" dxfId="1079" priority="218" stopIfTrue="1" operator="greaterThan">
      <formula>-30</formula>
    </cfRule>
    <cfRule type="cellIs" dxfId="1078" priority="219" stopIfTrue="1" operator="between">
      <formula>-33</formula>
      <formula>-30</formula>
    </cfRule>
  </conditionalFormatting>
  <conditionalFormatting sqref="CB9">
    <cfRule type="containsBlanks" priority="214" stopIfTrue="1">
      <formula>LEN(TRIM(CB9))=0</formula>
    </cfRule>
    <cfRule type="cellIs" dxfId="1077" priority="215" stopIfTrue="1" operator="greaterThan">
      <formula>-30</formula>
    </cfRule>
    <cfRule type="cellIs" dxfId="1076" priority="216" stopIfTrue="1" operator="between">
      <formula>-33</formula>
      <formula>-30</formula>
    </cfRule>
  </conditionalFormatting>
  <conditionalFormatting sqref="Z7">
    <cfRule type="containsBlanks" priority="211" stopIfTrue="1">
      <formula>LEN(TRIM(Z7))=0</formula>
    </cfRule>
    <cfRule type="cellIs" dxfId="1075" priority="212" stopIfTrue="1" operator="greaterThan">
      <formula>-30</formula>
    </cfRule>
    <cfRule type="cellIs" dxfId="1074" priority="213" stopIfTrue="1" operator="between">
      <formula>-33</formula>
      <formula>-30</formula>
    </cfRule>
  </conditionalFormatting>
  <conditionalFormatting sqref="Z8">
    <cfRule type="containsBlanks" priority="208" stopIfTrue="1">
      <formula>LEN(TRIM(Z8))=0</formula>
    </cfRule>
    <cfRule type="cellIs" dxfId="1073" priority="209" stopIfTrue="1" operator="greaterThan">
      <formula>-30</formula>
    </cfRule>
    <cfRule type="cellIs" dxfId="1072" priority="210" stopIfTrue="1" operator="between">
      <formula>-33</formula>
      <formula>-30</formula>
    </cfRule>
  </conditionalFormatting>
  <conditionalFormatting sqref="Z9">
    <cfRule type="containsBlanks" priority="205" stopIfTrue="1">
      <formula>LEN(TRIM(Z9))=0</formula>
    </cfRule>
    <cfRule type="cellIs" dxfId="1071" priority="206" stopIfTrue="1" operator="greaterThan">
      <formula>-30</formula>
    </cfRule>
    <cfRule type="cellIs" dxfId="1070" priority="207" stopIfTrue="1" operator="between">
      <formula>-33</formula>
      <formula>-30</formula>
    </cfRule>
  </conditionalFormatting>
  <conditionalFormatting sqref="AI7">
    <cfRule type="containsBlanks" priority="202" stopIfTrue="1">
      <formula>LEN(TRIM(AI7))=0</formula>
    </cfRule>
    <cfRule type="cellIs" dxfId="1069" priority="203" stopIfTrue="1" operator="greaterThan">
      <formula>-30</formula>
    </cfRule>
    <cfRule type="cellIs" dxfId="1068" priority="204" stopIfTrue="1" operator="between">
      <formula>-33</formula>
      <formula>-30</formula>
    </cfRule>
  </conditionalFormatting>
  <conditionalFormatting sqref="AI8">
    <cfRule type="containsBlanks" priority="199" stopIfTrue="1">
      <formula>LEN(TRIM(AI8))=0</formula>
    </cfRule>
    <cfRule type="cellIs" dxfId="1067" priority="200" stopIfTrue="1" operator="greaterThan">
      <formula>-30</formula>
    </cfRule>
    <cfRule type="cellIs" dxfId="1066" priority="201" stopIfTrue="1" operator="between">
      <formula>-33</formula>
      <formula>-30</formula>
    </cfRule>
  </conditionalFormatting>
  <conditionalFormatting sqref="AI9">
    <cfRule type="containsBlanks" priority="196" stopIfTrue="1">
      <formula>LEN(TRIM(AI9))=0</formula>
    </cfRule>
    <cfRule type="cellIs" dxfId="1065" priority="197" stopIfTrue="1" operator="greaterThan">
      <formula>-30</formula>
    </cfRule>
    <cfRule type="cellIs" dxfId="1064" priority="198" stopIfTrue="1" operator="between">
      <formula>-33</formula>
      <formula>-30</formula>
    </cfRule>
  </conditionalFormatting>
  <conditionalFormatting sqref="AR7">
    <cfRule type="containsBlanks" priority="193" stopIfTrue="1">
      <formula>LEN(TRIM(AR7))=0</formula>
    </cfRule>
    <cfRule type="cellIs" dxfId="1063" priority="194" stopIfTrue="1" operator="greaterThan">
      <formula>-30</formula>
    </cfRule>
    <cfRule type="cellIs" dxfId="1062" priority="195" stopIfTrue="1" operator="between">
      <formula>-33</formula>
      <formula>-30</formula>
    </cfRule>
  </conditionalFormatting>
  <conditionalFormatting sqref="AR8">
    <cfRule type="containsBlanks" priority="190" stopIfTrue="1">
      <formula>LEN(TRIM(AR8))=0</formula>
    </cfRule>
    <cfRule type="cellIs" dxfId="1061" priority="191" stopIfTrue="1" operator="greaterThan">
      <formula>-30</formula>
    </cfRule>
    <cfRule type="cellIs" dxfId="1060" priority="192" stopIfTrue="1" operator="between">
      <formula>-33</formula>
      <formula>-30</formula>
    </cfRule>
  </conditionalFormatting>
  <conditionalFormatting sqref="AR9">
    <cfRule type="containsBlanks" priority="187" stopIfTrue="1">
      <formula>LEN(TRIM(AR9))=0</formula>
    </cfRule>
    <cfRule type="cellIs" dxfId="1059" priority="188" stopIfTrue="1" operator="greaterThan">
      <formula>-30</formula>
    </cfRule>
    <cfRule type="cellIs" dxfId="1058" priority="189" stopIfTrue="1" operator="between">
      <formula>-33</formula>
      <formula>-30</formula>
    </cfRule>
  </conditionalFormatting>
  <conditionalFormatting sqref="BA7">
    <cfRule type="containsBlanks" priority="184" stopIfTrue="1">
      <formula>LEN(TRIM(BA7))=0</formula>
    </cfRule>
    <cfRule type="cellIs" dxfId="1057" priority="185" stopIfTrue="1" operator="greaterThan">
      <formula>-30</formula>
    </cfRule>
    <cfRule type="cellIs" dxfId="1056" priority="186" stopIfTrue="1" operator="between">
      <formula>-33</formula>
      <formula>-30</formula>
    </cfRule>
  </conditionalFormatting>
  <conditionalFormatting sqref="BA8">
    <cfRule type="containsBlanks" priority="181" stopIfTrue="1">
      <formula>LEN(TRIM(BA8))=0</formula>
    </cfRule>
    <cfRule type="cellIs" dxfId="1055" priority="182" stopIfTrue="1" operator="greaterThan">
      <formula>-30</formula>
    </cfRule>
    <cfRule type="cellIs" dxfId="1054" priority="183" stopIfTrue="1" operator="between">
      <formula>-33</formula>
      <formula>-30</formula>
    </cfRule>
  </conditionalFormatting>
  <conditionalFormatting sqref="BA9">
    <cfRule type="containsBlanks" priority="178" stopIfTrue="1">
      <formula>LEN(TRIM(BA9))=0</formula>
    </cfRule>
    <cfRule type="cellIs" dxfId="1053" priority="179" stopIfTrue="1" operator="greaterThan">
      <formula>-30</formula>
    </cfRule>
    <cfRule type="cellIs" dxfId="1052" priority="180" stopIfTrue="1" operator="between">
      <formula>-33</formula>
      <formula>-30</formula>
    </cfRule>
  </conditionalFormatting>
  <conditionalFormatting sqref="BJ7">
    <cfRule type="containsBlanks" priority="175" stopIfTrue="1">
      <formula>LEN(TRIM(BJ7))=0</formula>
    </cfRule>
    <cfRule type="cellIs" dxfId="1051" priority="176" stopIfTrue="1" operator="greaterThan">
      <formula>-30</formula>
    </cfRule>
    <cfRule type="cellIs" dxfId="1050" priority="177" stopIfTrue="1" operator="between">
      <formula>-33</formula>
      <formula>-30</formula>
    </cfRule>
  </conditionalFormatting>
  <conditionalFormatting sqref="BJ8">
    <cfRule type="containsBlanks" priority="172" stopIfTrue="1">
      <formula>LEN(TRIM(BJ8))=0</formula>
    </cfRule>
    <cfRule type="cellIs" dxfId="1049" priority="173" stopIfTrue="1" operator="greaterThan">
      <formula>-30</formula>
    </cfRule>
    <cfRule type="cellIs" dxfId="1048" priority="174" stopIfTrue="1" operator="between">
      <formula>-33</formula>
      <formula>-30</formula>
    </cfRule>
  </conditionalFormatting>
  <conditionalFormatting sqref="BJ9">
    <cfRule type="containsBlanks" priority="169" stopIfTrue="1">
      <formula>LEN(TRIM(BJ9))=0</formula>
    </cfRule>
    <cfRule type="cellIs" dxfId="1047" priority="170" stopIfTrue="1" operator="greaterThan">
      <formula>-30</formula>
    </cfRule>
    <cfRule type="cellIs" dxfId="1046" priority="171" stopIfTrue="1" operator="between">
      <formula>-33</formula>
      <formula>-30</formula>
    </cfRule>
  </conditionalFormatting>
  <conditionalFormatting sqref="BS7">
    <cfRule type="containsBlanks" priority="166" stopIfTrue="1">
      <formula>LEN(TRIM(BS7))=0</formula>
    </cfRule>
    <cfRule type="cellIs" dxfId="1045" priority="167" stopIfTrue="1" operator="greaterThan">
      <formula>-30</formula>
    </cfRule>
    <cfRule type="cellIs" dxfId="1044" priority="168" stopIfTrue="1" operator="between">
      <formula>-33</formula>
      <formula>-30</formula>
    </cfRule>
  </conditionalFormatting>
  <conditionalFormatting sqref="BS8">
    <cfRule type="containsBlanks" priority="163" stopIfTrue="1">
      <formula>LEN(TRIM(BS8))=0</formula>
    </cfRule>
    <cfRule type="cellIs" dxfId="1043" priority="164" stopIfTrue="1" operator="greaterThan">
      <formula>-30</formula>
    </cfRule>
    <cfRule type="cellIs" dxfId="1042" priority="165" stopIfTrue="1" operator="between">
      <formula>-33</formula>
      <formula>-30</formula>
    </cfRule>
  </conditionalFormatting>
  <conditionalFormatting sqref="BS9">
    <cfRule type="containsBlanks" priority="160" stopIfTrue="1">
      <formula>LEN(TRIM(BS9))=0</formula>
    </cfRule>
    <cfRule type="cellIs" dxfId="1041" priority="161" stopIfTrue="1" operator="greaterThan">
      <formula>-30</formula>
    </cfRule>
    <cfRule type="cellIs" dxfId="1040" priority="162" stopIfTrue="1" operator="between">
      <formula>-33</formula>
      <formula>-30</formula>
    </cfRule>
  </conditionalFormatting>
  <conditionalFormatting sqref="CB7">
    <cfRule type="containsBlanks" priority="157" stopIfTrue="1">
      <formula>LEN(TRIM(CB7))=0</formula>
    </cfRule>
    <cfRule type="cellIs" dxfId="1039" priority="158" stopIfTrue="1" operator="greaterThan">
      <formula>-30</formula>
    </cfRule>
    <cfRule type="cellIs" dxfId="1038" priority="159" stopIfTrue="1" operator="between">
      <formula>-33</formula>
      <formula>-30</formula>
    </cfRule>
  </conditionalFormatting>
  <conditionalFormatting sqref="CB8">
    <cfRule type="containsBlanks" priority="154" stopIfTrue="1">
      <formula>LEN(TRIM(CB8))=0</formula>
    </cfRule>
    <cfRule type="cellIs" dxfId="1037" priority="155" stopIfTrue="1" operator="greaterThan">
      <formula>-30</formula>
    </cfRule>
    <cfRule type="cellIs" dxfId="1036" priority="156" stopIfTrue="1" operator="between">
      <formula>-33</formula>
      <formula>-30</formula>
    </cfRule>
  </conditionalFormatting>
  <conditionalFormatting sqref="CB9">
    <cfRule type="containsBlanks" priority="151" stopIfTrue="1">
      <formula>LEN(TRIM(CB9))=0</formula>
    </cfRule>
    <cfRule type="cellIs" dxfId="1035" priority="152" stopIfTrue="1" operator="greaterThan">
      <formula>-30</formula>
    </cfRule>
    <cfRule type="cellIs" dxfId="1034" priority="153" stopIfTrue="1" operator="between">
      <formula>-33</formula>
      <formula>-30</formula>
    </cfRule>
  </conditionalFormatting>
  <conditionalFormatting sqref="CK7">
    <cfRule type="containsBlanks" priority="148" stopIfTrue="1">
      <formula>LEN(TRIM(CK7))=0</formula>
    </cfRule>
    <cfRule type="cellIs" dxfId="1033" priority="149" stopIfTrue="1" operator="greaterThan">
      <formula>-30</formula>
    </cfRule>
    <cfRule type="cellIs" dxfId="1032" priority="150" stopIfTrue="1" operator="between">
      <formula>-33</formula>
      <formula>-30</formula>
    </cfRule>
  </conditionalFormatting>
  <conditionalFormatting sqref="CK8">
    <cfRule type="containsBlanks" priority="145" stopIfTrue="1">
      <formula>LEN(TRIM(CK8))=0</formula>
    </cfRule>
    <cfRule type="cellIs" dxfId="1031" priority="146" stopIfTrue="1" operator="greaterThan">
      <formula>-30</formula>
    </cfRule>
    <cfRule type="cellIs" dxfId="1030" priority="147" stopIfTrue="1" operator="between">
      <formula>-33</formula>
      <formula>-30</formula>
    </cfRule>
  </conditionalFormatting>
  <conditionalFormatting sqref="CK9">
    <cfRule type="containsBlanks" priority="142" stopIfTrue="1">
      <formula>LEN(TRIM(CK9))=0</formula>
    </cfRule>
    <cfRule type="cellIs" dxfId="1029" priority="143" stopIfTrue="1" operator="greaterThan">
      <formula>-30</formula>
    </cfRule>
    <cfRule type="cellIs" dxfId="1028" priority="144" stopIfTrue="1" operator="between">
      <formula>-33</formula>
      <formula>-30</formula>
    </cfRule>
  </conditionalFormatting>
  <conditionalFormatting sqref="CT7">
    <cfRule type="containsBlanks" priority="139" stopIfTrue="1">
      <formula>LEN(TRIM(CT7))=0</formula>
    </cfRule>
    <cfRule type="cellIs" dxfId="1027" priority="140" stopIfTrue="1" operator="greaterThan">
      <formula>-30</formula>
    </cfRule>
    <cfRule type="cellIs" dxfId="1026" priority="141" stopIfTrue="1" operator="between">
      <formula>-33</formula>
      <formula>-30</formula>
    </cfRule>
  </conditionalFormatting>
  <conditionalFormatting sqref="CT8">
    <cfRule type="containsBlanks" priority="136" stopIfTrue="1">
      <formula>LEN(TRIM(CT8))=0</formula>
    </cfRule>
    <cfRule type="cellIs" dxfId="1025" priority="137" stopIfTrue="1" operator="greaterThan">
      <formula>-30</formula>
    </cfRule>
    <cfRule type="cellIs" dxfId="1024" priority="138" stopIfTrue="1" operator="between">
      <formula>-33</formula>
      <formula>-30</formula>
    </cfRule>
  </conditionalFormatting>
  <conditionalFormatting sqref="CT9">
    <cfRule type="containsBlanks" priority="133" stopIfTrue="1">
      <formula>LEN(TRIM(CT9))=0</formula>
    </cfRule>
    <cfRule type="cellIs" dxfId="1023" priority="134" stopIfTrue="1" operator="greaterThan">
      <formula>-30</formula>
    </cfRule>
    <cfRule type="cellIs" dxfId="1022" priority="135" stopIfTrue="1" operator="between">
      <formula>-33</formula>
      <formula>-30</formula>
    </cfRule>
  </conditionalFormatting>
  <conditionalFormatting sqref="H10">
    <cfRule type="containsBlanks" priority="130" stopIfTrue="1">
      <formula>LEN(TRIM(H10))=0</formula>
    </cfRule>
    <cfRule type="cellIs" dxfId="1021" priority="131" stopIfTrue="1" operator="greaterThan">
      <formula>-30</formula>
    </cfRule>
    <cfRule type="cellIs" dxfId="1020" priority="132" stopIfTrue="1" operator="between">
      <formula>-33</formula>
      <formula>-30</formula>
    </cfRule>
  </conditionalFormatting>
  <conditionalFormatting sqref="H11">
    <cfRule type="containsBlanks" priority="127" stopIfTrue="1">
      <formula>LEN(TRIM(H11))=0</formula>
    </cfRule>
    <cfRule type="cellIs" dxfId="1019" priority="128" stopIfTrue="1" operator="greaterThan">
      <formula>-30</formula>
    </cfRule>
    <cfRule type="cellIs" dxfId="1018" priority="129" stopIfTrue="1" operator="between">
      <formula>-33</formula>
      <formula>-30</formula>
    </cfRule>
  </conditionalFormatting>
  <conditionalFormatting sqref="Q10">
    <cfRule type="containsBlanks" priority="124" stopIfTrue="1">
      <formula>LEN(TRIM(Q10))=0</formula>
    </cfRule>
    <cfRule type="cellIs" dxfId="1017" priority="125" stopIfTrue="1" operator="greaterThan">
      <formula>-30</formula>
    </cfRule>
    <cfRule type="cellIs" dxfId="1016" priority="126" stopIfTrue="1" operator="between">
      <formula>-33</formula>
      <formula>-30</formula>
    </cfRule>
  </conditionalFormatting>
  <conditionalFormatting sqref="Q11">
    <cfRule type="containsBlanks" priority="121" stopIfTrue="1">
      <formula>LEN(TRIM(Q11))=0</formula>
    </cfRule>
    <cfRule type="cellIs" dxfId="1015" priority="122" stopIfTrue="1" operator="greaterThan">
      <formula>-30</formula>
    </cfRule>
    <cfRule type="cellIs" dxfId="1014" priority="123" stopIfTrue="1" operator="between">
      <formula>-33</formula>
      <formula>-30</formula>
    </cfRule>
  </conditionalFormatting>
  <conditionalFormatting sqref="Z10">
    <cfRule type="containsBlanks" priority="118" stopIfTrue="1">
      <formula>LEN(TRIM(Z10))=0</formula>
    </cfRule>
    <cfRule type="cellIs" dxfId="1013" priority="119" stopIfTrue="1" operator="greaterThan">
      <formula>-30</formula>
    </cfRule>
    <cfRule type="cellIs" dxfId="1012" priority="120" stopIfTrue="1" operator="between">
      <formula>-33</formula>
      <formula>-30</formula>
    </cfRule>
  </conditionalFormatting>
  <conditionalFormatting sqref="Z11">
    <cfRule type="containsBlanks" priority="115" stopIfTrue="1">
      <formula>LEN(TRIM(Z11))=0</formula>
    </cfRule>
    <cfRule type="cellIs" dxfId="1011" priority="116" stopIfTrue="1" operator="greaterThan">
      <formula>-30</formula>
    </cfRule>
    <cfRule type="cellIs" dxfId="1010" priority="117" stopIfTrue="1" operator="between">
      <formula>-33</formula>
      <formula>-30</formula>
    </cfRule>
  </conditionalFormatting>
  <conditionalFormatting sqref="AI10">
    <cfRule type="containsBlanks" priority="112" stopIfTrue="1">
      <formula>LEN(TRIM(AI10))=0</formula>
    </cfRule>
    <cfRule type="cellIs" dxfId="1009" priority="113" stopIfTrue="1" operator="greaterThan">
      <formula>-30</formula>
    </cfRule>
    <cfRule type="cellIs" dxfId="1008" priority="114" stopIfTrue="1" operator="between">
      <formula>-33</formula>
      <formula>-30</formula>
    </cfRule>
  </conditionalFormatting>
  <conditionalFormatting sqref="AI11:AI19">
    <cfRule type="containsBlanks" priority="109" stopIfTrue="1">
      <formula>LEN(TRIM(AI11))=0</formula>
    </cfRule>
    <cfRule type="cellIs" dxfId="1007" priority="110" stopIfTrue="1" operator="greaterThan">
      <formula>-30</formula>
    </cfRule>
    <cfRule type="cellIs" dxfId="1006" priority="111" stopIfTrue="1" operator="between">
      <formula>-33</formula>
      <formula>-30</formula>
    </cfRule>
  </conditionalFormatting>
  <conditionalFormatting sqref="AR10">
    <cfRule type="containsBlanks" priority="106" stopIfTrue="1">
      <formula>LEN(TRIM(AR10))=0</formula>
    </cfRule>
    <cfRule type="cellIs" dxfId="1005" priority="107" stopIfTrue="1" operator="greaterThan">
      <formula>-30</formula>
    </cfRule>
    <cfRule type="cellIs" dxfId="1004" priority="108" stopIfTrue="1" operator="between">
      <formula>-33</formula>
      <formula>-30</formula>
    </cfRule>
  </conditionalFormatting>
  <conditionalFormatting sqref="AR11:AR19">
    <cfRule type="containsBlanks" priority="103" stopIfTrue="1">
      <formula>LEN(TRIM(AR11))=0</formula>
    </cfRule>
    <cfRule type="cellIs" dxfId="1003" priority="104" stopIfTrue="1" operator="greaterThan">
      <formula>-30</formula>
    </cfRule>
    <cfRule type="cellIs" dxfId="1002" priority="105" stopIfTrue="1" operator="between">
      <formula>-33</formula>
      <formula>-30</formula>
    </cfRule>
  </conditionalFormatting>
  <conditionalFormatting sqref="BA10">
    <cfRule type="containsBlanks" priority="100" stopIfTrue="1">
      <formula>LEN(TRIM(BA10))=0</formula>
    </cfRule>
    <cfRule type="cellIs" dxfId="1001" priority="101" stopIfTrue="1" operator="greaterThan">
      <formula>-30</formula>
    </cfRule>
    <cfRule type="cellIs" dxfId="1000" priority="102" stopIfTrue="1" operator="between">
      <formula>-33</formula>
      <formula>-30</formula>
    </cfRule>
  </conditionalFormatting>
  <conditionalFormatting sqref="BA11:BA19">
    <cfRule type="containsBlanks" priority="97" stopIfTrue="1">
      <formula>LEN(TRIM(BA11))=0</formula>
    </cfRule>
    <cfRule type="cellIs" dxfId="999" priority="98" stopIfTrue="1" operator="greaterThan">
      <formula>-30</formula>
    </cfRule>
    <cfRule type="cellIs" dxfId="998" priority="99" stopIfTrue="1" operator="between">
      <formula>-33</formula>
      <formula>-30</formula>
    </cfRule>
  </conditionalFormatting>
  <conditionalFormatting sqref="BJ10">
    <cfRule type="containsBlanks" priority="94" stopIfTrue="1">
      <formula>LEN(TRIM(BJ10))=0</formula>
    </cfRule>
    <cfRule type="cellIs" dxfId="997" priority="95" stopIfTrue="1" operator="greaterThan">
      <formula>-30</formula>
    </cfRule>
    <cfRule type="cellIs" dxfId="996" priority="96" stopIfTrue="1" operator="between">
      <formula>-33</formula>
      <formula>-30</formula>
    </cfRule>
  </conditionalFormatting>
  <conditionalFormatting sqref="BJ11:BJ19">
    <cfRule type="containsBlanks" priority="91" stopIfTrue="1">
      <formula>LEN(TRIM(BJ11))=0</formula>
    </cfRule>
    <cfRule type="cellIs" dxfId="995" priority="92" stopIfTrue="1" operator="greaterThan">
      <formula>-30</formula>
    </cfRule>
    <cfRule type="cellIs" dxfId="994" priority="93" stopIfTrue="1" operator="between">
      <formula>-33</formula>
      <formula>-30</formula>
    </cfRule>
  </conditionalFormatting>
  <conditionalFormatting sqref="BS10">
    <cfRule type="containsBlanks" priority="88" stopIfTrue="1">
      <formula>LEN(TRIM(BS10))=0</formula>
    </cfRule>
    <cfRule type="cellIs" dxfId="993" priority="89" stopIfTrue="1" operator="greaterThan">
      <formula>-30</formula>
    </cfRule>
    <cfRule type="cellIs" dxfId="992" priority="90" stopIfTrue="1" operator="between">
      <formula>-33</formula>
      <formula>-30</formula>
    </cfRule>
  </conditionalFormatting>
  <conditionalFormatting sqref="BS11:BS19">
    <cfRule type="containsBlanks" priority="85" stopIfTrue="1">
      <formula>LEN(TRIM(BS11))=0</formula>
    </cfRule>
    <cfRule type="cellIs" dxfId="991" priority="86" stopIfTrue="1" operator="greaterThan">
      <formula>-30</formula>
    </cfRule>
    <cfRule type="cellIs" dxfId="990" priority="87" stopIfTrue="1" operator="between">
      <formula>-33</formula>
      <formula>-30</formula>
    </cfRule>
  </conditionalFormatting>
  <conditionalFormatting sqref="CB10">
    <cfRule type="containsBlanks" priority="82" stopIfTrue="1">
      <formula>LEN(TRIM(CB10))=0</formula>
    </cfRule>
    <cfRule type="cellIs" dxfId="989" priority="83" stopIfTrue="1" operator="greaterThan">
      <formula>-30</formula>
    </cfRule>
    <cfRule type="cellIs" dxfId="988" priority="84" stopIfTrue="1" operator="between">
      <formula>-33</formula>
      <formula>-30</formula>
    </cfRule>
  </conditionalFormatting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CU22"/>
  <sheetViews>
    <sheetView zoomScale="80" zoomScaleNormal="80" workbookViewId="0">
      <selection activeCell="BA7" sqref="BA7:BA25"/>
    </sheetView>
  </sheetViews>
  <sheetFormatPr defaultRowHeight="13.5"/>
  <cols>
    <col min="1" max="1" width="12.875" customWidth="1"/>
    <col min="3" max="3" width="9.875" bestFit="1" customWidth="1"/>
    <col min="4" max="4" width="9" customWidth="1"/>
    <col min="9" max="9" width="7.625" bestFit="1" customWidth="1"/>
    <col min="10" max="10" width="7.75" bestFit="1" customWidth="1"/>
    <col min="11" max="11" width="8" bestFit="1" customWidth="1"/>
    <col min="12" max="12" width="9.875" bestFit="1" customWidth="1"/>
    <col min="13" max="13" width="9" customWidth="1"/>
    <col min="18" max="18" width="7.625" bestFit="1" customWidth="1"/>
    <col min="19" max="19" width="7.75" bestFit="1" customWidth="1"/>
    <col min="20" max="20" width="8" bestFit="1" customWidth="1"/>
    <col min="21" max="21" width="9.875" bestFit="1" customWidth="1"/>
    <col min="27" max="27" width="7.625" bestFit="1" customWidth="1"/>
    <col min="257" max="257" width="12.875" customWidth="1"/>
    <col min="259" max="259" width="9.875" bestFit="1" customWidth="1"/>
    <col min="260" max="260" width="9" customWidth="1"/>
    <col min="265" max="265" width="7.625" bestFit="1" customWidth="1"/>
    <col min="266" max="266" width="7.75" bestFit="1" customWidth="1"/>
    <col min="267" max="267" width="8" bestFit="1" customWidth="1"/>
    <col min="268" max="268" width="9.875" bestFit="1" customWidth="1"/>
    <col min="269" max="269" width="9" customWidth="1"/>
    <col min="274" max="274" width="7.625" bestFit="1" customWidth="1"/>
    <col min="275" max="275" width="7.75" bestFit="1" customWidth="1"/>
    <col min="276" max="276" width="8" bestFit="1" customWidth="1"/>
    <col min="277" max="277" width="9.875" bestFit="1" customWidth="1"/>
    <col min="283" max="283" width="7.625" bestFit="1" customWidth="1"/>
    <col min="513" max="513" width="12.875" customWidth="1"/>
    <col min="515" max="515" width="9.875" bestFit="1" customWidth="1"/>
    <col min="516" max="516" width="9" customWidth="1"/>
    <col min="521" max="521" width="7.625" bestFit="1" customWidth="1"/>
    <col min="522" max="522" width="7.75" bestFit="1" customWidth="1"/>
    <col min="523" max="523" width="8" bestFit="1" customWidth="1"/>
    <col min="524" max="524" width="9.875" bestFit="1" customWidth="1"/>
    <col min="525" max="525" width="9" customWidth="1"/>
    <col min="530" max="530" width="7.625" bestFit="1" customWidth="1"/>
    <col min="531" max="531" width="7.75" bestFit="1" customWidth="1"/>
    <col min="532" max="532" width="8" bestFit="1" customWidth="1"/>
    <col min="533" max="533" width="9.875" bestFit="1" customWidth="1"/>
    <col min="539" max="539" width="7.625" bestFit="1" customWidth="1"/>
    <col min="769" max="769" width="12.875" customWidth="1"/>
    <col min="771" max="771" width="9.875" bestFit="1" customWidth="1"/>
    <col min="772" max="772" width="9" customWidth="1"/>
    <col min="777" max="777" width="7.625" bestFit="1" customWidth="1"/>
    <col min="778" max="778" width="7.75" bestFit="1" customWidth="1"/>
    <col min="779" max="779" width="8" bestFit="1" customWidth="1"/>
    <col min="780" max="780" width="9.875" bestFit="1" customWidth="1"/>
    <col min="781" max="781" width="9" customWidth="1"/>
    <col min="786" max="786" width="7.625" bestFit="1" customWidth="1"/>
    <col min="787" max="787" width="7.75" bestFit="1" customWidth="1"/>
    <col min="788" max="788" width="8" bestFit="1" customWidth="1"/>
    <col min="789" max="789" width="9.875" bestFit="1" customWidth="1"/>
    <col min="795" max="795" width="7.625" bestFit="1" customWidth="1"/>
    <col min="1025" max="1025" width="12.875" customWidth="1"/>
    <col min="1027" max="1027" width="9.875" bestFit="1" customWidth="1"/>
    <col min="1028" max="1028" width="9" customWidth="1"/>
    <col min="1033" max="1033" width="7.625" bestFit="1" customWidth="1"/>
    <col min="1034" max="1034" width="7.75" bestFit="1" customWidth="1"/>
    <col min="1035" max="1035" width="8" bestFit="1" customWidth="1"/>
    <col min="1036" max="1036" width="9.875" bestFit="1" customWidth="1"/>
    <col min="1037" max="1037" width="9" customWidth="1"/>
    <col min="1042" max="1042" width="7.625" bestFit="1" customWidth="1"/>
    <col min="1043" max="1043" width="7.75" bestFit="1" customWidth="1"/>
    <col min="1044" max="1044" width="8" bestFit="1" customWidth="1"/>
    <col min="1045" max="1045" width="9.875" bestFit="1" customWidth="1"/>
    <col min="1051" max="1051" width="7.625" bestFit="1" customWidth="1"/>
    <col min="1281" max="1281" width="12.875" customWidth="1"/>
    <col min="1283" max="1283" width="9.875" bestFit="1" customWidth="1"/>
    <col min="1284" max="1284" width="9" customWidth="1"/>
    <col min="1289" max="1289" width="7.625" bestFit="1" customWidth="1"/>
    <col min="1290" max="1290" width="7.75" bestFit="1" customWidth="1"/>
    <col min="1291" max="1291" width="8" bestFit="1" customWidth="1"/>
    <col min="1292" max="1292" width="9.875" bestFit="1" customWidth="1"/>
    <col min="1293" max="1293" width="9" customWidth="1"/>
    <col min="1298" max="1298" width="7.625" bestFit="1" customWidth="1"/>
    <col min="1299" max="1299" width="7.75" bestFit="1" customWidth="1"/>
    <col min="1300" max="1300" width="8" bestFit="1" customWidth="1"/>
    <col min="1301" max="1301" width="9.875" bestFit="1" customWidth="1"/>
    <col min="1307" max="1307" width="7.625" bestFit="1" customWidth="1"/>
    <col min="1537" max="1537" width="12.875" customWidth="1"/>
    <col min="1539" max="1539" width="9.875" bestFit="1" customWidth="1"/>
    <col min="1540" max="1540" width="9" customWidth="1"/>
    <col min="1545" max="1545" width="7.625" bestFit="1" customWidth="1"/>
    <col min="1546" max="1546" width="7.75" bestFit="1" customWidth="1"/>
    <col min="1547" max="1547" width="8" bestFit="1" customWidth="1"/>
    <col min="1548" max="1548" width="9.875" bestFit="1" customWidth="1"/>
    <col min="1549" max="1549" width="9" customWidth="1"/>
    <col min="1554" max="1554" width="7.625" bestFit="1" customWidth="1"/>
    <col min="1555" max="1555" width="7.75" bestFit="1" customWidth="1"/>
    <col min="1556" max="1556" width="8" bestFit="1" customWidth="1"/>
    <col min="1557" max="1557" width="9.875" bestFit="1" customWidth="1"/>
    <col min="1563" max="1563" width="7.625" bestFit="1" customWidth="1"/>
    <col min="1793" max="1793" width="12.875" customWidth="1"/>
    <col min="1795" max="1795" width="9.875" bestFit="1" customWidth="1"/>
    <col min="1796" max="1796" width="9" customWidth="1"/>
    <col min="1801" max="1801" width="7.625" bestFit="1" customWidth="1"/>
    <col min="1802" max="1802" width="7.75" bestFit="1" customWidth="1"/>
    <col min="1803" max="1803" width="8" bestFit="1" customWidth="1"/>
    <col min="1804" max="1804" width="9.875" bestFit="1" customWidth="1"/>
    <col min="1805" max="1805" width="9" customWidth="1"/>
    <col min="1810" max="1810" width="7.625" bestFit="1" customWidth="1"/>
    <col min="1811" max="1811" width="7.75" bestFit="1" customWidth="1"/>
    <col min="1812" max="1812" width="8" bestFit="1" customWidth="1"/>
    <col min="1813" max="1813" width="9.875" bestFit="1" customWidth="1"/>
    <col min="1819" max="1819" width="7.625" bestFit="1" customWidth="1"/>
    <col min="2049" max="2049" width="12.875" customWidth="1"/>
    <col min="2051" max="2051" width="9.875" bestFit="1" customWidth="1"/>
    <col min="2052" max="2052" width="9" customWidth="1"/>
    <col min="2057" max="2057" width="7.625" bestFit="1" customWidth="1"/>
    <col min="2058" max="2058" width="7.75" bestFit="1" customWidth="1"/>
    <col min="2059" max="2059" width="8" bestFit="1" customWidth="1"/>
    <col min="2060" max="2060" width="9.875" bestFit="1" customWidth="1"/>
    <col min="2061" max="2061" width="9" customWidth="1"/>
    <col min="2066" max="2066" width="7.625" bestFit="1" customWidth="1"/>
    <col min="2067" max="2067" width="7.75" bestFit="1" customWidth="1"/>
    <col min="2068" max="2068" width="8" bestFit="1" customWidth="1"/>
    <col min="2069" max="2069" width="9.875" bestFit="1" customWidth="1"/>
    <col min="2075" max="2075" width="7.625" bestFit="1" customWidth="1"/>
    <col min="2305" max="2305" width="12.875" customWidth="1"/>
    <col min="2307" max="2307" width="9.875" bestFit="1" customWidth="1"/>
    <col min="2308" max="2308" width="9" customWidth="1"/>
    <col min="2313" max="2313" width="7.625" bestFit="1" customWidth="1"/>
    <col min="2314" max="2314" width="7.75" bestFit="1" customWidth="1"/>
    <col min="2315" max="2315" width="8" bestFit="1" customWidth="1"/>
    <col min="2316" max="2316" width="9.875" bestFit="1" customWidth="1"/>
    <col min="2317" max="2317" width="9" customWidth="1"/>
    <col min="2322" max="2322" width="7.625" bestFit="1" customWidth="1"/>
    <col min="2323" max="2323" width="7.75" bestFit="1" customWidth="1"/>
    <col min="2324" max="2324" width="8" bestFit="1" customWidth="1"/>
    <col min="2325" max="2325" width="9.875" bestFit="1" customWidth="1"/>
    <col min="2331" max="2331" width="7.625" bestFit="1" customWidth="1"/>
    <col min="2561" max="2561" width="12.875" customWidth="1"/>
    <col min="2563" max="2563" width="9.875" bestFit="1" customWidth="1"/>
    <col min="2564" max="2564" width="9" customWidth="1"/>
    <col min="2569" max="2569" width="7.625" bestFit="1" customWidth="1"/>
    <col min="2570" max="2570" width="7.75" bestFit="1" customWidth="1"/>
    <col min="2571" max="2571" width="8" bestFit="1" customWidth="1"/>
    <col min="2572" max="2572" width="9.875" bestFit="1" customWidth="1"/>
    <col min="2573" max="2573" width="9" customWidth="1"/>
    <col min="2578" max="2578" width="7.625" bestFit="1" customWidth="1"/>
    <col min="2579" max="2579" width="7.75" bestFit="1" customWidth="1"/>
    <col min="2580" max="2580" width="8" bestFit="1" customWidth="1"/>
    <col min="2581" max="2581" width="9.875" bestFit="1" customWidth="1"/>
    <col min="2587" max="2587" width="7.625" bestFit="1" customWidth="1"/>
    <col min="2817" max="2817" width="12.875" customWidth="1"/>
    <col min="2819" max="2819" width="9.875" bestFit="1" customWidth="1"/>
    <col min="2820" max="2820" width="9" customWidth="1"/>
    <col min="2825" max="2825" width="7.625" bestFit="1" customWidth="1"/>
    <col min="2826" max="2826" width="7.75" bestFit="1" customWidth="1"/>
    <col min="2827" max="2827" width="8" bestFit="1" customWidth="1"/>
    <col min="2828" max="2828" width="9.875" bestFit="1" customWidth="1"/>
    <col min="2829" max="2829" width="9" customWidth="1"/>
    <col min="2834" max="2834" width="7.625" bestFit="1" customWidth="1"/>
    <col min="2835" max="2835" width="7.75" bestFit="1" customWidth="1"/>
    <col min="2836" max="2836" width="8" bestFit="1" customWidth="1"/>
    <col min="2837" max="2837" width="9.875" bestFit="1" customWidth="1"/>
    <col min="2843" max="2843" width="7.625" bestFit="1" customWidth="1"/>
    <col min="3073" max="3073" width="12.875" customWidth="1"/>
    <col min="3075" max="3075" width="9.875" bestFit="1" customWidth="1"/>
    <col min="3076" max="3076" width="9" customWidth="1"/>
    <col min="3081" max="3081" width="7.625" bestFit="1" customWidth="1"/>
    <col min="3082" max="3082" width="7.75" bestFit="1" customWidth="1"/>
    <col min="3083" max="3083" width="8" bestFit="1" customWidth="1"/>
    <col min="3084" max="3084" width="9.875" bestFit="1" customWidth="1"/>
    <col min="3085" max="3085" width="9" customWidth="1"/>
    <col min="3090" max="3090" width="7.625" bestFit="1" customWidth="1"/>
    <col min="3091" max="3091" width="7.75" bestFit="1" customWidth="1"/>
    <col min="3092" max="3092" width="8" bestFit="1" customWidth="1"/>
    <col min="3093" max="3093" width="9.875" bestFit="1" customWidth="1"/>
    <col min="3099" max="3099" width="7.625" bestFit="1" customWidth="1"/>
    <col min="3329" max="3329" width="12.875" customWidth="1"/>
    <col min="3331" max="3331" width="9.875" bestFit="1" customWidth="1"/>
    <col min="3332" max="3332" width="9" customWidth="1"/>
    <col min="3337" max="3337" width="7.625" bestFit="1" customWidth="1"/>
    <col min="3338" max="3338" width="7.75" bestFit="1" customWidth="1"/>
    <col min="3339" max="3339" width="8" bestFit="1" customWidth="1"/>
    <col min="3340" max="3340" width="9.875" bestFit="1" customWidth="1"/>
    <col min="3341" max="3341" width="9" customWidth="1"/>
    <col min="3346" max="3346" width="7.625" bestFit="1" customWidth="1"/>
    <col min="3347" max="3347" width="7.75" bestFit="1" customWidth="1"/>
    <col min="3348" max="3348" width="8" bestFit="1" customWidth="1"/>
    <col min="3349" max="3349" width="9.875" bestFit="1" customWidth="1"/>
    <col min="3355" max="3355" width="7.625" bestFit="1" customWidth="1"/>
    <col min="3585" max="3585" width="12.875" customWidth="1"/>
    <col min="3587" max="3587" width="9.875" bestFit="1" customWidth="1"/>
    <col min="3588" max="3588" width="9" customWidth="1"/>
    <col min="3593" max="3593" width="7.625" bestFit="1" customWidth="1"/>
    <col min="3594" max="3594" width="7.75" bestFit="1" customWidth="1"/>
    <col min="3595" max="3595" width="8" bestFit="1" customWidth="1"/>
    <col min="3596" max="3596" width="9.875" bestFit="1" customWidth="1"/>
    <col min="3597" max="3597" width="9" customWidth="1"/>
    <col min="3602" max="3602" width="7.625" bestFit="1" customWidth="1"/>
    <col min="3603" max="3603" width="7.75" bestFit="1" customWidth="1"/>
    <col min="3604" max="3604" width="8" bestFit="1" customWidth="1"/>
    <col min="3605" max="3605" width="9.875" bestFit="1" customWidth="1"/>
    <col min="3611" max="3611" width="7.625" bestFit="1" customWidth="1"/>
    <col min="3841" max="3841" width="12.875" customWidth="1"/>
    <col min="3843" max="3843" width="9.875" bestFit="1" customWidth="1"/>
    <col min="3844" max="3844" width="9" customWidth="1"/>
    <col min="3849" max="3849" width="7.625" bestFit="1" customWidth="1"/>
    <col min="3850" max="3850" width="7.75" bestFit="1" customWidth="1"/>
    <col min="3851" max="3851" width="8" bestFit="1" customWidth="1"/>
    <col min="3852" max="3852" width="9.875" bestFit="1" customWidth="1"/>
    <col min="3853" max="3853" width="9" customWidth="1"/>
    <col min="3858" max="3858" width="7.625" bestFit="1" customWidth="1"/>
    <col min="3859" max="3859" width="7.75" bestFit="1" customWidth="1"/>
    <col min="3860" max="3860" width="8" bestFit="1" customWidth="1"/>
    <col min="3861" max="3861" width="9.875" bestFit="1" customWidth="1"/>
    <col min="3867" max="3867" width="7.625" bestFit="1" customWidth="1"/>
    <col min="4097" max="4097" width="12.875" customWidth="1"/>
    <col min="4099" max="4099" width="9.875" bestFit="1" customWidth="1"/>
    <col min="4100" max="4100" width="9" customWidth="1"/>
    <col min="4105" max="4105" width="7.625" bestFit="1" customWidth="1"/>
    <col min="4106" max="4106" width="7.75" bestFit="1" customWidth="1"/>
    <col min="4107" max="4107" width="8" bestFit="1" customWidth="1"/>
    <col min="4108" max="4108" width="9.875" bestFit="1" customWidth="1"/>
    <col min="4109" max="4109" width="9" customWidth="1"/>
    <col min="4114" max="4114" width="7.625" bestFit="1" customWidth="1"/>
    <col min="4115" max="4115" width="7.75" bestFit="1" customWidth="1"/>
    <col min="4116" max="4116" width="8" bestFit="1" customWidth="1"/>
    <col min="4117" max="4117" width="9.875" bestFit="1" customWidth="1"/>
    <col min="4123" max="4123" width="7.625" bestFit="1" customWidth="1"/>
    <col min="4353" max="4353" width="12.875" customWidth="1"/>
    <col min="4355" max="4355" width="9.875" bestFit="1" customWidth="1"/>
    <col min="4356" max="4356" width="9" customWidth="1"/>
    <col min="4361" max="4361" width="7.625" bestFit="1" customWidth="1"/>
    <col min="4362" max="4362" width="7.75" bestFit="1" customWidth="1"/>
    <col min="4363" max="4363" width="8" bestFit="1" customWidth="1"/>
    <col min="4364" max="4364" width="9.875" bestFit="1" customWidth="1"/>
    <col min="4365" max="4365" width="9" customWidth="1"/>
    <col min="4370" max="4370" width="7.625" bestFit="1" customWidth="1"/>
    <col min="4371" max="4371" width="7.75" bestFit="1" customWidth="1"/>
    <col min="4372" max="4372" width="8" bestFit="1" customWidth="1"/>
    <col min="4373" max="4373" width="9.875" bestFit="1" customWidth="1"/>
    <col min="4379" max="4379" width="7.625" bestFit="1" customWidth="1"/>
    <col min="4609" max="4609" width="12.875" customWidth="1"/>
    <col min="4611" max="4611" width="9.875" bestFit="1" customWidth="1"/>
    <col min="4612" max="4612" width="9" customWidth="1"/>
    <col min="4617" max="4617" width="7.625" bestFit="1" customWidth="1"/>
    <col min="4618" max="4618" width="7.75" bestFit="1" customWidth="1"/>
    <col min="4619" max="4619" width="8" bestFit="1" customWidth="1"/>
    <col min="4620" max="4620" width="9.875" bestFit="1" customWidth="1"/>
    <col min="4621" max="4621" width="9" customWidth="1"/>
    <col min="4626" max="4626" width="7.625" bestFit="1" customWidth="1"/>
    <col min="4627" max="4627" width="7.75" bestFit="1" customWidth="1"/>
    <col min="4628" max="4628" width="8" bestFit="1" customWidth="1"/>
    <col min="4629" max="4629" width="9.875" bestFit="1" customWidth="1"/>
    <col min="4635" max="4635" width="7.625" bestFit="1" customWidth="1"/>
    <col min="4865" max="4865" width="12.875" customWidth="1"/>
    <col min="4867" max="4867" width="9.875" bestFit="1" customWidth="1"/>
    <col min="4868" max="4868" width="9" customWidth="1"/>
    <col min="4873" max="4873" width="7.625" bestFit="1" customWidth="1"/>
    <col min="4874" max="4874" width="7.75" bestFit="1" customWidth="1"/>
    <col min="4875" max="4875" width="8" bestFit="1" customWidth="1"/>
    <col min="4876" max="4876" width="9.875" bestFit="1" customWidth="1"/>
    <col min="4877" max="4877" width="9" customWidth="1"/>
    <col min="4882" max="4882" width="7.625" bestFit="1" customWidth="1"/>
    <col min="4883" max="4883" width="7.75" bestFit="1" customWidth="1"/>
    <col min="4884" max="4884" width="8" bestFit="1" customWidth="1"/>
    <col min="4885" max="4885" width="9.875" bestFit="1" customWidth="1"/>
    <col min="4891" max="4891" width="7.625" bestFit="1" customWidth="1"/>
    <col min="5121" max="5121" width="12.875" customWidth="1"/>
    <col min="5123" max="5123" width="9.875" bestFit="1" customWidth="1"/>
    <col min="5124" max="5124" width="9" customWidth="1"/>
    <col min="5129" max="5129" width="7.625" bestFit="1" customWidth="1"/>
    <col min="5130" max="5130" width="7.75" bestFit="1" customWidth="1"/>
    <col min="5131" max="5131" width="8" bestFit="1" customWidth="1"/>
    <col min="5132" max="5132" width="9.875" bestFit="1" customWidth="1"/>
    <col min="5133" max="5133" width="9" customWidth="1"/>
    <col min="5138" max="5138" width="7.625" bestFit="1" customWidth="1"/>
    <col min="5139" max="5139" width="7.75" bestFit="1" customWidth="1"/>
    <col min="5140" max="5140" width="8" bestFit="1" customWidth="1"/>
    <col min="5141" max="5141" width="9.875" bestFit="1" customWidth="1"/>
    <col min="5147" max="5147" width="7.625" bestFit="1" customWidth="1"/>
    <col min="5377" max="5377" width="12.875" customWidth="1"/>
    <col min="5379" max="5379" width="9.875" bestFit="1" customWidth="1"/>
    <col min="5380" max="5380" width="9" customWidth="1"/>
    <col min="5385" max="5385" width="7.625" bestFit="1" customWidth="1"/>
    <col min="5386" max="5386" width="7.75" bestFit="1" customWidth="1"/>
    <col min="5387" max="5387" width="8" bestFit="1" customWidth="1"/>
    <col min="5388" max="5388" width="9.875" bestFit="1" customWidth="1"/>
    <col min="5389" max="5389" width="9" customWidth="1"/>
    <col min="5394" max="5394" width="7.625" bestFit="1" customWidth="1"/>
    <col min="5395" max="5395" width="7.75" bestFit="1" customWidth="1"/>
    <col min="5396" max="5396" width="8" bestFit="1" customWidth="1"/>
    <col min="5397" max="5397" width="9.875" bestFit="1" customWidth="1"/>
    <col min="5403" max="5403" width="7.625" bestFit="1" customWidth="1"/>
    <col min="5633" max="5633" width="12.875" customWidth="1"/>
    <col min="5635" max="5635" width="9.875" bestFit="1" customWidth="1"/>
    <col min="5636" max="5636" width="9" customWidth="1"/>
    <col min="5641" max="5641" width="7.625" bestFit="1" customWidth="1"/>
    <col min="5642" max="5642" width="7.75" bestFit="1" customWidth="1"/>
    <col min="5643" max="5643" width="8" bestFit="1" customWidth="1"/>
    <col min="5644" max="5644" width="9.875" bestFit="1" customWidth="1"/>
    <col min="5645" max="5645" width="9" customWidth="1"/>
    <col min="5650" max="5650" width="7.625" bestFit="1" customWidth="1"/>
    <col min="5651" max="5651" width="7.75" bestFit="1" customWidth="1"/>
    <col min="5652" max="5652" width="8" bestFit="1" customWidth="1"/>
    <col min="5653" max="5653" width="9.875" bestFit="1" customWidth="1"/>
    <col min="5659" max="5659" width="7.625" bestFit="1" customWidth="1"/>
    <col min="5889" max="5889" width="12.875" customWidth="1"/>
    <col min="5891" max="5891" width="9.875" bestFit="1" customWidth="1"/>
    <col min="5892" max="5892" width="9" customWidth="1"/>
    <col min="5897" max="5897" width="7.625" bestFit="1" customWidth="1"/>
    <col min="5898" max="5898" width="7.75" bestFit="1" customWidth="1"/>
    <col min="5899" max="5899" width="8" bestFit="1" customWidth="1"/>
    <col min="5900" max="5900" width="9.875" bestFit="1" customWidth="1"/>
    <col min="5901" max="5901" width="9" customWidth="1"/>
    <col min="5906" max="5906" width="7.625" bestFit="1" customWidth="1"/>
    <col min="5907" max="5907" width="7.75" bestFit="1" customWidth="1"/>
    <col min="5908" max="5908" width="8" bestFit="1" customWidth="1"/>
    <col min="5909" max="5909" width="9.875" bestFit="1" customWidth="1"/>
    <col min="5915" max="5915" width="7.625" bestFit="1" customWidth="1"/>
    <col min="6145" max="6145" width="12.875" customWidth="1"/>
    <col min="6147" max="6147" width="9.875" bestFit="1" customWidth="1"/>
    <col min="6148" max="6148" width="9" customWidth="1"/>
    <col min="6153" max="6153" width="7.625" bestFit="1" customWidth="1"/>
    <col min="6154" max="6154" width="7.75" bestFit="1" customWidth="1"/>
    <col min="6155" max="6155" width="8" bestFit="1" customWidth="1"/>
    <col min="6156" max="6156" width="9.875" bestFit="1" customWidth="1"/>
    <col min="6157" max="6157" width="9" customWidth="1"/>
    <col min="6162" max="6162" width="7.625" bestFit="1" customWidth="1"/>
    <col min="6163" max="6163" width="7.75" bestFit="1" customWidth="1"/>
    <col min="6164" max="6164" width="8" bestFit="1" customWidth="1"/>
    <col min="6165" max="6165" width="9.875" bestFit="1" customWidth="1"/>
    <col min="6171" max="6171" width="7.625" bestFit="1" customWidth="1"/>
    <col min="6401" max="6401" width="12.875" customWidth="1"/>
    <col min="6403" max="6403" width="9.875" bestFit="1" customWidth="1"/>
    <col min="6404" max="6404" width="9" customWidth="1"/>
    <col min="6409" max="6409" width="7.625" bestFit="1" customWidth="1"/>
    <col min="6410" max="6410" width="7.75" bestFit="1" customWidth="1"/>
    <col min="6411" max="6411" width="8" bestFit="1" customWidth="1"/>
    <col min="6412" max="6412" width="9.875" bestFit="1" customWidth="1"/>
    <col min="6413" max="6413" width="9" customWidth="1"/>
    <col min="6418" max="6418" width="7.625" bestFit="1" customWidth="1"/>
    <col min="6419" max="6419" width="7.75" bestFit="1" customWidth="1"/>
    <col min="6420" max="6420" width="8" bestFit="1" customWidth="1"/>
    <col min="6421" max="6421" width="9.875" bestFit="1" customWidth="1"/>
    <col min="6427" max="6427" width="7.625" bestFit="1" customWidth="1"/>
    <col min="6657" max="6657" width="12.875" customWidth="1"/>
    <col min="6659" max="6659" width="9.875" bestFit="1" customWidth="1"/>
    <col min="6660" max="6660" width="9" customWidth="1"/>
    <col min="6665" max="6665" width="7.625" bestFit="1" customWidth="1"/>
    <col min="6666" max="6666" width="7.75" bestFit="1" customWidth="1"/>
    <col min="6667" max="6667" width="8" bestFit="1" customWidth="1"/>
    <col min="6668" max="6668" width="9.875" bestFit="1" customWidth="1"/>
    <col min="6669" max="6669" width="9" customWidth="1"/>
    <col min="6674" max="6674" width="7.625" bestFit="1" customWidth="1"/>
    <col min="6675" max="6675" width="7.75" bestFit="1" customWidth="1"/>
    <col min="6676" max="6676" width="8" bestFit="1" customWidth="1"/>
    <col min="6677" max="6677" width="9.875" bestFit="1" customWidth="1"/>
    <col min="6683" max="6683" width="7.625" bestFit="1" customWidth="1"/>
    <col min="6913" max="6913" width="12.875" customWidth="1"/>
    <col min="6915" max="6915" width="9.875" bestFit="1" customWidth="1"/>
    <col min="6916" max="6916" width="9" customWidth="1"/>
    <col min="6921" max="6921" width="7.625" bestFit="1" customWidth="1"/>
    <col min="6922" max="6922" width="7.75" bestFit="1" customWidth="1"/>
    <col min="6923" max="6923" width="8" bestFit="1" customWidth="1"/>
    <col min="6924" max="6924" width="9.875" bestFit="1" customWidth="1"/>
    <col min="6925" max="6925" width="9" customWidth="1"/>
    <col min="6930" max="6930" width="7.625" bestFit="1" customWidth="1"/>
    <col min="6931" max="6931" width="7.75" bestFit="1" customWidth="1"/>
    <col min="6932" max="6932" width="8" bestFit="1" customWidth="1"/>
    <col min="6933" max="6933" width="9.875" bestFit="1" customWidth="1"/>
    <col min="6939" max="6939" width="7.625" bestFit="1" customWidth="1"/>
    <col min="7169" max="7169" width="12.875" customWidth="1"/>
    <col min="7171" max="7171" width="9.875" bestFit="1" customWidth="1"/>
    <col min="7172" max="7172" width="9" customWidth="1"/>
    <col min="7177" max="7177" width="7.625" bestFit="1" customWidth="1"/>
    <col min="7178" max="7178" width="7.75" bestFit="1" customWidth="1"/>
    <col min="7179" max="7179" width="8" bestFit="1" customWidth="1"/>
    <col min="7180" max="7180" width="9.875" bestFit="1" customWidth="1"/>
    <col min="7181" max="7181" width="9" customWidth="1"/>
    <col min="7186" max="7186" width="7.625" bestFit="1" customWidth="1"/>
    <col min="7187" max="7187" width="7.75" bestFit="1" customWidth="1"/>
    <col min="7188" max="7188" width="8" bestFit="1" customWidth="1"/>
    <col min="7189" max="7189" width="9.875" bestFit="1" customWidth="1"/>
    <col min="7195" max="7195" width="7.625" bestFit="1" customWidth="1"/>
    <col min="7425" max="7425" width="12.875" customWidth="1"/>
    <col min="7427" max="7427" width="9.875" bestFit="1" customWidth="1"/>
    <col min="7428" max="7428" width="9" customWidth="1"/>
    <col min="7433" max="7433" width="7.625" bestFit="1" customWidth="1"/>
    <col min="7434" max="7434" width="7.75" bestFit="1" customWidth="1"/>
    <col min="7435" max="7435" width="8" bestFit="1" customWidth="1"/>
    <col min="7436" max="7436" width="9.875" bestFit="1" customWidth="1"/>
    <col min="7437" max="7437" width="9" customWidth="1"/>
    <col min="7442" max="7442" width="7.625" bestFit="1" customWidth="1"/>
    <col min="7443" max="7443" width="7.75" bestFit="1" customWidth="1"/>
    <col min="7444" max="7444" width="8" bestFit="1" customWidth="1"/>
    <col min="7445" max="7445" width="9.875" bestFit="1" customWidth="1"/>
    <col min="7451" max="7451" width="7.625" bestFit="1" customWidth="1"/>
    <col min="7681" max="7681" width="12.875" customWidth="1"/>
    <col min="7683" max="7683" width="9.875" bestFit="1" customWidth="1"/>
    <col min="7684" max="7684" width="9" customWidth="1"/>
    <col min="7689" max="7689" width="7.625" bestFit="1" customWidth="1"/>
    <col min="7690" max="7690" width="7.75" bestFit="1" customWidth="1"/>
    <col min="7691" max="7691" width="8" bestFit="1" customWidth="1"/>
    <col min="7692" max="7692" width="9.875" bestFit="1" customWidth="1"/>
    <col min="7693" max="7693" width="9" customWidth="1"/>
    <col min="7698" max="7698" width="7.625" bestFit="1" customWidth="1"/>
    <col min="7699" max="7699" width="7.75" bestFit="1" customWidth="1"/>
    <col min="7700" max="7700" width="8" bestFit="1" customWidth="1"/>
    <col min="7701" max="7701" width="9.875" bestFit="1" customWidth="1"/>
    <col min="7707" max="7707" width="7.625" bestFit="1" customWidth="1"/>
    <col min="7937" max="7937" width="12.875" customWidth="1"/>
    <col min="7939" max="7939" width="9.875" bestFit="1" customWidth="1"/>
    <col min="7940" max="7940" width="9" customWidth="1"/>
    <col min="7945" max="7945" width="7.625" bestFit="1" customWidth="1"/>
    <col min="7946" max="7946" width="7.75" bestFit="1" customWidth="1"/>
    <col min="7947" max="7947" width="8" bestFit="1" customWidth="1"/>
    <col min="7948" max="7948" width="9.875" bestFit="1" customWidth="1"/>
    <col min="7949" max="7949" width="9" customWidth="1"/>
    <col min="7954" max="7954" width="7.625" bestFit="1" customWidth="1"/>
    <col min="7955" max="7955" width="7.75" bestFit="1" customWidth="1"/>
    <col min="7956" max="7956" width="8" bestFit="1" customWidth="1"/>
    <col min="7957" max="7957" width="9.875" bestFit="1" customWidth="1"/>
    <col min="7963" max="7963" width="7.625" bestFit="1" customWidth="1"/>
    <col min="8193" max="8193" width="12.875" customWidth="1"/>
    <col min="8195" max="8195" width="9.875" bestFit="1" customWidth="1"/>
    <col min="8196" max="8196" width="9" customWidth="1"/>
    <col min="8201" max="8201" width="7.625" bestFit="1" customWidth="1"/>
    <col min="8202" max="8202" width="7.75" bestFit="1" customWidth="1"/>
    <col min="8203" max="8203" width="8" bestFit="1" customWidth="1"/>
    <col min="8204" max="8204" width="9.875" bestFit="1" customWidth="1"/>
    <col min="8205" max="8205" width="9" customWidth="1"/>
    <col min="8210" max="8210" width="7.625" bestFit="1" customWidth="1"/>
    <col min="8211" max="8211" width="7.75" bestFit="1" customWidth="1"/>
    <col min="8212" max="8212" width="8" bestFit="1" customWidth="1"/>
    <col min="8213" max="8213" width="9.875" bestFit="1" customWidth="1"/>
    <col min="8219" max="8219" width="7.625" bestFit="1" customWidth="1"/>
    <col min="8449" max="8449" width="12.875" customWidth="1"/>
    <col min="8451" max="8451" width="9.875" bestFit="1" customWidth="1"/>
    <col min="8452" max="8452" width="9" customWidth="1"/>
    <col min="8457" max="8457" width="7.625" bestFit="1" customWidth="1"/>
    <col min="8458" max="8458" width="7.75" bestFit="1" customWidth="1"/>
    <col min="8459" max="8459" width="8" bestFit="1" customWidth="1"/>
    <col min="8460" max="8460" width="9.875" bestFit="1" customWidth="1"/>
    <col min="8461" max="8461" width="9" customWidth="1"/>
    <col min="8466" max="8466" width="7.625" bestFit="1" customWidth="1"/>
    <col min="8467" max="8467" width="7.75" bestFit="1" customWidth="1"/>
    <col min="8468" max="8468" width="8" bestFit="1" customWidth="1"/>
    <col min="8469" max="8469" width="9.875" bestFit="1" customWidth="1"/>
    <col min="8475" max="8475" width="7.625" bestFit="1" customWidth="1"/>
    <col min="8705" max="8705" width="12.875" customWidth="1"/>
    <col min="8707" max="8707" width="9.875" bestFit="1" customWidth="1"/>
    <col min="8708" max="8708" width="9" customWidth="1"/>
    <col min="8713" max="8713" width="7.625" bestFit="1" customWidth="1"/>
    <col min="8714" max="8714" width="7.75" bestFit="1" customWidth="1"/>
    <col min="8715" max="8715" width="8" bestFit="1" customWidth="1"/>
    <col min="8716" max="8716" width="9.875" bestFit="1" customWidth="1"/>
    <col min="8717" max="8717" width="9" customWidth="1"/>
    <col min="8722" max="8722" width="7.625" bestFit="1" customWidth="1"/>
    <col min="8723" max="8723" width="7.75" bestFit="1" customWidth="1"/>
    <col min="8724" max="8724" width="8" bestFit="1" customWidth="1"/>
    <col min="8725" max="8725" width="9.875" bestFit="1" customWidth="1"/>
    <col min="8731" max="8731" width="7.625" bestFit="1" customWidth="1"/>
    <col min="8961" max="8961" width="12.875" customWidth="1"/>
    <col min="8963" max="8963" width="9.875" bestFit="1" customWidth="1"/>
    <col min="8964" max="8964" width="9" customWidth="1"/>
    <col min="8969" max="8969" width="7.625" bestFit="1" customWidth="1"/>
    <col min="8970" max="8970" width="7.75" bestFit="1" customWidth="1"/>
    <col min="8971" max="8971" width="8" bestFit="1" customWidth="1"/>
    <col min="8972" max="8972" width="9.875" bestFit="1" customWidth="1"/>
    <col min="8973" max="8973" width="9" customWidth="1"/>
    <col min="8978" max="8978" width="7.625" bestFit="1" customWidth="1"/>
    <col min="8979" max="8979" width="7.75" bestFit="1" customWidth="1"/>
    <col min="8980" max="8980" width="8" bestFit="1" customWidth="1"/>
    <col min="8981" max="8981" width="9.875" bestFit="1" customWidth="1"/>
    <col min="8987" max="8987" width="7.625" bestFit="1" customWidth="1"/>
    <col min="9217" max="9217" width="12.875" customWidth="1"/>
    <col min="9219" max="9219" width="9.875" bestFit="1" customWidth="1"/>
    <col min="9220" max="9220" width="9" customWidth="1"/>
    <col min="9225" max="9225" width="7.625" bestFit="1" customWidth="1"/>
    <col min="9226" max="9226" width="7.75" bestFit="1" customWidth="1"/>
    <col min="9227" max="9227" width="8" bestFit="1" customWidth="1"/>
    <col min="9228" max="9228" width="9.875" bestFit="1" customWidth="1"/>
    <col min="9229" max="9229" width="9" customWidth="1"/>
    <col min="9234" max="9234" width="7.625" bestFit="1" customWidth="1"/>
    <col min="9235" max="9235" width="7.75" bestFit="1" customWidth="1"/>
    <col min="9236" max="9236" width="8" bestFit="1" customWidth="1"/>
    <col min="9237" max="9237" width="9.875" bestFit="1" customWidth="1"/>
    <col min="9243" max="9243" width="7.625" bestFit="1" customWidth="1"/>
    <col min="9473" max="9473" width="12.875" customWidth="1"/>
    <col min="9475" max="9475" width="9.875" bestFit="1" customWidth="1"/>
    <col min="9476" max="9476" width="9" customWidth="1"/>
    <col min="9481" max="9481" width="7.625" bestFit="1" customWidth="1"/>
    <col min="9482" max="9482" width="7.75" bestFit="1" customWidth="1"/>
    <col min="9483" max="9483" width="8" bestFit="1" customWidth="1"/>
    <col min="9484" max="9484" width="9.875" bestFit="1" customWidth="1"/>
    <col min="9485" max="9485" width="9" customWidth="1"/>
    <col min="9490" max="9490" width="7.625" bestFit="1" customWidth="1"/>
    <col min="9491" max="9491" width="7.75" bestFit="1" customWidth="1"/>
    <col min="9492" max="9492" width="8" bestFit="1" customWidth="1"/>
    <col min="9493" max="9493" width="9.875" bestFit="1" customWidth="1"/>
    <col min="9499" max="9499" width="7.625" bestFit="1" customWidth="1"/>
    <col min="9729" max="9729" width="12.875" customWidth="1"/>
    <col min="9731" max="9731" width="9.875" bestFit="1" customWidth="1"/>
    <col min="9732" max="9732" width="9" customWidth="1"/>
    <col min="9737" max="9737" width="7.625" bestFit="1" customWidth="1"/>
    <col min="9738" max="9738" width="7.75" bestFit="1" customWidth="1"/>
    <col min="9739" max="9739" width="8" bestFit="1" customWidth="1"/>
    <col min="9740" max="9740" width="9.875" bestFit="1" customWidth="1"/>
    <col min="9741" max="9741" width="9" customWidth="1"/>
    <col min="9746" max="9746" width="7.625" bestFit="1" customWidth="1"/>
    <col min="9747" max="9747" width="7.75" bestFit="1" customWidth="1"/>
    <col min="9748" max="9748" width="8" bestFit="1" customWidth="1"/>
    <col min="9749" max="9749" width="9.875" bestFit="1" customWidth="1"/>
    <col min="9755" max="9755" width="7.625" bestFit="1" customWidth="1"/>
    <col min="9985" max="9985" width="12.875" customWidth="1"/>
    <col min="9987" max="9987" width="9.875" bestFit="1" customWidth="1"/>
    <col min="9988" max="9988" width="9" customWidth="1"/>
    <col min="9993" max="9993" width="7.625" bestFit="1" customWidth="1"/>
    <col min="9994" max="9994" width="7.75" bestFit="1" customWidth="1"/>
    <col min="9995" max="9995" width="8" bestFit="1" customWidth="1"/>
    <col min="9996" max="9996" width="9.875" bestFit="1" customWidth="1"/>
    <col min="9997" max="9997" width="9" customWidth="1"/>
    <col min="10002" max="10002" width="7.625" bestFit="1" customWidth="1"/>
    <col min="10003" max="10003" width="7.75" bestFit="1" customWidth="1"/>
    <col min="10004" max="10004" width="8" bestFit="1" customWidth="1"/>
    <col min="10005" max="10005" width="9.875" bestFit="1" customWidth="1"/>
    <col min="10011" max="10011" width="7.625" bestFit="1" customWidth="1"/>
    <col min="10241" max="10241" width="12.875" customWidth="1"/>
    <col min="10243" max="10243" width="9.875" bestFit="1" customWidth="1"/>
    <col min="10244" max="10244" width="9" customWidth="1"/>
    <col min="10249" max="10249" width="7.625" bestFit="1" customWidth="1"/>
    <col min="10250" max="10250" width="7.75" bestFit="1" customWidth="1"/>
    <col min="10251" max="10251" width="8" bestFit="1" customWidth="1"/>
    <col min="10252" max="10252" width="9.875" bestFit="1" customWidth="1"/>
    <col min="10253" max="10253" width="9" customWidth="1"/>
    <col min="10258" max="10258" width="7.625" bestFit="1" customWidth="1"/>
    <col min="10259" max="10259" width="7.75" bestFit="1" customWidth="1"/>
    <col min="10260" max="10260" width="8" bestFit="1" customWidth="1"/>
    <col min="10261" max="10261" width="9.875" bestFit="1" customWidth="1"/>
    <col min="10267" max="10267" width="7.625" bestFit="1" customWidth="1"/>
    <col min="10497" max="10497" width="12.875" customWidth="1"/>
    <col min="10499" max="10499" width="9.875" bestFit="1" customWidth="1"/>
    <col min="10500" max="10500" width="9" customWidth="1"/>
    <col min="10505" max="10505" width="7.625" bestFit="1" customWidth="1"/>
    <col min="10506" max="10506" width="7.75" bestFit="1" customWidth="1"/>
    <col min="10507" max="10507" width="8" bestFit="1" customWidth="1"/>
    <col min="10508" max="10508" width="9.875" bestFit="1" customWidth="1"/>
    <col min="10509" max="10509" width="9" customWidth="1"/>
    <col min="10514" max="10514" width="7.625" bestFit="1" customWidth="1"/>
    <col min="10515" max="10515" width="7.75" bestFit="1" customWidth="1"/>
    <col min="10516" max="10516" width="8" bestFit="1" customWidth="1"/>
    <col min="10517" max="10517" width="9.875" bestFit="1" customWidth="1"/>
    <col min="10523" max="10523" width="7.625" bestFit="1" customWidth="1"/>
    <col min="10753" max="10753" width="12.875" customWidth="1"/>
    <col min="10755" max="10755" width="9.875" bestFit="1" customWidth="1"/>
    <col min="10756" max="10756" width="9" customWidth="1"/>
    <col min="10761" max="10761" width="7.625" bestFit="1" customWidth="1"/>
    <col min="10762" max="10762" width="7.75" bestFit="1" customWidth="1"/>
    <col min="10763" max="10763" width="8" bestFit="1" customWidth="1"/>
    <col min="10764" max="10764" width="9.875" bestFit="1" customWidth="1"/>
    <col min="10765" max="10765" width="9" customWidth="1"/>
    <col min="10770" max="10770" width="7.625" bestFit="1" customWidth="1"/>
    <col min="10771" max="10771" width="7.75" bestFit="1" customWidth="1"/>
    <col min="10772" max="10772" width="8" bestFit="1" customWidth="1"/>
    <col min="10773" max="10773" width="9.875" bestFit="1" customWidth="1"/>
    <col min="10779" max="10779" width="7.625" bestFit="1" customWidth="1"/>
    <col min="11009" max="11009" width="12.875" customWidth="1"/>
    <col min="11011" max="11011" width="9.875" bestFit="1" customWidth="1"/>
    <col min="11012" max="11012" width="9" customWidth="1"/>
    <col min="11017" max="11017" width="7.625" bestFit="1" customWidth="1"/>
    <col min="11018" max="11018" width="7.75" bestFit="1" customWidth="1"/>
    <col min="11019" max="11019" width="8" bestFit="1" customWidth="1"/>
    <col min="11020" max="11020" width="9.875" bestFit="1" customWidth="1"/>
    <col min="11021" max="11021" width="9" customWidth="1"/>
    <col min="11026" max="11026" width="7.625" bestFit="1" customWidth="1"/>
    <col min="11027" max="11027" width="7.75" bestFit="1" customWidth="1"/>
    <col min="11028" max="11028" width="8" bestFit="1" customWidth="1"/>
    <col min="11029" max="11029" width="9.875" bestFit="1" customWidth="1"/>
    <col min="11035" max="11035" width="7.625" bestFit="1" customWidth="1"/>
    <col min="11265" max="11265" width="12.875" customWidth="1"/>
    <col min="11267" max="11267" width="9.875" bestFit="1" customWidth="1"/>
    <col min="11268" max="11268" width="9" customWidth="1"/>
    <col min="11273" max="11273" width="7.625" bestFit="1" customWidth="1"/>
    <col min="11274" max="11274" width="7.75" bestFit="1" customWidth="1"/>
    <col min="11275" max="11275" width="8" bestFit="1" customWidth="1"/>
    <col min="11276" max="11276" width="9.875" bestFit="1" customWidth="1"/>
    <col min="11277" max="11277" width="9" customWidth="1"/>
    <col min="11282" max="11282" width="7.625" bestFit="1" customWidth="1"/>
    <col min="11283" max="11283" width="7.75" bestFit="1" customWidth="1"/>
    <col min="11284" max="11284" width="8" bestFit="1" customWidth="1"/>
    <col min="11285" max="11285" width="9.875" bestFit="1" customWidth="1"/>
    <col min="11291" max="11291" width="7.625" bestFit="1" customWidth="1"/>
    <col min="11521" max="11521" width="12.875" customWidth="1"/>
    <col min="11523" max="11523" width="9.875" bestFit="1" customWidth="1"/>
    <col min="11524" max="11524" width="9" customWidth="1"/>
    <col min="11529" max="11529" width="7.625" bestFit="1" customWidth="1"/>
    <col min="11530" max="11530" width="7.75" bestFit="1" customWidth="1"/>
    <col min="11531" max="11531" width="8" bestFit="1" customWidth="1"/>
    <col min="11532" max="11532" width="9.875" bestFit="1" customWidth="1"/>
    <col min="11533" max="11533" width="9" customWidth="1"/>
    <col min="11538" max="11538" width="7.625" bestFit="1" customWidth="1"/>
    <col min="11539" max="11539" width="7.75" bestFit="1" customWidth="1"/>
    <col min="11540" max="11540" width="8" bestFit="1" customWidth="1"/>
    <col min="11541" max="11541" width="9.875" bestFit="1" customWidth="1"/>
    <col min="11547" max="11547" width="7.625" bestFit="1" customWidth="1"/>
    <col min="11777" max="11777" width="12.875" customWidth="1"/>
    <col min="11779" max="11779" width="9.875" bestFit="1" customWidth="1"/>
    <col min="11780" max="11780" width="9" customWidth="1"/>
    <col min="11785" max="11785" width="7.625" bestFit="1" customWidth="1"/>
    <col min="11786" max="11786" width="7.75" bestFit="1" customWidth="1"/>
    <col min="11787" max="11787" width="8" bestFit="1" customWidth="1"/>
    <col min="11788" max="11788" width="9.875" bestFit="1" customWidth="1"/>
    <col min="11789" max="11789" width="9" customWidth="1"/>
    <col min="11794" max="11794" width="7.625" bestFit="1" customWidth="1"/>
    <col min="11795" max="11795" width="7.75" bestFit="1" customWidth="1"/>
    <col min="11796" max="11796" width="8" bestFit="1" customWidth="1"/>
    <col min="11797" max="11797" width="9.875" bestFit="1" customWidth="1"/>
    <col min="11803" max="11803" width="7.625" bestFit="1" customWidth="1"/>
    <col min="12033" max="12033" width="12.875" customWidth="1"/>
    <col min="12035" max="12035" width="9.875" bestFit="1" customWidth="1"/>
    <col min="12036" max="12036" width="9" customWidth="1"/>
    <col min="12041" max="12041" width="7.625" bestFit="1" customWidth="1"/>
    <col min="12042" max="12042" width="7.75" bestFit="1" customWidth="1"/>
    <col min="12043" max="12043" width="8" bestFit="1" customWidth="1"/>
    <col min="12044" max="12044" width="9.875" bestFit="1" customWidth="1"/>
    <col min="12045" max="12045" width="9" customWidth="1"/>
    <col min="12050" max="12050" width="7.625" bestFit="1" customWidth="1"/>
    <col min="12051" max="12051" width="7.75" bestFit="1" customWidth="1"/>
    <col min="12052" max="12052" width="8" bestFit="1" customWidth="1"/>
    <col min="12053" max="12053" width="9.875" bestFit="1" customWidth="1"/>
    <col min="12059" max="12059" width="7.625" bestFit="1" customWidth="1"/>
    <col min="12289" max="12289" width="12.875" customWidth="1"/>
    <col min="12291" max="12291" width="9.875" bestFit="1" customWidth="1"/>
    <col min="12292" max="12292" width="9" customWidth="1"/>
    <col min="12297" max="12297" width="7.625" bestFit="1" customWidth="1"/>
    <col min="12298" max="12298" width="7.75" bestFit="1" customWidth="1"/>
    <col min="12299" max="12299" width="8" bestFit="1" customWidth="1"/>
    <col min="12300" max="12300" width="9.875" bestFit="1" customWidth="1"/>
    <col min="12301" max="12301" width="9" customWidth="1"/>
    <col min="12306" max="12306" width="7.625" bestFit="1" customWidth="1"/>
    <col min="12307" max="12307" width="7.75" bestFit="1" customWidth="1"/>
    <col min="12308" max="12308" width="8" bestFit="1" customWidth="1"/>
    <col min="12309" max="12309" width="9.875" bestFit="1" customWidth="1"/>
    <col min="12315" max="12315" width="7.625" bestFit="1" customWidth="1"/>
    <col min="12545" max="12545" width="12.875" customWidth="1"/>
    <col min="12547" max="12547" width="9.875" bestFit="1" customWidth="1"/>
    <col min="12548" max="12548" width="9" customWidth="1"/>
    <col min="12553" max="12553" width="7.625" bestFit="1" customWidth="1"/>
    <col min="12554" max="12554" width="7.75" bestFit="1" customWidth="1"/>
    <col min="12555" max="12555" width="8" bestFit="1" customWidth="1"/>
    <col min="12556" max="12556" width="9.875" bestFit="1" customWidth="1"/>
    <col min="12557" max="12557" width="9" customWidth="1"/>
    <col min="12562" max="12562" width="7.625" bestFit="1" customWidth="1"/>
    <col min="12563" max="12563" width="7.75" bestFit="1" customWidth="1"/>
    <col min="12564" max="12564" width="8" bestFit="1" customWidth="1"/>
    <col min="12565" max="12565" width="9.875" bestFit="1" customWidth="1"/>
    <col min="12571" max="12571" width="7.625" bestFit="1" customWidth="1"/>
    <col min="12801" max="12801" width="12.875" customWidth="1"/>
    <col min="12803" max="12803" width="9.875" bestFit="1" customWidth="1"/>
    <col min="12804" max="12804" width="9" customWidth="1"/>
    <col min="12809" max="12809" width="7.625" bestFit="1" customWidth="1"/>
    <col min="12810" max="12810" width="7.75" bestFit="1" customWidth="1"/>
    <col min="12811" max="12811" width="8" bestFit="1" customWidth="1"/>
    <col min="12812" max="12812" width="9.875" bestFit="1" customWidth="1"/>
    <col min="12813" max="12813" width="9" customWidth="1"/>
    <col min="12818" max="12818" width="7.625" bestFit="1" customWidth="1"/>
    <col min="12819" max="12819" width="7.75" bestFit="1" customWidth="1"/>
    <col min="12820" max="12820" width="8" bestFit="1" customWidth="1"/>
    <col min="12821" max="12821" width="9.875" bestFit="1" customWidth="1"/>
    <col min="12827" max="12827" width="7.625" bestFit="1" customWidth="1"/>
    <col min="13057" max="13057" width="12.875" customWidth="1"/>
    <col min="13059" max="13059" width="9.875" bestFit="1" customWidth="1"/>
    <col min="13060" max="13060" width="9" customWidth="1"/>
    <col min="13065" max="13065" width="7.625" bestFit="1" customWidth="1"/>
    <col min="13066" max="13066" width="7.75" bestFit="1" customWidth="1"/>
    <col min="13067" max="13067" width="8" bestFit="1" customWidth="1"/>
    <col min="13068" max="13068" width="9.875" bestFit="1" customWidth="1"/>
    <col min="13069" max="13069" width="9" customWidth="1"/>
    <col min="13074" max="13074" width="7.625" bestFit="1" customWidth="1"/>
    <col min="13075" max="13075" width="7.75" bestFit="1" customWidth="1"/>
    <col min="13076" max="13076" width="8" bestFit="1" customWidth="1"/>
    <col min="13077" max="13077" width="9.875" bestFit="1" customWidth="1"/>
    <col min="13083" max="13083" width="7.625" bestFit="1" customWidth="1"/>
    <col min="13313" max="13313" width="12.875" customWidth="1"/>
    <col min="13315" max="13315" width="9.875" bestFit="1" customWidth="1"/>
    <col min="13316" max="13316" width="9" customWidth="1"/>
    <col min="13321" max="13321" width="7.625" bestFit="1" customWidth="1"/>
    <col min="13322" max="13322" width="7.75" bestFit="1" customWidth="1"/>
    <col min="13323" max="13323" width="8" bestFit="1" customWidth="1"/>
    <col min="13324" max="13324" width="9.875" bestFit="1" customWidth="1"/>
    <col min="13325" max="13325" width="9" customWidth="1"/>
    <col min="13330" max="13330" width="7.625" bestFit="1" customWidth="1"/>
    <col min="13331" max="13331" width="7.75" bestFit="1" customWidth="1"/>
    <col min="13332" max="13332" width="8" bestFit="1" customWidth="1"/>
    <col min="13333" max="13333" width="9.875" bestFit="1" customWidth="1"/>
    <col min="13339" max="13339" width="7.625" bestFit="1" customWidth="1"/>
    <col min="13569" max="13569" width="12.875" customWidth="1"/>
    <col min="13571" max="13571" width="9.875" bestFit="1" customWidth="1"/>
    <col min="13572" max="13572" width="9" customWidth="1"/>
    <col min="13577" max="13577" width="7.625" bestFit="1" customWidth="1"/>
    <col min="13578" max="13578" width="7.75" bestFit="1" customWidth="1"/>
    <col min="13579" max="13579" width="8" bestFit="1" customWidth="1"/>
    <col min="13580" max="13580" width="9.875" bestFit="1" customWidth="1"/>
    <col min="13581" max="13581" width="9" customWidth="1"/>
    <col min="13586" max="13586" width="7.625" bestFit="1" customWidth="1"/>
    <col min="13587" max="13587" width="7.75" bestFit="1" customWidth="1"/>
    <col min="13588" max="13588" width="8" bestFit="1" customWidth="1"/>
    <col min="13589" max="13589" width="9.875" bestFit="1" customWidth="1"/>
    <col min="13595" max="13595" width="7.625" bestFit="1" customWidth="1"/>
    <col min="13825" max="13825" width="12.875" customWidth="1"/>
    <col min="13827" max="13827" width="9.875" bestFit="1" customWidth="1"/>
    <col min="13828" max="13828" width="9" customWidth="1"/>
    <col min="13833" max="13833" width="7.625" bestFit="1" customWidth="1"/>
    <col min="13834" max="13834" width="7.75" bestFit="1" customWidth="1"/>
    <col min="13835" max="13835" width="8" bestFit="1" customWidth="1"/>
    <col min="13836" max="13836" width="9.875" bestFit="1" customWidth="1"/>
    <col min="13837" max="13837" width="9" customWidth="1"/>
    <col min="13842" max="13842" width="7.625" bestFit="1" customWidth="1"/>
    <col min="13843" max="13843" width="7.75" bestFit="1" customWidth="1"/>
    <col min="13844" max="13844" width="8" bestFit="1" customWidth="1"/>
    <col min="13845" max="13845" width="9.875" bestFit="1" customWidth="1"/>
    <col min="13851" max="13851" width="7.625" bestFit="1" customWidth="1"/>
    <col min="14081" max="14081" width="12.875" customWidth="1"/>
    <col min="14083" max="14083" width="9.875" bestFit="1" customWidth="1"/>
    <col min="14084" max="14084" width="9" customWidth="1"/>
    <col min="14089" max="14089" width="7.625" bestFit="1" customWidth="1"/>
    <col min="14090" max="14090" width="7.75" bestFit="1" customWidth="1"/>
    <col min="14091" max="14091" width="8" bestFit="1" customWidth="1"/>
    <col min="14092" max="14092" width="9.875" bestFit="1" customWidth="1"/>
    <col min="14093" max="14093" width="9" customWidth="1"/>
    <col min="14098" max="14098" width="7.625" bestFit="1" customWidth="1"/>
    <col min="14099" max="14099" width="7.75" bestFit="1" customWidth="1"/>
    <col min="14100" max="14100" width="8" bestFit="1" customWidth="1"/>
    <col min="14101" max="14101" width="9.875" bestFit="1" customWidth="1"/>
    <col min="14107" max="14107" width="7.625" bestFit="1" customWidth="1"/>
    <col min="14337" max="14337" width="12.875" customWidth="1"/>
    <col min="14339" max="14339" width="9.875" bestFit="1" customWidth="1"/>
    <col min="14340" max="14340" width="9" customWidth="1"/>
    <col min="14345" max="14345" width="7.625" bestFit="1" customWidth="1"/>
    <col min="14346" max="14346" width="7.75" bestFit="1" customWidth="1"/>
    <col min="14347" max="14347" width="8" bestFit="1" customWidth="1"/>
    <col min="14348" max="14348" width="9.875" bestFit="1" customWidth="1"/>
    <col min="14349" max="14349" width="9" customWidth="1"/>
    <col min="14354" max="14354" width="7.625" bestFit="1" customWidth="1"/>
    <col min="14355" max="14355" width="7.75" bestFit="1" customWidth="1"/>
    <col min="14356" max="14356" width="8" bestFit="1" customWidth="1"/>
    <col min="14357" max="14357" width="9.875" bestFit="1" customWidth="1"/>
    <col min="14363" max="14363" width="7.625" bestFit="1" customWidth="1"/>
    <col min="14593" max="14593" width="12.875" customWidth="1"/>
    <col min="14595" max="14595" width="9.875" bestFit="1" customWidth="1"/>
    <col min="14596" max="14596" width="9" customWidth="1"/>
    <col min="14601" max="14601" width="7.625" bestFit="1" customWidth="1"/>
    <col min="14602" max="14602" width="7.75" bestFit="1" customWidth="1"/>
    <col min="14603" max="14603" width="8" bestFit="1" customWidth="1"/>
    <col min="14604" max="14604" width="9.875" bestFit="1" customWidth="1"/>
    <col min="14605" max="14605" width="9" customWidth="1"/>
    <col min="14610" max="14610" width="7.625" bestFit="1" customWidth="1"/>
    <col min="14611" max="14611" width="7.75" bestFit="1" customWidth="1"/>
    <col min="14612" max="14612" width="8" bestFit="1" customWidth="1"/>
    <col min="14613" max="14613" width="9.875" bestFit="1" customWidth="1"/>
    <col min="14619" max="14619" width="7.625" bestFit="1" customWidth="1"/>
    <col min="14849" max="14849" width="12.875" customWidth="1"/>
    <col min="14851" max="14851" width="9.875" bestFit="1" customWidth="1"/>
    <col min="14852" max="14852" width="9" customWidth="1"/>
    <col min="14857" max="14857" width="7.625" bestFit="1" customWidth="1"/>
    <col min="14858" max="14858" width="7.75" bestFit="1" customWidth="1"/>
    <col min="14859" max="14859" width="8" bestFit="1" customWidth="1"/>
    <col min="14860" max="14860" width="9.875" bestFit="1" customWidth="1"/>
    <col min="14861" max="14861" width="9" customWidth="1"/>
    <col min="14866" max="14866" width="7.625" bestFit="1" customWidth="1"/>
    <col min="14867" max="14867" width="7.75" bestFit="1" customWidth="1"/>
    <col min="14868" max="14868" width="8" bestFit="1" customWidth="1"/>
    <col min="14869" max="14869" width="9.875" bestFit="1" customWidth="1"/>
    <col min="14875" max="14875" width="7.625" bestFit="1" customWidth="1"/>
    <col min="15105" max="15105" width="12.875" customWidth="1"/>
    <col min="15107" max="15107" width="9.875" bestFit="1" customWidth="1"/>
    <col min="15108" max="15108" width="9" customWidth="1"/>
    <col min="15113" max="15113" width="7.625" bestFit="1" customWidth="1"/>
    <col min="15114" max="15114" width="7.75" bestFit="1" customWidth="1"/>
    <col min="15115" max="15115" width="8" bestFit="1" customWidth="1"/>
    <col min="15116" max="15116" width="9.875" bestFit="1" customWidth="1"/>
    <col min="15117" max="15117" width="9" customWidth="1"/>
    <col min="15122" max="15122" width="7.625" bestFit="1" customWidth="1"/>
    <col min="15123" max="15123" width="7.75" bestFit="1" customWidth="1"/>
    <col min="15124" max="15124" width="8" bestFit="1" customWidth="1"/>
    <col min="15125" max="15125" width="9.875" bestFit="1" customWidth="1"/>
    <col min="15131" max="15131" width="7.625" bestFit="1" customWidth="1"/>
    <col min="15361" max="15361" width="12.875" customWidth="1"/>
    <col min="15363" max="15363" width="9.875" bestFit="1" customWidth="1"/>
    <col min="15364" max="15364" width="9" customWidth="1"/>
    <col min="15369" max="15369" width="7.625" bestFit="1" customWidth="1"/>
    <col min="15370" max="15370" width="7.75" bestFit="1" customWidth="1"/>
    <col min="15371" max="15371" width="8" bestFit="1" customWidth="1"/>
    <col min="15372" max="15372" width="9.875" bestFit="1" customWidth="1"/>
    <col min="15373" max="15373" width="9" customWidth="1"/>
    <col min="15378" max="15378" width="7.625" bestFit="1" customWidth="1"/>
    <col min="15379" max="15379" width="7.75" bestFit="1" customWidth="1"/>
    <col min="15380" max="15380" width="8" bestFit="1" customWidth="1"/>
    <col min="15381" max="15381" width="9.875" bestFit="1" customWidth="1"/>
    <col min="15387" max="15387" width="7.625" bestFit="1" customWidth="1"/>
    <col min="15617" max="15617" width="12.875" customWidth="1"/>
    <col min="15619" max="15619" width="9.875" bestFit="1" customWidth="1"/>
    <col min="15620" max="15620" width="9" customWidth="1"/>
    <col min="15625" max="15625" width="7.625" bestFit="1" customWidth="1"/>
    <col min="15626" max="15626" width="7.75" bestFit="1" customWidth="1"/>
    <col min="15627" max="15627" width="8" bestFit="1" customWidth="1"/>
    <col min="15628" max="15628" width="9.875" bestFit="1" customWidth="1"/>
    <col min="15629" max="15629" width="9" customWidth="1"/>
    <col min="15634" max="15634" width="7.625" bestFit="1" customWidth="1"/>
    <col min="15635" max="15635" width="7.75" bestFit="1" customWidth="1"/>
    <col min="15636" max="15636" width="8" bestFit="1" customWidth="1"/>
    <col min="15637" max="15637" width="9.875" bestFit="1" customWidth="1"/>
    <col min="15643" max="15643" width="7.625" bestFit="1" customWidth="1"/>
    <col min="15873" max="15873" width="12.875" customWidth="1"/>
    <col min="15875" max="15875" width="9.875" bestFit="1" customWidth="1"/>
    <col min="15876" max="15876" width="9" customWidth="1"/>
    <col min="15881" max="15881" width="7.625" bestFit="1" customWidth="1"/>
    <col min="15882" max="15882" width="7.75" bestFit="1" customWidth="1"/>
    <col min="15883" max="15883" width="8" bestFit="1" customWidth="1"/>
    <col min="15884" max="15884" width="9.875" bestFit="1" customWidth="1"/>
    <col min="15885" max="15885" width="9" customWidth="1"/>
    <col min="15890" max="15890" width="7.625" bestFit="1" customWidth="1"/>
    <col min="15891" max="15891" width="7.75" bestFit="1" customWidth="1"/>
    <col min="15892" max="15892" width="8" bestFit="1" customWidth="1"/>
    <col min="15893" max="15893" width="9.875" bestFit="1" customWidth="1"/>
    <col min="15899" max="15899" width="7.625" bestFit="1" customWidth="1"/>
    <col min="16129" max="16129" width="12.875" customWidth="1"/>
    <col min="16131" max="16131" width="9.875" bestFit="1" customWidth="1"/>
    <col min="16132" max="16132" width="9" customWidth="1"/>
    <col min="16137" max="16137" width="7.625" bestFit="1" customWidth="1"/>
    <col min="16138" max="16138" width="7.75" bestFit="1" customWidth="1"/>
    <col min="16139" max="16139" width="8" bestFit="1" customWidth="1"/>
    <col min="16140" max="16140" width="9.875" bestFit="1" customWidth="1"/>
    <col min="16141" max="16141" width="9" customWidth="1"/>
    <col min="16146" max="16146" width="7.625" bestFit="1" customWidth="1"/>
    <col min="16147" max="16147" width="7.75" bestFit="1" customWidth="1"/>
    <col min="16148" max="16148" width="8" bestFit="1" customWidth="1"/>
    <col min="16149" max="16149" width="9.875" bestFit="1" customWidth="1"/>
    <col min="16155" max="16155" width="7.625" bestFit="1" customWidth="1"/>
  </cols>
  <sheetData>
    <row r="1" spans="1:99" s="2" customFormat="1" ht="35.25">
      <c r="A1" s="1" t="s">
        <v>110</v>
      </c>
      <c r="B1" s="94" t="s">
        <v>111</v>
      </c>
      <c r="C1" s="94"/>
      <c r="D1" s="94"/>
      <c r="E1" s="94"/>
      <c r="F1" s="94"/>
      <c r="G1" s="94"/>
      <c r="H1" s="94"/>
      <c r="I1" s="94"/>
      <c r="J1" s="94"/>
      <c r="K1" s="94"/>
    </row>
    <row r="2" spans="1:99" ht="14.25">
      <c r="A2" s="3" t="s">
        <v>23</v>
      </c>
      <c r="B2" s="79" t="s">
        <v>24</v>
      </c>
      <c r="C2" s="80"/>
      <c r="D2" s="80"/>
      <c r="E2" s="80"/>
      <c r="F2" s="80"/>
      <c r="G2" s="80"/>
      <c r="H2" s="80"/>
      <c r="I2" s="80"/>
      <c r="J2" s="80"/>
      <c r="K2" s="1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99" ht="14.25">
      <c r="A3" s="3" t="s">
        <v>0</v>
      </c>
      <c r="B3" s="79" t="s">
        <v>25</v>
      </c>
      <c r="C3" s="80"/>
      <c r="D3" s="80"/>
      <c r="E3" s="80"/>
      <c r="F3" s="80"/>
      <c r="G3" s="80"/>
      <c r="H3" s="80"/>
      <c r="I3" s="80"/>
      <c r="J3" s="80"/>
      <c r="K3" s="1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99" ht="14.25" customHeight="1">
      <c r="A4" s="19" t="s">
        <v>167</v>
      </c>
      <c r="B4" s="5" t="s">
        <v>26</v>
      </c>
      <c r="C4" s="5" t="s">
        <v>27</v>
      </c>
      <c r="D4" s="5" t="s">
        <v>28</v>
      </c>
      <c r="E4" s="5" t="s">
        <v>56</v>
      </c>
      <c r="F4" s="5" t="s">
        <v>57</v>
      </c>
      <c r="G4" s="21" t="s">
        <v>3</v>
      </c>
      <c r="H4" s="41" t="s">
        <v>4</v>
      </c>
      <c r="I4" s="81" t="s">
        <v>29</v>
      </c>
      <c r="J4" s="19" t="s">
        <v>167</v>
      </c>
      <c r="K4" s="5" t="s">
        <v>26</v>
      </c>
      <c r="L4" s="5" t="s">
        <v>27</v>
      </c>
      <c r="M4" s="5" t="s">
        <v>28</v>
      </c>
      <c r="N4" s="5" t="s">
        <v>56</v>
      </c>
      <c r="O4" s="5" t="s">
        <v>57</v>
      </c>
      <c r="P4" s="21" t="s">
        <v>3</v>
      </c>
      <c r="Q4" s="41" t="s">
        <v>4</v>
      </c>
      <c r="R4" s="81" t="s">
        <v>29</v>
      </c>
      <c r="S4" s="19" t="s">
        <v>167</v>
      </c>
      <c r="T4" s="5" t="s">
        <v>26</v>
      </c>
      <c r="U4" s="5" t="s">
        <v>27</v>
      </c>
      <c r="V4" s="5" t="s">
        <v>28</v>
      </c>
      <c r="W4" s="5" t="s">
        <v>56</v>
      </c>
      <c r="X4" s="5" t="s">
        <v>57</v>
      </c>
      <c r="Y4" s="21" t="s">
        <v>3</v>
      </c>
      <c r="Z4" s="41" t="s">
        <v>4</v>
      </c>
      <c r="AA4" s="81" t="s">
        <v>29</v>
      </c>
      <c r="AB4" s="19" t="s">
        <v>167</v>
      </c>
      <c r="AC4" s="20" t="s">
        <v>26</v>
      </c>
      <c r="AD4" s="20" t="s">
        <v>27</v>
      </c>
      <c r="AE4" s="20" t="s">
        <v>28</v>
      </c>
      <c r="AF4" s="20" t="s">
        <v>56</v>
      </c>
      <c r="AG4" s="20" t="s">
        <v>57</v>
      </c>
      <c r="AH4" s="21" t="s">
        <v>3</v>
      </c>
      <c r="AI4" s="41" t="s">
        <v>4</v>
      </c>
      <c r="AJ4" s="81" t="s">
        <v>29</v>
      </c>
      <c r="AK4" s="19" t="s">
        <v>167</v>
      </c>
      <c r="AL4" s="20" t="s">
        <v>26</v>
      </c>
      <c r="AM4" s="20" t="s">
        <v>27</v>
      </c>
      <c r="AN4" s="20" t="s">
        <v>28</v>
      </c>
      <c r="AO4" s="20" t="s">
        <v>56</v>
      </c>
      <c r="AP4" s="20" t="s">
        <v>57</v>
      </c>
      <c r="AQ4" s="21" t="s">
        <v>3</v>
      </c>
      <c r="AR4" s="41" t="s">
        <v>4</v>
      </c>
      <c r="AS4" s="86" t="s">
        <v>29</v>
      </c>
      <c r="AT4" s="19" t="s">
        <v>167</v>
      </c>
      <c r="AU4" s="20" t="s">
        <v>26</v>
      </c>
      <c r="AV4" s="20" t="s">
        <v>27</v>
      </c>
      <c r="AW4" s="20" t="s">
        <v>28</v>
      </c>
      <c r="AX4" s="20" t="s">
        <v>56</v>
      </c>
      <c r="AY4" s="20" t="s">
        <v>57</v>
      </c>
      <c r="AZ4" s="21" t="s">
        <v>3</v>
      </c>
      <c r="BA4" s="41" t="s">
        <v>4</v>
      </c>
      <c r="BB4" s="81" t="s">
        <v>29</v>
      </c>
      <c r="BC4" s="19" t="s">
        <v>167</v>
      </c>
      <c r="BD4" s="20" t="s">
        <v>26</v>
      </c>
      <c r="BE4" s="20" t="s">
        <v>27</v>
      </c>
      <c r="BF4" s="20" t="s">
        <v>28</v>
      </c>
      <c r="BG4" s="20" t="s">
        <v>56</v>
      </c>
      <c r="BH4" s="20" t="s">
        <v>57</v>
      </c>
      <c r="BI4" s="21" t="s">
        <v>3</v>
      </c>
      <c r="BJ4" s="41" t="s">
        <v>4</v>
      </c>
      <c r="BK4" s="86" t="s">
        <v>29</v>
      </c>
      <c r="BL4" s="19" t="s">
        <v>167</v>
      </c>
      <c r="BM4" s="5" t="s">
        <v>26</v>
      </c>
      <c r="BN4" s="5" t="s">
        <v>27</v>
      </c>
      <c r="BO4" s="5" t="s">
        <v>28</v>
      </c>
      <c r="BP4" s="5" t="s">
        <v>56</v>
      </c>
      <c r="BQ4" s="5" t="s">
        <v>57</v>
      </c>
      <c r="BR4" s="21" t="s">
        <v>3</v>
      </c>
      <c r="BS4" s="41" t="s">
        <v>4</v>
      </c>
      <c r="BT4" s="81" t="s">
        <v>29</v>
      </c>
      <c r="BU4" s="19" t="s">
        <v>167</v>
      </c>
      <c r="BV4" s="20" t="s">
        <v>26</v>
      </c>
      <c r="BW4" s="20" t="s">
        <v>27</v>
      </c>
      <c r="BX4" s="20" t="s">
        <v>28</v>
      </c>
      <c r="BY4" s="20" t="s">
        <v>56</v>
      </c>
      <c r="BZ4" s="20" t="s">
        <v>57</v>
      </c>
      <c r="CA4" s="21" t="s">
        <v>3</v>
      </c>
      <c r="CB4" s="41" t="s">
        <v>4</v>
      </c>
      <c r="CC4" s="86" t="s">
        <v>29</v>
      </c>
      <c r="CD4" s="19" t="s">
        <v>167</v>
      </c>
      <c r="CE4" s="5" t="s">
        <v>26</v>
      </c>
      <c r="CF4" s="5" t="s">
        <v>27</v>
      </c>
      <c r="CG4" s="5" t="s">
        <v>28</v>
      </c>
      <c r="CH4" s="5" t="s">
        <v>56</v>
      </c>
      <c r="CI4" s="5" t="s">
        <v>57</v>
      </c>
      <c r="CJ4" s="21" t="s">
        <v>3</v>
      </c>
      <c r="CK4" s="41" t="s">
        <v>4</v>
      </c>
      <c r="CL4" s="81" t="s">
        <v>29</v>
      </c>
      <c r="CM4" s="19" t="s">
        <v>167</v>
      </c>
      <c r="CN4" s="20" t="s">
        <v>26</v>
      </c>
      <c r="CO4" s="20" t="s">
        <v>27</v>
      </c>
      <c r="CP4" s="20" t="s">
        <v>28</v>
      </c>
      <c r="CQ4" s="20" t="s">
        <v>56</v>
      </c>
      <c r="CR4" s="20" t="s">
        <v>57</v>
      </c>
      <c r="CS4" s="21" t="s">
        <v>3</v>
      </c>
      <c r="CT4" s="41" t="s">
        <v>4</v>
      </c>
      <c r="CU4" s="86" t="s">
        <v>29</v>
      </c>
    </row>
    <row r="5" spans="1:99" ht="15">
      <c r="A5" s="7" t="s">
        <v>30</v>
      </c>
      <c r="B5" s="8">
        <v>27225</v>
      </c>
      <c r="C5" s="8">
        <v>704.5</v>
      </c>
      <c r="D5" s="4">
        <v>3</v>
      </c>
      <c r="E5" s="8" t="s">
        <v>10</v>
      </c>
      <c r="F5" s="50">
        <v>1</v>
      </c>
      <c r="G5" s="24" t="s">
        <v>15</v>
      </c>
      <c r="H5" s="25" t="s">
        <v>6</v>
      </c>
      <c r="I5" s="82"/>
      <c r="J5" s="7" t="s">
        <v>117</v>
      </c>
      <c r="K5" s="8">
        <v>27495</v>
      </c>
      <c r="L5" s="8">
        <v>731.5</v>
      </c>
      <c r="M5" s="4">
        <v>3</v>
      </c>
      <c r="N5" s="8" t="s">
        <v>10</v>
      </c>
      <c r="O5" s="50">
        <v>1</v>
      </c>
      <c r="P5" s="24" t="s">
        <v>31</v>
      </c>
      <c r="Q5" s="25" t="s">
        <v>6</v>
      </c>
      <c r="R5" s="82"/>
      <c r="S5" s="7" t="s">
        <v>30</v>
      </c>
      <c r="T5" s="8">
        <v>27235</v>
      </c>
      <c r="U5" s="8">
        <v>705.5</v>
      </c>
      <c r="V5" s="4">
        <v>5</v>
      </c>
      <c r="W5" s="8" t="s">
        <v>10</v>
      </c>
      <c r="X5" s="50">
        <v>1</v>
      </c>
      <c r="Y5" s="24" t="s">
        <v>15</v>
      </c>
      <c r="Z5" s="25" t="s">
        <v>6</v>
      </c>
      <c r="AA5" s="82"/>
      <c r="AB5" s="22" t="s">
        <v>32</v>
      </c>
      <c r="AC5" s="28">
        <v>27360</v>
      </c>
      <c r="AD5" s="28">
        <v>718</v>
      </c>
      <c r="AE5" s="23">
        <v>5</v>
      </c>
      <c r="AF5" s="28" t="s">
        <v>10</v>
      </c>
      <c r="AG5" s="29">
        <v>1</v>
      </c>
      <c r="AH5" s="24" t="s">
        <v>15</v>
      </c>
      <c r="AI5" s="25" t="s">
        <v>7</v>
      </c>
      <c r="AJ5" s="82"/>
      <c r="AK5" s="27" t="s">
        <v>31</v>
      </c>
      <c r="AL5" s="28">
        <v>27485</v>
      </c>
      <c r="AM5" s="28">
        <v>730.5</v>
      </c>
      <c r="AN5" s="23">
        <v>5</v>
      </c>
      <c r="AO5" s="28" t="s">
        <v>10</v>
      </c>
      <c r="AP5" s="29">
        <v>1</v>
      </c>
      <c r="AQ5" s="24" t="s">
        <v>31</v>
      </c>
      <c r="AR5" s="25" t="s">
        <v>7</v>
      </c>
      <c r="AS5" s="86"/>
      <c r="AT5" s="27" t="s">
        <v>30</v>
      </c>
      <c r="AU5" s="28">
        <v>27235</v>
      </c>
      <c r="AV5" s="28">
        <v>705.5</v>
      </c>
      <c r="AW5" s="23">
        <v>5</v>
      </c>
      <c r="AX5" s="28" t="s">
        <v>10</v>
      </c>
      <c r="AY5" s="29">
        <v>25</v>
      </c>
      <c r="AZ5" s="24" t="s">
        <v>30</v>
      </c>
      <c r="BA5" s="25" t="s">
        <v>6</v>
      </c>
      <c r="BB5" s="82"/>
      <c r="BC5" s="27" t="s">
        <v>31</v>
      </c>
      <c r="BD5" s="28">
        <v>27485</v>
      </c>
      <c r="BE5" s="28">
        <v>730.5</v>
      </c>
      <c r="BF5" s="23">
        <v>5</v>
      </c>
      <c r="BG5" s="28" t="s">
        <v>10</v>
      </c>
      <c r="BH5" s="29">
        <v>25</v>
      </c>
      <c r="BI5" s="24" t="s">
        <v>31</v>
      </c>
      <c r="BJ5" s="25" t="s">
        <v>7</v>
      </c>
      <c r="BK5" s="86"/>
      <c r="BL5" s="7" t="s">
        <v>30</v>
      </c>
      <c r="BM5" s="8">
        <v>27310</v>
      </c>
      <c r="BN5" s="8">
        <v>713</v>
      </c>
      <c r="BO5" s="4">
        <v>20</v>
      </c>
      <c r="BP5" s="8" t="s">
        <v>10</v>
      </c>
      <c r="BQ5" s="50">
        <v>1</v>
      </c>
      <c r="BR5" s="24" t="s">
        <v>15</v>
      </c>
      <c r="BS5" s="25" t="s">
        <v>6</v>
      </c>
      <c r="BT5" s="82"/>
      <c r="BU5" s="27" t="s">
        <v>31</v>
      </c>
      <c r="BV5" s="28">
        <v>27410</v>
      </c>
      <c r="BW5" s="28">
        <v>723</v>
      </c>
      <c r="BX5" s="23">
        <v>20</v>
      </c>
      <c r="BY5" s="28" t="s">
        <v>10</v>
      </c>
      <c r="BZ5" s="29">
        <v>1</v>
      </c>
      <c r="CA5" s="24" t="s">
        <v>31</v>
      </c>
      <c r="CB5" s="25" t="s">
        <v>7</v>
      </c>
      <c r="CC5" s="86"/>
      <c r="CD5" s="7" t="s">
        <v>30</v>
      </c>
      <c r="CE5" s="8">
        <v>27310</v>
      </c>
      <c r="CF5" s="8">
        <v>713</v>
      </c>
      <c r="CG5" s="4">
        <v>20</v>
      </c>
      <c r="CH5" s="8" t="s">
        <v>10</v>
      </c>
      <c r="CI5" s="50">
        <v>100</v>
      </c>
      <c r="CJ5" s="24" t="s">
        <v>30</v>
      </c>
      <c r="CK5" s="25" t="s">
        <v>6</v>
      </c>
      <c r="CL5" s="82"/>
      <c r="CM5" s="27" t="s">
        <v>31</v>
      </c>
      <c r="CN5" s="28">
        <v>27410</v>
      </c>
      <c r="CO5" s="28">
        <v>723</v>
      </c>
      <c r="CP5" s="23">
        <v>20</v>
      </c>
      <c r="CQ5" s="28" t="s">
        <v>10</v>
      </c>
      <c r="CR5" s="29">
        <v>100</v>
      </c>
      <c r="CS5" s="24" t="s">
        <v>30</v>
      </c>
      <c r="CT5" s="25" t="s">
        <v>7</v>
      </c>
      <c r="CU5" s="86"/>
    </row>
    <row r="6" spans="1:99" ht="14.25">
      <c r="A6" s="83" t="s">
        <v>16</v>
      </c>
      <c r="B6" s="84"/>
      <c r="C6" s="6" t="s">
        <v>17</v>
      </c>
      <c r="D6" s="6" t="s">
        <v>33</v>
      </c>
      <c r="E6" s="83" t="s">
        <v>34</v>
      </c>
      <c r="F6" s="85"/>
      <c r="G6" s="84"/>
      <c r="H6" s="26" t="s">
        <v>5</v>
      </c>
      <c r="I6" s="2"/>
      <c r="J6" s="83" t="s">
        <v>16</v>
      </c>
      <c r="K6" s="84"/>
      <c r="L6" s="6" t="s">
        <v>17</v>
      </c>
      <c r="M6" s="6" t="s">
        <v>33</v>
      </c>
      <c r="N6" s="83" t="s">
        <v>34</v>
      </c>
      <c r="O6" s="85"/>
      <c r="P6" s="84"/>
      <c r="Q6" s="26" t="s">
        <v>5</v>
      </c>
      <c r="R6" s="2"/>
      <c r="S6" s="83" t="s">
        <v>16</v>
      </c>
      <c r="T6" s="84"/>
      <c r="U6" s="6" t="s">
        <v>17</v>
      </c>
      <c r="V6" s="6" t="s">
        <v>33</v>
      </c>
      <c r="W6" s="83" t="s">
        <v>34</v>
      </c>
      <c r="X6" s="85"/>
      <c r="Y6" s="84"/>
      <c r="Z6" s="26" t="s">
        <v>5</v>
      </c>
      <c r="AA6" s="2"/>
      <c r="AB6" s="83" t="s">
        <v>16</v>
      </c>
      <c r="AC6" s="84"/>
      <c r="AD6" s="18" t="s">
        <v>17</v>
      </c>
      <c r="AE6" s="18" t="s">
        <v>33</v>
      </c>
      <c r="AF6" s="83" t="s">
        <v>34</v>
      </c>
      <c r="AG6" s="85"/>
      <c r="AH6" s="84"/>
      <c r="AI6" s="26" t="s">
        <v>5</v>
      </c>
      <c r="AJ6" s="19"/>
      <c r="AK6" s="83" t="s">
        <v>16</v>
      </c>
      <c r="AL6" s="84"/>
      <c r="AM6" s="18" t="s">
        <v>17</v>
      </c>
      <c r="AN6" s="18" t="s">
        <v>33</v>
      </c>
      <c r="AO6" s="83" t="s">
        <v>34</v>
      </c>
      <c r="AP6" s="85"/>
      <c r="AQ6" s="84"/>
      <c r="AR6" s="26" t="s">
        <v>5</v>
      </c>
      <c r="AS6" s="19"/>
      <c r="AT6" s="83" t="s">
        <v>16</v>
      </c>
      <c r="AU6" s="84"/>
      <c r="AV6" s="18" t="s">
        <v>17</v>
      </c>
      <c r="AW6" s="18" t="s">
        <v>33</v>
      </c>
      <c r="AX6" s="83" t="s">
        <v>34</v>
      </c>
      <c r="AY6" s="85"/>
      <c r="AZ6" s="84"/>
      <c r="BA6" s="26" t="s">
        <v>5</v>
      </c>
      <c r="BB6" s="19"/>
      <c r="BC6" s="83" t="s">
        <v>16</v>
      </c>
      <c r="BD6" s="84"/>
      <c r="BE6" s="18" t="s">
        <v>17</v>
      </c>
      <c r="BF6" s="18" t="s">
        <v>33</v>
      </c>
      <c r="BG6" s="83" t="s">
        <v>34</v>
      </c>
      <c r="BH6" s="85"/>
      <c r="BI6" s="84"/>
      <c r="BJ6" s="26" t="s">
        <v>5</v>
      </c>
      <c r="BK6" s="19"/>
      <c r="BL6" s="83" t="s">
        <v>16</v>
      </c>
      <c r="BM6" s="84"/>
      <c r="BN6" s="6" t="s">
        <v>17</v>
      </c>
      <c r="BO6" s="6" t="s">
        <v>33</v>
      </c>
      <c r="BP6" s="83" t="s">
        <v>34</v>
      </c>
      <c r="BQ6" s="85"/>
      <c r="BR6" s="84"/>
      <c r="BS6" s="26" t="s">
        <v>5</v>
      </c>
      <c r="BT6" s="2"/>
      <c r="BU6" s="83" t="s">
        <v>16</v>
      </c>
      <c r="BV6" s="84"/>
      <c r="BW6" s="18" t="s">
        <v>17</v>
      </c>
      <c r="BX6" s="18" t="s">
        <v>33</v>
      </c>
      <c r="BY6" s="83" t="s">
        <v>34</v>
      </c>
      <c r="BZ6" s="85"/>
      <c r="CA6" s="84"/>
      <c r="CB6" s="26" t="s">
        <v>5</v>
      </c>
      <c r="CC6" s="19"/>
      <c r="CD6" s="83" t="s">
        <v>16</v>
      </c>
      <c r="CE6" s="84"/>
      <c r="CF6" s="6" t="s">
        <v>17</v>
      </c>
      <c r="CG6" s="6" t="s">
        <v>33</v>
      </c>
      <c r="CH6" s="83" t="s">
        <v>34</v>
      </c>
      <c r="CI6" s="85"/>
      <c r="CJ6" s="84"/>
      <c r="CK6" s="26" t="s">
        <v>5</v>
      </c>
      <c r="CL6" s="2"/>
      <c r="CM6" s="83" t="s">
        <v>16</v>
      </c>
      <c r="CN6" s="84"/>
      <c r="CO6" s="18" t="s">
        <v>17</v>
      </c>
      <c r="CP6" s="18" t="s">
        <v>33</v>
      </c>
      <c r="CQ6" s="83" t="s">
        <v>34</v>
      </c>
      <c r="CR6" s="85"/>
      <c r="CS6" s="84"/>
      <c r="CT6" s="26" t="s">
        <v>5</v>
      </c>
      <c r="CU6" s="19"/>
    </row>
    <row r="7" spans="1:99" ht="15">
      <c r="A7" s="54">
        <f>((C5-INT((D5*5)/2)*0.18)-0.2)*2</f>
        <v>1406.08</v>
      </c>
      <c r="B7" s="54">
        <f>((C5-INT((D5*5)/2)*0.18)+0.2)*2</f>
        <v>1406.88</v>
      </c>
      <c r="C7" s="10" t="s">
        <v>9</v>
      </c>
      <c r="D7" s="10" t="s">
        <v>9</v>
      </c>
      <c r="E7" s="87" t="s">
        <v>35</v>
      </c>
      <c r="F7" s="88"/>
      <c r="G7" s="89"/>
      <c r="H7" s="75"/>
      <c r="I7" s="55" t="s">
        <v>36</v>
      </c>
      <c r="J7" s="54">
        <f>((L5+INT((M5*5)/2)*0.18)-0.2)*2</f>
        <v>1465.12</v>
      </c>
      <c r="K7" s="54">
        <f>((L5+INT((M5*5)/2)*0.18)+0.2)*2</f>
        <v>1465.92</v>
      </c>
      <c r="L7" s="10" t="s">
        <v>9</v>
      </c>
      <c r="M7" s="10" t="s">
        <v>9</v>
      </c>
      <c r="N7" s="87" t="s">
        <v>35</v>
      </c>
      <c r="O7" s="88"/>
      <c r="P7" s="89"/>
      <c r="Q7" s="75"/>
      <c r="R7" s="55" t="s">
        <v>36</v>
      </c>
      <c r="S7" s="54">
        <f>((U5-INT((V5*5)/2)*0.18)-0.2)*2</f>
        <v>1406.28</v>
      </c>
      <c r="T7" s="54">
        <f>((U5-INT((V5*5)/2)*0.18)+0.2)*2</f>
        <v>1407.0800000000002</v>
      </c>
      <c r="U7" s="10" t="s">
        <v>9</v>
      </c>
      <c r="V7" s="10" t="s">
        <v>9</v>
      </c>
      <c r="W7" s="87" t="s">
        <v>35</v>
      </c>
      <c r="X7" s="88"/>
      <c r="Y7" s="89"/>
      <c r="Z7" s="75"/>
      <c r="AA7" s="55" t="s">
        <v>36</v>
      </c>
      <c r="AB7" s="54">
        <f>((AD5-INT((AE5*5)/2)*0.18)-0.2)*2</f>
        <v>1431.28</v>
      </c>
      <c r="AC7" s="54">
        <f>((AD5-INT((AE5*5)/2)*0.18)+0.2)*2</f>
        <v>1432.0800000000002</v>
      </c>
      <c r="AD7" s="10" t="s">
        <v>9</v>
      </c>
      <c r="AE7" s="10" t="s">
        <v>9</v>
      </c>
      <c r="AF7" s="87" t="s">
        <v>35</v>
      </c>
      <c r="AG7" s="88"/>
      <c r="AH7" s="89"/>
      <c r="AI7" s="75"/>
      <c r="AJ7" s="55" t="s">
        <v>36</v>
      </c>
      <c r="AK7" s="54">
        <f>((AM5+INT((AN5*5)/2)*0.18)-0.2)*2</f>
        <v>1464.9199999999998</v>
      </c>
      <c r="AL7" s="54">
        <f>((AM5+INT((AN5*5)/2)*0.18)+0.2)*2</f>
        <v>1465.72</v>
      </c>
      <c r="AM7" s="10" t="s">
        <v>9</v>
      </c>
      <c r="AN7" s="10" t="s">
        <v>9</v>
      </c>
      <c r="AO7" s="87" t="s">
        <v>35</v>
      </c>
      <c r="AP7" s="88"/>
      <c r="AQ7" s="89"/>
      <c r="AR7" s="75"/>
      <c r="AS7" s="55" t="s">
        <v>36</v>
      </c>
      <c r="AT7" s="54">
        <f>(AV5-AW5/2)*2</f>
        <v>1406</v>
      </c>
      <c r="AU7" s="54">
        <f>(AV5+AW5/2)*2</f>
        <v>1416</v>
      </c>
      <c r="AV7" s="10" t="s">
        <v>9</v>
      </c>
      <c r="AW7" s="10" t="s">
        <v>9</v>
      </c>
      <c r="AX7" s="87" t="s">
        <v>35</v>
      </c>
      <c r="AY7" s="88"/>
      <c r="AZ7" s="89"/>
      <c r="BA7" s="75"/>
      <c r="BB7" s="55" t="s">
        <v>36</v>
      </c>
      <c r="BC7" s="54">
        <f>(BE5-BF5/2)*2</f>
        <v>1456</v>
      </c>
      <c r="BD7" s="54">
        <f>(BE5+BF5/2)*2</f>
        <v>1466</v>
      </c>
      <c r="BE7" s="10" t="s">
        <v>9</v>
      </c>
      <c r="BF7" s="10" t="s">
        <v>9</v>
      </c>
      <c r="BG7" s="87" t="s">
        <v>35</v>
      </c>
      <c r="BH7" s="88"/>
      <c r="BI7" s="89"/>
      <c r="BJ7" s="75"/>
      <c r="BK7" s="55" t="s">
        <v>36</v>
      </c>
      <c r="BL7" s="54">
        <f>((BN5-(INT((BO5*5)/2)-0.5)*0.18)-0.2)*2</f>
        <v>1407.78</v>
      </c>
      <c r="BM7" s="54">
        <f>((BN5-(INT((BO5*5)/2)-0.5)*0.18)+0.2)*2</f>
        <v>1408.5800000000002</v>
      </c>
      <c r="BN7" s="10" t="s">
        <v>9</v>
      </c>
      <c r="BO7" s="10" t="s">
        <v>9</v>
      </c>
      <c r="BP7" s="87" t="s">
        <v>35</v>
      </c>
      <c r="BQ7" s="88"/>
      <c r="BR7" s="89"/>
      <c r="BS7" s="75"/>
      <c r="BT7" s="55" t="s">
        <v>36</v>
      </c>
      <c r="BU7" s="54">
        <f>((BW5+(INT((BX5*5)/2)-0.5)*0.18)-0.2)*2</f>
        <v>1463.4199999999998</v>
      </c>
      <c r="BV7" s="54">
        <f>((BW5+(INT((BX5*5)/2)-0.5)*0.18)+0.2)*2</f>
        <v>1464.22</v>
      </c>
      <c r="BW7" s="10" t="s">
        <v>9</v>
      </c>
      <c r="BX7" s="10" t="s">
        <v>9</v>
      </c>
      <c r="BY7" s="87" t="s">
        <v>35</v>
      </c>
      <c r="BZ7" s="88"/>
      <c r="CA7" s="89"/>
      <c r="CB7" s="75"/>
      <c r="CC7" s="55" t="s">
        <v>36</v>
      </c>
      <c r="CD7" s="54">
        <f>(CF5-CG5/2)*2</f>
        <v>1406</v>
      </c>
      <c r="CE7" s="54">
        <f>(CF5+CG5/2)*2</f>
        <v>1446</v>
      </c>
      <c r="CF7" s="10" t="s">
        <v>9</v>
      </c>
      <c r="CG7" s="10" t="s">
        <v>9</v>
      </c>
      <c r="CH7" s="87" t="s">
        <v>35</v>
      </c>
      <c r="CI7" s="88"/>
      <c r="CJ7" s="89"/>
      <c r="CK7" s="75"/>
      <c r="CL7" s="55" t="s">
        <v>36</v>
      </c>
      <c r="CM7" s="54">
        <f>(CO5-CP5/2)*2</f>
        <v>1426</v>
      </c>
      <c r="CN7" s="54">
        <f>(CO5+CP5/2)*2</f>
        <v>1466</v>
      </c>
      <c r="CO7" s="10" t="s">
        <v>9</v>
      </c>
      <c r="CP7" s="10" t="s">
        <v>9</v>
      </c>
      <c r="CQ7" s="87" t="s">
        <v>35</v>
      </c>
      <c r="CR7" s="88"/>
      <c r="CS7" s="89"/>
      <c r="CT7" s="75"/>
      <c r="CU7" s="55" t="s">
        <v>36</v>
      </c>
    </row>
    <row r="8" spans="1:99" ht="15">
      <c r="A8" s="54">
        <f>((C5-INT((D5*5)/2)*0.18)-0.2)*3</f>
        <v>2109.12</v>
      </c>
      <c r="B8" s="54">
        <f>((C5-INT((D5*5)/2)*0.18)+0.2)*3</f>
        <v>2110.3200000000002</v>
      </c>
      <c r="C8" s="10" t="s">
        <v>9</v>
      </c>
      <c r="D8" s="10" t="s">
        <v>9</v>
      </c>
      <c r="E8" s="87" t="s">
        <v>35</v>
      </c>
      <c r="F8" s="88"/>
      <c r="G8" s="89"/>
      <c r="H8" s="75"/>
      <c r="I8" s="55" t="s">
        <v>37</v>
      </c>
      <c r="J8" s="54">
        <f>((L5+INT((M5*5)/2)*0.18)-0.2)*3</f>
        <v>2197.6799999999998</v>
      </c>
      <c r="K8" s="54">
        <f>((L5+INT((M5*5)/2)*0.18)+0.2)*3</f>
        <v>2198.88</v>
      </c>
      <c r="L8" s="10" t="s">
        <v>9</v>
      </c>
      <c r="M8" s="10" t="s">
        <v>9</v>
      </c>
      <c r="N8" s="87" t="s">
        <v>35</v>
      </c>
      <c r="O8" s="88"/>
      <c r="P8" s="89"/>
      <c r="Q8" s="75"/>
      <c r="R8" s="55" t="s">
        <v>37</v>
      </c>
      <c r="S8" s="54">
        <f>((U5-INT((V5*5)/2)*0.18)-0.2)*3</f>
        <v>2109.42</v>
      </c>
      <c r="T8" s="54">
        <f>((U5-INT((V5*5)/2)*0.18)+0.2)*3</f>
        <v>2110.6200000000003</v>
      </c>
      <c r="U8" s="10" t="s">
        <v>9</v>
      </c>
      <c r="V8" s="10" t="s">
        <v>9</v>
      </c>
      <c r="W8" s="87" t="s">
        <v>35</v>
      </c>
      <c r="X8" s="88"/>
      <c r="Y8" s="89"/>
      <c r="Z8" s="75"/>
      <c r="AA8" s="55" t="s">
        <v>37</v>
      </c>
      <c r="AB8" s="54">
        <f>((AD5-INT((AE5*5)/2)*0.18)-0.2)*3</f>
        <v>2146.92</v>
      </c>
      <c r="AC8" s="54">
        <f>((AD5-INT((AE5*5)/2)*0.18)+0.2)*3</f>
        <v>2148.1200000000003</v>
      </c>
      <c r="AD8" s="10" t="s">
        <v>9</v>
      </c>
      <c r="AE8" s="10" t="s">
        <v>9</v>
      </c>
      <c r="AF8" s="87" t="s">
        <v>35</v>
      </c>
      <c r="AG8" s="88"/>
      <c r="AH8" s="89"/>
      <c r="AI8" s="75"/>
      <c r="AJ8" s="55" t="s">
        <v>37</v>
      </c>
      <c r="AK8" s="54">
        <f>((AM5+INT((AN5*5)/2)*0.18)-0.2)*3</f>
        <v>2197.3799999999997</v>
      </c>
      <c r="AL8" s="54">
        <f>((AM5+INT((AN5*5)/2)*0.18)+0.2)*3</f>
        <v>2198.58</v>
      </c>
      <c r="AM8" s="10" t="s">
        <v>9</v>
      </c>
      <c r="AN8" s="10" t="s">
        <v>9</v>
      </c>
      <c r="AO8" s="87" t="s">
        <v>35</v>
      </c>
      <c r="AP8" s="88"/>
      <c r="AQ8" s="89"/>
      <c r="AR8" s="75"/>
      <c r="AS8" s="55" t="s">
        <v>37</v>
      </c>
      <c r="AT8" s="54">
        <f>(AV5-AW5/2)*3</f>
        <v>2109</v>
      </c>
      <c r="AU8" s="54">
        <f>(AV5+AW5/2)*3</f>
        <v>2124</v>
      </c>
      <c r="AV8" s="10" t="s">
        <v>9</v>
      </c>
      <c r="AW8" s="10" t="s">
        <v>9</v>
      </c>
      <c r="AX8" s="87" t="s">
        <v>35</v>
      </c>
      <c r="AY8" s="88"/>
      <c r="AZ8" s="89"/>
      <c r="BA8" s="75"/>
      <c r="BB8" s="55" t="s">
        <v>37</v>
      </c>
      <c r="BC8" s="54">
        <f>(BE5-BF5/2)*3</f>
        <v>2184</v>
      </c>
      <c r="BD8" s="54">
        <f>(BE5+BF5/2)*3</f>
        <v>2199</v>
      </c>
      <c r="BE8" s="10" t="s">
        <v>9</v>
      </c>
      <c r="BF8" s="10" t="s">
        <v>9</v>
      </c>
      <c r="BG8" s="87" t="s">
        <v>35</v>
      </c>
      <c r="BH8" s="88"/>
      <c r="BI8" s="89"/>
      <c r="BJ8" s="75"/>
      <c r="BK8" s="55" t="s">
        <v>37</v>
      </c>
      <c r="BL8" s="54">
        <f>((BN5-(INT((BO5*5)/2)-0.5)*0.18)-0.2)*3</f>
        <v>2111.67</v>
      </c>
      <c r="BM8" s="54">
        <f>((BN5-(INT((BO5*5)/2)-0.5)*0.18)+0.2)*3</f>
        <v>2112.8700000000003</v>
      </c>
      <c r="BN8" s="10" t="s">
        <v>9</v>
      </c>
      <c r="BO8" s="10" t="s">
        <v>9</v>
      </c>
      <c r="BP8" s="87" t="s">
        <v>35</v>
      </c>
      <c r="BQ8" s="88"/>
      <c r="BR8" s="89"/>
      <c r="BS8" s="75"/>
      <c r="BT8" s="55" t="s">
        <v>37</v>
      </c>
      <c r="BU8" s="54">
        <f>((BW5+(INT((BX5*5)/2)-0.5)*0.18)-0.2)*3</f>
        <v>2195.1299999999997</v>
      </c>
      <c r="BV8" s="54">
        <f>((BW5+(INT((BX5*5)/2)-0.5)*0.18)+0.2)*3</f>
        <v>2196.33</v>
      </c>
      <c r="BW8" s="10" t="s">
        <v>9</v>
      </c>
      <c r="BX8" s="10" t="s">
        <v>9</v>
      </c>
      <c r="BY8" s="87" t="s">
        <v>35</v>
      </c>
      <c r="BZ8" s="88"/>
      <c r="CA8" s="89"/>
      <c r="CB8" s="75"/>
      <c r="CC8" s="55" t="s">
        <v>37</v>
      </c>
      <c r="CD8" s="54">
        <f>(CF5-CG5/2)*3</f>
        <v>2109</v>
      </c>
      <c r="CE8" s="54">
        <f>(CF5+CG5/2)*3</f>
        <v>2169</v>
      </c>
      <c r="CF8" s="10" t="s">
        <v>9</v>
      </c>
      <c r="CG8" s="10" t="s">
        <v>9</v>
      </c>
      <c r="CH8" s="87" t="s">
        <v>35</v>
      </c>
      <c r="CI8" s="88"/>
      <c r="CJ8" s="89"/>
      <c r="CK8" s="75"/>
      <c r="CL8" s="55" t="s">
        <v>37</v>
      </c>
      <c r="CM8" s="54">
        <f>(CO5-CP5/2)*3</f>
        <v>2139</v>
      </c>
      <c r="CN8" s="54">
        <f>(CO5+CP5/2)*3</f>
        <v>2199</v>
      </c>
      <c r="CO8" s="10" t="s">
        <v>9</v>
      </c>
      <c r="CP8" s="10" t="s">
        <v>9</v>
      </c>
      <c r="CQ8" s="87" t="s">
        <v>35</v>
      </c>
      <c r="CR8" s="88"/>
      <c r="CS8" s="89"/>
      <c r="CT8" s="75"/>
      <c r="CU8" s="55" t="s">
        <v>37</v>
      </c>
    </row>
    <row r="9" spans="1:99" ht="15">
      <c r="A9" s="54">
        <f>((C5-INT((D5*5)/2)*0.18)-0.2)*4</f>
        <v>2812.16</v>
      </c>
      <c r="B9" s="54">
        <f>((C5-INT((D5*5)/2)*0.18)+0.2)*4</f>
        <v>2813.76</v>
      </c>
      <c r="C9" s="10" t="s">
        <v>9</v>
      </c>
      <c r="D9" s="10" t="s">
        <v>9</v>
      </c>
      <c r="E9" s="90" t="s">
        <v>35</v>
      </c>
      <c r="F9" s="90"/>
      <c r="G9" s="90"/>
      <c r="H9" s="75"/>
      <c r="I9" s="55" t="s">
        <v>38</v>
      </c>
      <c r="J9" s="54">
        <f>((L5+INT((M5*5)/2)*0.18)-0.2)*4</f>
        <v>2930.24</v>
      </c>
      <c r="K9" s="54">
        <f>((L5+INT((M5*5)/2)*0.18)+0.2)*4</f>
        <v>2931.84</v>
      </c>
      <c r="L9" s="10" t="s">
        <v>9</v>
      </c>
      <c r="M9" s="10" t="s">
        <v>9</v>
      </c>
      <c r="N9" s="90" t="s">
        <v>35</v>
      </c>
      <c r="O9" s="90"/>
      <c r="P9" s="90"/>
      <c r="Q9" s="75"/>
      <c r="R9" s="55" t="s">
        <v>38</v>
      </c>
      <c r="S9" s="54">
        <f>((U5-INT((V5*5)/2)*0.18)-0.2)*4</f>
        <v>2812.56</v>
      </c>
      <c r="T9" s="54">
        <f>((U5-INT((V5*5)/2)*0.18)+0.2)*4</f>
        <v>2814.1600000000003</v>
      </c>
      <c r="U9" s="10" t="s">
        <v>9</v>
      </c>
      <c r="V9" s="10" t="s">
        <v>9</v>
      </c>
      <c r="W9" s="90" t="s">
        <v>35</v>
      </c>
      <c r="X9" s="90"/>
      <c r="Y9" s="90"/>
      <c r="Z9" s="75"/>
      <c r="AA9" s="55" t="s">
        <v>38</v>
      </c>
      <c r="AB9" s="54">
        <f>((AD5-INT((AE5*5)/2)*0.18)-0.2)*4</f>
        <v>2862.56</v>
      </c>
      <c r="AC9" s="54">
        <f>((AD5-INT((AE5*5)/2)*0.18)+0.2)*4</f>
        <v>2864.1600000000003</v>
      </c>
      <c r="AD9" s="10" t="s">
        <v>9</v>
      </c>
      <c r="AE9" s="10" t="s">
        <v>9</v>
      </c>
      <c r="AF9" s="87" t="s">
        <v>35</v>
      </c>
      <c r="AG9" s="88"/>
      <c r="AH9" s="89"/>
      <c r="AI9" s="75"/>
      <c r="AJ9" s="55" t="s">
        <v>38</v>
      </c>
      <c r="AK9" s="54">
        <f>((AM5+INT((AN5*5)/2)*0.18)-0.2)*4</f>
        <v>2929.8399999999997</v>
      </c>
      <c r="AL9" s="54">
        <f>((AM5+INT((AN5*5)/2)*0.18)+0.2)*4</f>
        <v>2931.44</v>
      </c>
      <c r="AM9" s="10" t="s">
        <v>9</v>
      </c>
      <c r="AN9" s="10" t="s">
        <v>9</v>
      </c>
      <c r="AO9" s="90" t="s">
        <v>35</v>
      </c>
      <c r="AP9" s="90"/>
      <c r="AQ9" s="90"/>
      <c r="AR9" s="75"/>
      <c r="AS9" s="55" t="s">
        <v>38</v>
      </c>
      <c r="AT9" s="54">
        <f>(AV5-AW5/2)*4</f>
        <v>2812</v>
      </c>
      <c r="AU9" s="54">
        <f>(AV5+AW5/2)*4</f>
        <v>2832</v>
      </c>
      <c r="AV9" s="10" t="s">
        <v>9</v>
      </c>
      <c r="AW9" s="10" t="s">
        <v>9</v>
      </c>
      <c r="AX9" s="90" t="s">
        <v>35</v>
      </c>
      <c r="AY9" s="90"/>
      <c r="AZ9" s="90"/>
      <c r="BA9" s="75"/>
      <c r="BB9" s="55" t="s">
        <v>38</v>
      </c>
      <c r="BC9" s="54">
        <f>(BE5-BF5/2)*4</f>
        <v>2912</v>
      </c>
      <c r="BD9" s="54">
        <f>(BE5+BF5/2)*4</f>
        <v>2932</v>
      </c>
      <c r="BE9" s="10" t="s">
        <v>9</v>
      </c>
      <c r="BF9" s="10" t="s">
        <v>9</v>
      </c>
      <c r="BG9" s="90" t="s">
        <v>35</v>
      </c>
      <c r="BH9" s="90"/>
      <c r="BI9" s="90"/>
      <c r="BJ9" s="75"/>
      <c r="BK9" s="55" t="s">
        <v>38</v>
      </c>
      <c r="BL9" s="54">
        <f>((BN5-(INT((BO5*5)/2)-0.5)*0.18)-0.2)*4</f>
        <v>2815.56</v>
      </c>
      <c r="BM9" s="54">
        <f>((BN5-(INT((BO5*5)/2)-0.5)*0.18)+0.2)*4</f>
        <v>2817.1600000000003</v>
      </c>
      <c r="BN9" s="10" t="s">
        <v>9</v>
      </c>
      <c r="BO9" s="10" t="s">
        <v>9</v>
      </c>
      <c r="BP9" s="90" t="s">
        <v>35</v>
      </c>
      <c r="BQ9" s="90"/>
      <c r="BR9" s="90"/>
      <c r="BS9" s="75"/>
      <c r="BT9" s="55" t="s">
        <v>38</v>
      </c>
      <c r="BU9" s="54">
        <f>((BW5+(INT((BX5*5)/2)-0.5)*0.18)-0.2)*4</f>
        <v>2926.8399999999997</v>
      </c>
      <c r="BV9" s="54">
        <f>((BW5+(INT((BX5*5)/2)-0.5)*0.18)+0.2)*4</f>
        <v>2928.44</v>
      </c>
      <c r="BW9" s="10" t="s">
        <v>9</v>
      </c>
      <c r="BX9" s="10" t="s">
        <v>9</v>
      </c>
      <c r="BY9" s="90" t="s">
        <v>35</v>
      </c>
      <c r="BZ9" s="90"/>
      <c r="CA9" s="90"/>
      <c r="CB9" s="75"/>
      <c r="CC9" s="55" t="s">
        <v>38</v>
      </c>
      <c r="CD9" s="54">
        <f>(CF5-CG5/2)*4</f>
        <v>2812</v>
      </c>
      <c r="CE9" s="54">
        <f>(CF5+CG5/2)*4</f>
        <v>2892</v>
      </c>
      <c r="CF9" s="10" t="s">
        <v>9</v>
      </c>
      <c r="CG9" s="10" t="s">
        <v>9</v>
      </c>
      <c r="CH9" s="90" t="s">
        <v>35</v>
      </c>
      <c r="CI9" s="90"/>
      <c r="CJ9" s="90"/>
      <c r="CK9" s="75"/>
      <c r="CL9" s="55" t="s">
        <v>38</v>
      </c>
      <c r="CM9" s="54">
        <f>(CO5-CP5/2)*4</f>
        <v>2852</v>
      </c>
      <c r="CN9" s="54">
        <f>(CO5+CP5/2)*4</f>
        <v>2932</v>
      </c>
      <c r="CO9" s="10" t="s">
        <v>9</v>
      </c>
      <c r="CP9" s="10" t="s">
        <v>9</v>
      </c>
      <c r="CQ9" s="90" t="s">
        <v>35</v>
      </c>
      <c r="CR9" s="90"/>
      <c r="CS9" s="90"/>
      <c r="CT9" s="75"/>
      <c r="CU9" s="55" t="s">
        <v>38</v>
      </c>
    </row>
    <row r="10" spans="1:99" ht="15">
      <c r="A10" s="54">
        <f>((C5-INT((D5*5)/2)*0.18)-0.2)*5</f>
        <v>3515.2</v>
      </c>
      <c r="B10" s="54">
        <f>((C5-INT((D5*5)/2)*0.18)+0.2)*5</f>
        <v>3517.2000000000003</v>
      </c>
      <c r="C10" s="10" t="s">
        <v>9</v>
      </c>
      <c r="D10" s="10" t="s">
        <v>9</v>
      </c>
      <c r="E10" s="90" t="s">
        <v>35</v>
      </c>
      <c r="F10" s="90"/>
      <c r="G10" s="90"/>
      <c r="H10" s="75"/>
      <c r="I10" s="55" t="s">
        <v>40</v>
      </c>
      <c r="J10" s="54">
        <f>((L5+INT((M5*5)/2)*0.18)-0.2)*5</f>
        <v>3662.7999999999997</v>
      </c>
      <c r="K10" s="54">
        <f>((L5+INT((M5*5)/2)*0.18)+0.2)*5</f>
        <v>3664.8</v>
      </c>
      <c r="L10" s="10" t="s">
        <v>9</v>
      </c>
      <c r="M10" s="10" t="s">
        <v>9</v>
      </c>
      <c r="N10" s="90" t="s">
        <v>35</v>
      </c>
      <c r="O10" s="90"/>
      <c r="P10" s="90"/>
      <c r="Q10" s="75"/>
      <c r="R10" s="55" t="s">
        <v>40</v>
      </c>
      <c r="S10" s="54">
        <f>((U5-INT((V5*5)/2)*0.18)-0.2)*5</f>
        <v>3515.7</v>
      </c>
      <c r="T10" s="54">
        <f>((U5-INT((V5*5)/2)*0.18)+0.2)*5</f>
        <v>3517.7000000000003</v>
      </c>
      <c r="U10" s="10" t="s">
        <v>9</v>
      </c>
      <c r="V10" s="10" t="s">
        <v>9</v>
      </c>
      <c r="W10" s="90" t="s">
        <v>35</v>
      </c>
      <c r="X10" s="90"/>
      <c r="Y10" s="90"/>
      <c r="Z10" s="75"/>
      <c r="AA10" s="55" t="s">
        <v>40</v>
      </c>
      <c r="AB10" s="54">
        <f>((AD5-INT((AE5*5)/2)*0.18)-0.2)*5</f>
        <v>3578.2</v>
      </c>
      <c r="AC10" s="54">
        <f>((AD5-INT((AE5*5)/2)*0.18)+0.2)*5</f>
        <v>3580.2000000000003</v>
      </c>
      <c r="AD10" s="10" t="s">
        <v>9</v>
      </c>
      <c r="AE10" s="10" t="s">
        <v>9</v>
      </c>
      <c r="AF10" s="87" t="s">
        <v>35</v>
      </c>
      <c r="AG10" s="88"/>
      <c r="AH10" s="89"/>
      <c r="AI10" s="75"/>
      <c r="AJ10" s="55" t="s">
        <v>40</v>
      </c>
      <c r="AK10" s="54">
        <f>((AM5+INT((AN5*5)/2)*0.18)-0.2)*5</f>
        <v>3662.2999999999997</v>
      </c>
      <c r="AL10" s="54">
        <f>((AM5+INT((AN5*5)/2)*0.18)+0.2)*5</f>
        <v>3664.3</v>
      </c>
      <c r="AM10" s="10" t="s">
        <v>9</v>
      </c>
      <c r="AN10" s="10" t="s">
        <v>9</v>
      </c>
      <c r="AO10" s="90" t="s">
        <v>35</v>
      </c>
      <c r="AP10" s="90"/>
      <c r="AQ10" s="90"/>
      <c r="AR10" s="75"/>
      <c r="AS10" s="55" t="s">
        <v>40</v>
      </c>
      <c r="AT10" s="54">
        <f>(AV5-AW5/2)*5</f>
        <v>3515</v>
      </c>
      <c r="AU10" s="54">
        <f>(AV5+AW5/2)*5</f>
        <v>3540</v>
      </c>
      <c r="AV10" s="10" t="s">
        <v>9</v>
      </c>
      <c r="AW10" s="10" t="s">
        <v>9</v>
      </c>
      <c r="AX10" s="90" t="s">
        <v>35</v>
      </c>
      <c r="AY10" s="90"/>
      <c r="AZ10" s="90"/>
      <c r="BA10" s="75"/>
      <c r="BB10" s="55" t="s">
        <v>40</v>
      </c>
      <c r="BC10" s="54">
        <f>(BE5-BF5/2)*5</f>
        <v>3640</v>
      </c>
      <c r="BD10" s="54">
        <f>(BE5+BF5/2)*5</f>
        <v>3665</v>
      </c>
      <c r="BE10" s="10" t="s">
        <v>9</v>
      </c>
      <c r="BF10" s="10" t="s">
        <v>9</v>
      </c>
      <c r="BG10" s="90" t="s">
        <v>35</v>
      </c>
      <c r="BH10" s="90"/>
      <c r="BI10" s="90"/>
      <c r="BJ10" s="75"/>
      <c r="BK10" s="55" t="s">
        <v>40</v>
      </c>
      <c r="BL10" s="54">
        <f>((BN5-(INT((BO5*5)/2)-0.5)*0.18)-0.2)*5</f>
        <v>3519.45</v>
      </c>
      <c r="BM10" s="54">
        <f>((BN5-(INT((BO5*5)/2)-0.5)*0.18)+0.2)*5</f>
        <v>3521.4500000000003</v>
      </c>
      <c r="BN10" s="10" t="s">
        <v>9</v>
      </c>
      <c r="BO10" s="10" t="s">
        <v>9</v>
      </c>
      <c r="BP10" s="90" t="s">
        <v>35</v>
      </c>
      <c r="BQ10" s="90"/>
      <c r="BR10" s="90"/>
      <c r="BS10" s="75"/>
      <c r="BT10" s="55" t="s">
        <v>40</v>
      </c>
      <c r="BU10" s="54">
        <f>((BW5+(INT((BX5*5)/2)-0.5)*0.18)-0.2)*5</f>
        <v>3658.5499999999997</v>
      </c>
      <c r="BV10" s="54">
        <f>((BW5+(INT((BX5*5)/2)-0.5)*0.18)+0.2)*5</f>
        <v>3660.55</v>
      </c>
      <c r="BW10" s="10" t="s">
        <v>9</v>
      </c>
      <c r="BX10" s="10" t="s">
        <v>9</v>
      </c>
      <c r="BY10" s="90" t="s">
        <v>35</v>
      </c>
      <c r="BZ10" s="90"/>
      <c r="CA10" s="90"/>
      <c r="CB10" s="75"/>
      <c r="CC10" s="55" t="s">
        <v>40</v>
      </c>
      <c r="CD10" s="54">
        <f>(CF5-CG5/2)*5</f>
        <v>3515</v>
      </c>
      <c r="CE10" s="54">
        <f>(CF5+CG5/2)*5</f>
        <v>3615</v>
      </c>
      <c r="CF10" s="10" t="s">
        <v>9</v>
      </c>
      <c r="CG10" s="10" t="s">
        <v>9</v>
      </c>
      <c r="CH10" s="90" t="s">
        <v>35</v>
      </c>
      <c r="CI10" s="90"/>
      <c r="CJ10" s="90"/>
      <c r="CK10" s="75"/>
      <c r="CL10" s="55" t="s">
        <v>40</v>
      </c>
      <c r="CM10" s="54">
        <f>(CO5-CP5/2)*5</f>
        <v>3565</v>
      </c>
      <c r="CN10" s="54">
        <f>(CO5+CP5/2)*5</f>
        <v>3665</v>
      </c>
      <c r="CO10" s="10" t="s">
        <v>9</v>
      </c>
      <c r="CP10" s="10" t="s">
        <v>9</v>
      </c>
      <c r="CQ10" s="90" t="s">
        <v>35</v>
      </c>
      <c r="CR10" s="90"/>
      <c r="CS10" s="90"/>
      <c r="CT10" s="75"/>
      <c r="CU10" s="55" t="s">
        <v>40</v>
      </c>
    </row>
    <row r="11" spans="1:99" ht="15">
      <c r="A11" s="54">
        <f>((C5-INT((D5*5)/2)*0.18)-0.2)*6</f>
        <v>4218.24</v>
      </c>
      <c r="B11" s="54">
        <f>((C5-INT((D5*5)/2)*0.18)+0.2)*6</f>
        <v>4220.6400000000003</v>
      </c>
      <c r="C11" s="10" t="s">
        <v>9</v>
      </c>
      <c r="D11" s="10" t="s">
        <v>9</v>
      </c>
      <c r="E11" s="90" t="s">
        <v>35</v>
      </c>
      <c r="F11" s="90"/>
      <c r="G11" s="90"/>
      <c r="H11" s="75"/>
      <c r="I11" s="55" t="s">
        <v>41</v>
      </c>
      <c r="J11" s="54">
        <f>((L5+INT((M5*5)/2)*0.18)-0.2)*6</f>
        <v>4395.3599999999997</v>
      </c>
      <c r="K11" s="54">
        <f>((L5+INT((M5*5)/2)*0.18)+0.2)*6</f>
        <v>4397.76</v>
      </c>
      <c r="L11" s="10" t="s">
        <v>9</v>
      </c>
      <c r="M11" s="10" t="s">
        <v>9</v>
      </c>
      <c r="N11" s="90" t="s">
        <v>35</v>
      </c>
      <c r="O11" s="90"/>
      <c r="P11" s="90"/>
      <c r="Q11" s="75"/>
      <c r="R11" s="55" t="s">
        <v>41</v>
      </c>
      <c r="S11" s="54">
        <f>((U5-INT((V5*5)/2)*0.18)-0.2)*6</f>
        <v>4218.84</v>
      </c>
      <c r="T11" s="54">
        <f>((U5-INT((V5*5)/2)*0.18)+0.2)*6</f>
        <v>4221.2400000000007</v>
      </c>
      <c r="U11" s="10" t="s">
        <v>9</v>
      </c>
      <c r="V11" s="10" t="s">
        <v>9</v>
      </c>
      <c r="W11" s="90" t="s">
        <v>35</v>
      </c>
      <c r="X11" s="90"/>
      <c r="Y11" s="90"/>
      <c r="Z11" s="75"/>
      <c r="AA11" s="55" t="s">
        <v>41</v>
      </c>
      <c r="AB11" s="54">
        <f>((AD5-INT((AE5*5)/2)*0.18)-0.2)*6</f>
        <v>4293.84</v>
      </c>
      <c r="AC11" s="54">
        <f>((AD5-INT((AE5*5)/2)*0.18)+0.2)*6</f>
        <v>4296.2400000000007</v>
      </c>
      <c r="AD11" s="10" t="s">
        <v>9</v>
      </c>
      <c r="AE11" s="10" t="s">
        <v>9</v>
      </c>
      <c r="AF11" s="87" t="s">
        <v>35</v>
      </c>
      <c r="AG11" s="88"/>
      <c r="AH11" s="89"/>
      <c r="AI11" s="75"/>
      <c r="AJ11" s="55" t="s">
        <v>41</v>
      </c>
      <c r="AK11" s="54">
        <f>((AM5+INT((AN5*5)/2)*0.18)-0.2)*6</f>
        <v>4394.7599999999993</v>
      </c>
      <c r="AL11" s="54">
        <f>((AM5+INT((AN5*5)/2)*0.18)+0.2)*6</f>
        <v>4397.16</v>
      </c>
      <c r="AM11" s="10" t="s">
        <v>9</v>
      </c>
      <c r="AN11" s="10" t="s">
        <v>9</v>
      </c>
      <c r="AO11" s="90" t="s">
        <v>35</v>
      </c>
      <c r="AP11" s="90"/>
      <c r="AQ11" s="90"/>
      <c r="AR11" s="75"/>
      <c r="AS11" s="55" t="s">
        <v>41</v>
      </c>
      <c r="AT11" s="54">
        <f>(AV5-AW5/2)*6</f>
        <v>4218</v>
      </c>
      <c r="AU11" s="54">
        <f>(AV5+AW5/2)*6</f>
        <v>4248</v>
      </c>
      <c r="AV11" s="10" t="s">
        <v>9</v>
      </c>
      <c r="AW11" s="10" t="s">
        <v>9</v>
      </c>
      <c r="AX11" s="90" t="s">
        <v>35</v>
      </c>
      <c r="AY11" s="90"/>
      <c r="AZ11" s="90"/>
      <c r="BA11" s="75"/>
      <c r="BB11" s="55" t="s">
        <v>41</v>
      </c>
      <c r="BC11" s="54">
        <f>(BE5-BF5/2)*6</f>
        <v>4368</v>
      </c>
      <c r="BD11" s="54">
        <f>(BE5+BF5/2)*6</f>
        <v>4398</v>
      </c>
      <c r="BE11" s="10" t="s">
        <v>9</v>
      </c>
      <c r="BF11" s="10" t="s">
        <v>9</v>
      </c>
      <c r="BG11" s="90" t="s">
        <v>35</v>
      </c>
      <c r="BH11" s="90"/>
      <c r="BI11" s="90"/>
      <c r="BJ11" s="75"/>
      <c r="BK11" s="55" t="s">
        <v>41</v>
      </c>
      <c r="BL11" s="54">
        <f>((BN5-(INT((BO5*5)/2)-0.5)*0.18)-0.2)*6</f>
        <v>4223.34</v>
      </c>
      <c r="BM11" s="54">
        <f>((BN5-(INT((BO5*5)/2)-0.5)*0.18)+0.2)*6</f>
        <v>4225.7400000000007</v>
      </c>
      <c r="BN11" s="10" t="s">
        <v>9</v>
      </c>
      <c r="BO11" s="10" t="s">
        <v>9</v>
      </c>
      <c r="BP11" s="90" t="s">
        <v>35</v>
      </c>
      <c r="BQ11" s="90"/>
      <c r="BR11" s="90"/>
      <c r="BS11" s="75"/>
      <c r="BT11" s="55" t="s">
        <v>41</v>
      </c>
      <c r="BU11" s="54">
        <f>((BW5+(INT((BX5*5)/2)-0.5)*0.18)-0.2)*6</f>
        <v>4390.2599999999993</v>
      </c>
      <c r="BV11" s="54">
        <f>((BW5+(INT((BX5*5)/2)-0.5)*0.18)+0.2)*6</f>
        <v>4392.66</v>
      </c>
      <c r="BW11" s="10" t="s">
        <v>9</v>
      </c>
      <c r="BX11" s="10" t="s">
        <v>9</v>
      </c>
      <c r="BY11" s="90" t="s">
        <v>35</v>
      </c>
      <c r="BZ11" s="90"/>
      <c r="CA11" s="90"/>
      <c r="CB11" s="75"/>
      <c r="CC11" s="55" t="s">
        <v>41</v>
      </c>
      <c r="CD11" s="54">
        <f>(CF5-CG5/2)*6</f>
        <v>4218</v>
      </c>
      <c r="CE11" s="54">
        <f>(CF5+CG5/2)*6</f>
        <v>4338</v>
      </c>
      <c r="CF11" s="10" t="s">
        <v>9</v>
      </c>
      <c r="CG11" s="10" t="s">
        <v>9</v>
      </c>
      <c r="CH11" s="90" t="s">
        <v>35</v>
      </c>
      <c r="CI11" s="90"/>
      <c r="CJ11" s="90"/>
      <c r="CK11" s="75"/>
      <c r="CL11" s="55" t="s">
        <v>41</v>
      </c>
      <c r="CM11" s="54">
        <f>(CO5-CP5/2)*6</f>
        <v>4278</v>
      </c>
      <c r="CN11" s="54">
        <f>(CO5+CP5/2)*6</f>
        <v>4398</v>
      </c>
      <c r="CO11" s="10" t="s">
        <v>9</v>
      </c>
      <c r="CP11" s="10" t="s">
        <v>9</v>
      </c>
      <c r="CQ11" s="90" t="s">
        <v>35</v>
      </c>
      <c r="CR11" s="90"/>
      <c r="CS11" s="90"/>
      <c r="CT11" s="75"/>
      <c r="CU11" s="55" t="s">
        <v>41</v>
      </c>
    </row>
    <row r="12" spans="1:99" ht="15">
      <c r="A12" s="54">
        <f>((C5-INT((D5*5)/2)*0.18)-0.2)*7</f>
        <v>4921.28</v>
      </c>
      <c r="B12" s="54">
        <f>((C5-INT((D5*5)/2)*0.18)+0.2)*7</f>
        <v>4924.08</v>
      </c>
      <c r="C12" s="10" t="s">
        <v>9</v>
      </c>
      <c r="D12" s="10" t="s">
        <v>9</v>
      </c>
      <c r="E12" s="90" t="s">
        <v>35</v>
      </c>
      <c r="F12" s="90"/>
      <c r="G12" s="90"/>
      <c r="H12" s="75"/>
      <c r="I12" s="55" t="s">
        <v>65</v>
      </c>
      <c r="J12" s="54">
        <f>((L5+INT((M5*5)/2)*0.18)-0.2)*7</f>
        <v>5127.92</v>
      </c>
      <c r="K12" s="54">
        <f>((L5+INT((M5*5)/2)*0.18)+0.2)*7</f>
        <v>5130.72</v>
      </c>
      <c r="L12" s="10" t="s">
        <v>9</v>
      </c>
      <c r="M12" s="10" t="s">
        <v>9</v>
      </c>
      <c r="N12" s="90" t="s">
        <v>35</v>
      </c>
      <c r="O12" s="90"/>
      <c r="P12" s="90"/>
      <c r="Q12" s="75"/>
      <c r="R12" s="55" t="s">
        <v>65</v>
      </c>
      <c r="S12" s="54">
        <f>((U5-INT((V5*5)/2)*0.18)-0.2)*7</f>
        <v>4921.9799999999996</v>
      </c>
      <c r="T12" s="54">
        <f>((U5-INT((V5*5)/2)*0.18)+0.2)*7</f>
        <v>4924.7800000000007</v>
      </c>
      <c r="U12" s="10" t="s">
        <v>9</v>
      </c>
      <c r="V12" s="10" t="s">
        <v>9</v>
      </c>
      <c r="W12" s="90" t="s">
        <v>35</v>
      </c>
      <c r="X12" s="90"/>
      <c r="Y12" s="90"/>
      <c r="Z12" s="75"/>
      <c r="AA12" s="55" t="s">
        <v>65</v>
      </c>
      <c r="AB12" s="54">
        <f>((AD5-INT((AE5*5)/2)*0.18)-0.2)*7</f>
        <v>5009.4799999999996</v>
      </c>
      <c r="AC12" s="54">
        <f>((AD5-INT((AE5*5)/2)*0.18)+0.2)*7</f>
        <v>5012.2800000000007</v>
      </c>
      <c r="AD12" s="10" t="s">
        <v>9</v>
      </c>
      <c r="AE12" s="10" t="s">
        <v>9</v>
      </c>
      <c r="AF12" s="87" t="s">
        <v>35</v>
      </c>
      <c r="AG12" s="88"/>
      <c r="AH12" s="89"/>
      <c r="AI12" s="75"/>
      <c r="AJ12" s="55" t="s">
        <v>65</v>
      </c>
      <c r="AK12" s="54">
        <f>((AM5+INT((AN5*5)/2)*0.18)-0.2)*7</f>
        <v>5127.2199999999993</v>
      </c>
      <c r="AL12" s="54">
        <f>((AM5+INT((AN5*5)/2)*0.18)+0.2)*7</f>
        <v>5130.0200000000004</v>
      </c>
      <c r="AM12" s="10" t="s">
        <v>9</v>
      </c>
      <c r="AN12" s="10" t="s">
        <v>9</v>
      </c>
      <c r="AO12" s="90" t="s">
        <v>35</v>
      </c>
      <c r="AP12" s="90"/>
      <c r="AQ12" s="90"/>
      <c r="AR12" s="75"/>
      <c r="AS12" s="55" t="s">
        <v>65</v>
      </c>
      <c r="AT12" s="54">
        <f>(AV5-AW5/2)*7</f>
        <v>4921</v>
      </c>
      <c r="AU12" s="54">
        <f>(AV5+AW5/2)*7</f>
        <v>4956</v>
      </c>
      <c r="AV12" s="10" t="s">
        <v>9</v>
      </c>
      <c r="AW12" s="10" t="s">
        <v>9</v>
      </c>
      <c r="AX12" s="90" t="s">
        <v>35</v>
      </c>
      <c r="AY12" s="90"/>
      <c r="AZ12" s="90"/>
      <c r="BA12" s="75"/>
      <c r="BB12" s="55" t="s">
        <v>65</v>
      </c>
      <c r="BC12" s="54">
        <f>(BE5-BF5/2)*7</f>
        <v>5096</v>
      </c>
      <c r="BD12" s="54">
        <f>(BE5+BF5/2)*7</f>
        <v>5131</v>
      </c>
      <c r="BE12" s="10" t="s">
        <v>9</v>
      </c>
      <c r="BF12" s="10" t="s">
        <v>9</v>
      </c>
      <c r="BG12" s="90" t="s">
        <v>35</v>
      </c>
      <c r="BH12" s="90"/>
      <c r="BI12" s="90"/>
      <c r="BJ12" s="75"/>
      <c r="BK12" s="55" t="s">
        <v>65</v>
      </c>
      <c r="BL12" s="54">
        <f>((BN5-(INT((BO5*5)/2)-0.5)*0.18)-0.2)*7</f>
        <v>4927.2299999999996</v>
      </c>
      <c r="BM12" s="54">
        <f>((BN5-(INT((BO5*5)/2)-0.5)*0.18)+0.2)*7</f>
        <v>4930.0300000000007</v>
      </c>
      <c r="BN12" s="10" t="s">
        <v>9</v>
      </c>
      <c r="BO12" s="10" t="s">
        <v>9</v>
      </c>
      <c r="BP12" s="90" t="s">
        <v>35</v>
      </c>
      <c r="BQ12" s="90"/>
      <c r="BR12" s="90"/>
      <c r="BS12" s="75"/>
      <c r="BT12" s="55" t="s">
        <v>65</v>
      </c>
      <c r="BU12" s="54">
        <f>((BW5+(INT((BX5*5)/2)-0.5)*0.18)-0.2)*7</f>
        <v>5121.9699999999993</v>
      </c>
      <c r="BV12" s="54">
        <f>((BW5+(INT((BX5*5)/2)-0.5)*0.18)+0.2)*7</f>
        <v>5124.7700000000004</v>
      </c>
      <c r="BW12" s="10" t="s">
        <v>9</v>
      </c>
      <c r="BX12" s="10" t="s">
        <v>9</v>
      </c>
      <c r="BY12" s="90" t="s">
        <v>35</v>
      </c>
      <c r="BZ12" s="90"/>
      <c r="CA12" s="90"/>
      <c r="CB12" s="75"/>
      <c r="CC12" s="55" t="s">
        <v>65</v>
      </c>
      <c r="CD12" s="54">
        <f>(CF5-CG5/2)*7</f>
        <v>4921</v>
      </c>
      <c r="CE12" s="54">
        <f>(CF5+CG5/2)*7</f>
        <v>5061</v>
      </c>
      <c r="CF12" s="10" t="s">
        <v>9</v>
      </c>
      <c r="CG12" s="10" t="s">
        <v>9</v>
      </c>
      <c r="CH12" s="90" t="s">
        <v>35</v>
      </c>
      <c r="CI12" s="90"/>
      <c r="CJ12" s="90"/>
      <c r="CK12" s="75"/>
      <c r="CL12" s="55" t="s">
        <v>65</v>
      </c>
      <c r="CM12" s="54">
        <f>(CO5-CP5/2)*7</f>
        <v>4991</v>
      </c>
      <c r="CN12" s="54">
        <f>(CO5+CP5/2)*7</f>
        <v>5131</v>
      </c>
      <c r="CO12" s="10" t="s">
        <v>9</v>
      </c>
      <c r="CP12" s="10" t="s">
        <v>9</v>
      </c>
      <c r="CQ12" s="90" t="s">
        <v>35</v>
      </c>
      <c r="CR12" s="90"/>
      <c r="CS12" s="90"/>
      <c r="CT12" s="75"/>
      <c r="CU12" s="55" t="s">
        <v>65</v>
      </c>
    </row>
    <row r="13" spans="1:99" ht="15">
      <c r="A13" s="54">
        <f>((C5-INT((D5*5)/2)*0.18)-0.2)*8</f>
        <v>5624.32</v>
      </c>
      <c r="B13" s="54">
        <f>((C5-INT((D5*5)/2)*0.18)+0.2)*8</f>
        <v>5627.52</v>
      </c>
      <c r="C13" s="10" t="s">
        <v>9</v>
      </c>
      <c r="D13" s="10" t="s">
        <v>9</v>
      </c>
      <c r="E13" s="90" t="s">
        <v>35</v>
      </c>
      <c r="F13" s="90"/>
      <c r="G13" s="90"/>
      <c r="H13" s="75"/>
      <c r="I13" s="55" t="s">
        <v>68</v>
      </c>
      <c r="J13" s="54">
        <f>((L5+INT((M5*5)/2)*0.18)-0.2)*8</f>
        <v>5860.48</v>
      </c>
      <c r="K13" s="54">
        <f>((L5+INT((M5*5)/2)*0.18)+0.2)*8</f>
        <v>5863.68</v>
      </c>
      <c r="L13" s="10" t="s">
        <v>9</v>
      </c>
      <c r="M13" s="10" t="s">
        <v>9</v>
      </c>
      <c r="N13" s="90" t="s">
        <v>35</v>
      </c>
      <c r="O13" s="90"/>
      <c r="P13" s="90"/>
      <c r="Q13" s="75"/>
      <c r="R13" s="55" t="s">
        <v>68</v>
      </c>
      <c r="S13" s="54">
        <f>((U5-INT((V5*5)/2)*0.18)-0.2)*8</f>
        <v>5625.12</v>
      </c>
      <c r="T13" s="54">
        <f>((U5-INT((V5*5)/2)*0.18)+0.2)*8</f>
        <v>5628.3200000000006</v>
      </c>
      <c r="U13" s="10" t="s">
        <v>9</v>
      </c>
      <c r="V13" s="10" t="s">
        <v>9</v>
      </c>
      <c r="W13" s="90" t="s">
        <v>35</v>
      </c>
      <c r="X13" s="90"/>
      <c r="Y13" s="90"/>
      <c r="Z13" s="75"/>
      <c r="AA13" s="55" t="s">
        <v>68</v>
      </c>
      <c r="AB13" s="54">
        <f>((AD5-INT((AE5*5)/2)*0.18)-0.2)*8</f>
        <v>5725.12</v>
      </c>
      <c r="AC13" s="54">
        <f>((AD5-INT((AE5*5)/2)*0.18)+0.2)*8</f>
        <v>5728.3200000000006</v>
      </c>
      <c r="AD13" s="10" t="s">
        <v>9</v>
      </c>
      <c r="AE13" s="10" t="s">
        <v>9</v>
      </c>
      <c r="AF13" s="87" t="s">
        <v>35</v>
      </c>
      <c r="AG13" s="88"/>
      <c r="AH13" s="89"/>
      <c r="AI13" s="75"/>
      <c r="AJ13" s="55" t="s">
        <v>68</v>
      </c>
      <c r="AK13" s="54">
        <f>((AM5+INT((AN5*5)/2)*0.18)-0.2)*8</f>
        <v>5859.6799999999994</v>
      </c>
      <c r="AL13" s="54">
        <f>((AM5+INT((AN5*5)/2)*0.18)+0.2)*8</f>
        <v>5862.88</v>
      </c>
      <c r="AM13" s="10" t="s">
        <v>9</v>
      </c>
      <c r="AN13" s="10" t="s">
        <v>9</v>
      </c>
      <c r="AO13" s="90" t="s">
        <v>35</v>
      </c>
      <c r="AP13" s="90"/>
      <c r="AQ13" s="90"/>
      <c r="AR13" s="75"/>
      <c r="AS13" s="55" t="s">
        <v>68</v>
      </c>
      <c r="AT13" s="54">
        <f>(AV5-AW5/2)*8</f>
        <v>5624</v>
      </c>
      <c r="AU13" s="54">
        <f>(AV5+AW5/2)*8</f>
        <v>5664</v>
      </c>
      <c r="AV13" s="10" t="s">
        <v>9</v>
      </c>
      <c r="AW13" s="10" t="s">
        <v>9</v>
      </c>
      <c r="AX13" s="90" t="s">
        <v>35</v>
      </c>
      <c r="AY13" s="90"/>
      <c r="AZ13" s="90"/>
      <c r="BA13" s="75"/>
      <c r="BB13" s="55" t="s">
        <v>68</v>
      </c>
      <c r="BC13" s="54">
        <f>(BE5-BF5/2)*8</f>
        <v>5824</v>
      </c>
      <c r="BD13" s="54">
        <f>(BE5+BF5/2)*8</f>
        <v>5864</v>
      </c>
      <c r="BE13" s="10" t="s">
        <v>9</v>
      </c>
      <c r="BF13" s="10" t="s">
        <v>9</v>
      </c>
      <c r="BG13" s="90" t="s">
        <v>35</v>
      </c>
      <c r="BH13" s="90"/>
      <c r="BI13" s="90"/>
      <c r="BJ13" s="75"/>
      <c r="BK13" s="55" t="s">
        <v>68</v>
      </c>
      <c r="BL13" s="54">
        <f>((BN5-(INT((BO5*5)/2)-0.5)*0.18)-0.2)*8</f>
        <v>5631.12</v>
      </c>
      <c r="BM13" s="54">
        <f>((BN5-(INT((BO5*5)/2)-0.5)*0.18)+0.2)*8</f>
        <v>5634.3200000000006</v>
      </c>
      <c r="BN13" s="10" t="s">
        <v>9</v>
      </c>
      <c r="BO13" s="10" t="s">
        <v>9</v>
      </c>
      <c r="BP13" s="90" t="s">
        <v>35</v>
      </c>
      <c r="BQ13" s="90"/>
      <c r="BR13" s="90"/>
      <c r="BS13" s="75"/>
      <c r="BT13" s="55" t="s">
        <v>68</v>
      </c>
      <c r="BU13" s="54">
        <f>((BW5+(INT((BX5*5)/2)-0.5)*0.18)-0.2)*8</f>
        <v>5853.6799999999994</v>
      </c>
      <c r="BV13" s="54">
        <f>((BW5+(INT((BX5*5)/2)-0.5)*0.18)+0.2)*8</f>
        <v>5856.88</v>
      </c>
      <c r="BW13" s="10" t="s">
        <v>9</v>
      </c>
      <c r="BX13" s="10" t="s">
        <v>9</v>
      </c>
      <c r="BY13" s="90" t="s">
        <v>35</v>
      </c>
      <c r="BZ13" s="90"/>
      <c r="CA13" s="90"/>
      <c r="CB13" s="75"/>
      <c r="CC13" s="55" t="s">
        <v>68</v>
      </c>
      <c r="CD13" s="54">
        <f>(CF5-CG5/2)*8</f>
        <v>5624</v>
      </c>
      <c r="CE13" s="54">
        <f>(CF5+CG5/2)*8</f>
        <v>5784</v>
      </c>
      <c r="CF13" s="10" t="s">
        <v>9</v>
      </c>
      <c r="CG13" s="10" t="s">
        <v>9</v>
      </c>
      <c r="CH13" s="90" t="s">
        <v>35</v>
      </c>
      <c r="CI13" s="90"/>
      <c r="CJ13" s="90"/>
      <c r="CK13" s="75"/>
      <c r="CL13" s="55" t="s">
        <v>68</v>
      </c>
      <c r="CM13" s="54">
        <f>(CO5-CP5/2)*8</f>
        <v>5704</v>
      </c>
      <c r="CN13" s="54">
        <f>(CO5+CP5/2)*8</f>
        <v>5864</v>
      </c>
      <c r="CO13" s="10" t="s">
        <v>9</v>
      </c>
      <c r="CP13" s="10" t="s">
        <v>9</v>
      </c>
      <c r="CQ13" s="90" t="s">
        <v>35</v>
      </c>
      <c r="CR13" s="90"/>
      <c r="CS13" s="90"/>
      <c r="CT13" s="75"/>
      <c r="CU13" s="55" t="s">
        <v>68</v>
      </c>
    </row>
    <row r="14" spans="1:99" ht="15">
      <c r="A14" s="54">
        <f>((C5-INT((D5*5)/2)*0.18)-0.2)*9</f>
        <v>6327.36</v>
      </c>
      <c r="B14" s="54">
        <f>((C5-INT((D5*5)/2)*0.18)+0.2)*9</f>
        <v>6330.9600000000009</v>
      </c>
      <c r="C14" s="10" t="s">
        <v>9</v>
      </c>
      <c r="D14" s="10" t="s">
        <v>9</v>
      </c>
      <c r="E14" s="90" t="s">
        <v>35</v>
      </c>
      <c r="F14" s="90"/>
      <c r="G14" s="90"/>
      <c r="H14" s="75"/>
      <c r="I14" s="55" t="s">
        <v>71</v>
      </c>
      <c r="J14" s="54">
        <f>((L5+INT((M5*5)/2)*0.18)-0.2)*9</f>
        <v>6593.0399999999991</v>
      </c>
      <c r="K14" s="54">
        <f>((L5+INT((M5*5)/2)*0.18)+0.2)*9</f>
        <v>6596.64</v>
      </c>
      <c r="L14" s="10" t="s">
        <v>9</v>
      </c>
      <c r="M14" s="10" t="s">
        <v>9</v>
      </c>
      <c r="N14" s="90" t="s">
        <v>35</v>
      </c>
      <c r="O14" s="90"/>
      <c r="P14" s="90"/>
      <c r="Q14" s="75"/>
      <c r="R14" s="55" t="s">
        <v>71</v>
      </c>
      <c r="S14" s="54">
        <f>((U5-INT((V5*5)/2)*0.18)-0.2)*9</f>
        <v>6328.26</v>
      </c>
      <c r="T14" s="54">
        <f>((U5-INT((V5*5)/2)*0.18)+0.2)*9</f>
        <v>6331.8600000000006</v>
      </c>
      <c r="U14" s="10" t="s">
        <v>9</v>
      </c>
      <c r="V14" s="10" t="s">
        <v>9</v>
      </c>
      <c r="W14" s="90" t="s">
        <v>35</v>
      </c>
      <c r="X14" s="90"/>
      <c r="Y14" s="90"/>
      <c r="Z14" s="75"/>
      <c r="AA14" s="55" t="s">
        <v>71</v>
      </c>
      <c r="AB14" s="54">
        <f>((AD5-INT((AE5*5)/2)*0.18)-0.2)*9</f>
        <v>6440.76</v>
      </c>
      <c r="AC14" s="54">
        <f>((AD5-INT((AE5*5)/2)*0.18)+0.2)*9</f>
        <v>6444.3600000000006</v>
      </c>
      <c r="AD14" s="10" t="s">
        <v>9</v>
      </c>
      <c r="AE14" s="10" t="s">
        <v>9</v>
      </c>
      <c r="AF14" s="87" t="s">
        <v>35</v>
      </c>
      <c r="AG14" s="88"/>
      <c r="AH14" s="89"/>
      <c r="AI14" s="75"/>
      <c r="AJ14" s="55" t="s">
        <v>71</v>
      </c>
      <c r="AK14" s="54">
        <f>((AM5+INT((AN5*5)/2)*0.18)-0.2)*9</f>
        <v>6592.1399999999994</v>
      </c>
      <c r="AL14" s="54">
        <f>((AM5+INT((AN5*5)/2)*0.18)+0.2)*9</f>
        <v>6595.74</v>
      </c>
      <c r="AM14" s="10" t="s">
        <v>9</v>
      </c>
      <c r="AN14" s="10" t="s">
        <v>9</v>
      </c>
      <c r="AO14" s="90" t="s">
        <v>35</v>
      </c>
      <c r="AP14" s="90"/>
      <c r="AQ14" s="90"/>
      <c r="AR14" s="75"/>
      <c r="AS14" s="55" t="s">
        <v>71</v>
      </c>
      <c r="AT14" s="54">
        <f>(AV5-AW5/2)*9</f>
        <v>6327</v>
      </c>
      <c r="AU14" s="54">
        <f>(AV5+AW5/2)*9</f>
        <v>6372</v>
      </c>
      <c r="AV14" s="10" t="s">
        <v>9</v>
      </c>
      <c r="AW14" s="10" t="s">
        <v>9</v>
      </c>
      <c r="AX14" s="90" t="s">
        <v>35</v>
      </c>
      <c r="AY14" s="90"/>
      <c r="AZ14" s="90"/>
      <c r="BA14" s="75"/>
      <c r="BB14" s="55" t="s">
        <v>71</v>
      </c>
      <c r="BC14" s="54">
        <f>(BE5-BF5/2)*9</f>
        <v>6552</v>
      </c>
      <c r="BD14" s="54">
        <f>(BE5+BF5/2)*9</f>
        <v>6597</v>
      </c>
      <c r="BE14" s="10" t="s">
        <v>9</v>
      </c>
      <c r="BF14" s="10" t="s">
        <v>9</v>
      </c>
      <c r="BG14" s="90" t="s">
        <v>35</v>
      </c>
      <c r="BH14" s="90"/>
      <c r="BI14" s="90"/>
      <c r="BJ14" s="75"/>
      <c r="BK14" s="55" t="s">
        <v>71</v>
      </c>
      <c r="BL14" s="54">
        <f>((BN5-(INT((BO5*5)/2)-0.5)*0.18)-0.2)*9</f>
        <v>6335.01</v>
      </c>
      <c r="BM14" s="54">
        <f>((BN5-(INT((BO5*5)/2)-0.5)*0.18)+0.2)*9</f>
        <v>6338.6100000000006</v>
      </c>
      <c r="BN14" s="10" t="s">
        <v>9</v>
      </c>
      <c r="BO14" s="10" t="s">
        <v>9</v>
      </c>
      <c r="BP14" s="90" t="s">
        <v>35</v>
      </c>
      <c r="BQ14" s="90"/>
      <c r="BR14" s="90"/>
      <c r="BS14" s="75"/>
      <c r="BT14" s="55" t="s">
        <v>71</v>
      </c>
      <c r="BU14" s="54">
        <f>((BW5+(INT((BX5*5)/2)-0.5)*0.18)-0.2)*9</f>
        <v>6585.3899999999994</v>
      </c>
      <c r="BV14" s="54">
        <f>((BW5+(INT((BX5*5)/2)-0.5)*0.18)+0.2)*9</f>
        <v>6588.99</v>
      </c>
      <c r="BW14" s="10" t="s">
        <v>9</v>
      </c>
      <c r="BX14" s="10" t="s">
        <v>9</v>
      </c>
      <c r="BY14" s="90" t="s">
        <v>35</v>
      </c>
      <c r="BZ14" s="90"/>
      <c r="CA14" s="90"/>
      <c r="CB14" s="75"/>
      <c r="CC14" s="55" t="s">
        <v>71</v>
      </c>
      <c r="CD14" s="54">
        <f>(CF5-CG5/2)*9</f>
        <v>6327</v>
      </c>
      <c r="CE14" s="54">
        <f>(CF5+CG5/2)*9</f>
        <v>6507</v>
      </c>
      <c r="CF14" s="10" t="s">
        <v>9</v>
      </c>
      <c r="CG14" s="10" t="s">
        <v>9</v>
      </c>
      <c r="CH14" s="90" t="s">
        <v>35</v>
      </c>
      <c r="CI14" s="90"/>
      <c r="CJ14" s="90"/>
      <c r="CK14" s="75"/>
      <c r="CL14" s="55" t="s">
        <v>71</v>
      </c>
      <c r="CM14" s="54">
        <f>(CO5-CP5/2)*9</f>
        <v>6417</v>
      </c>
      <c r="CN14" s="54">
        <f>(CO5+CP5/2)*9</f>
        <v>6597</v>
      </c>
      <c r="CO14" s="10" t="s">
        <v>9</v>
      </c>
      <c r="CP14" s="10" t="s">
        <v>9</v>
      </c>
      <c r="CQ14" s="90" t="s">
        <v>35</v>
      </c>
      <c r="CR14" s="90"/>
      <c r="CS14" s="90"/>
      <c r="CT14" s="75"/>
      <c r="CU14" s="55" t="s">
        <v>71</v>
      </c>
    </row>
    <row r="15" spans="1:99" ht="15">
      <c r="A15" s="54">
        <f>((C5-INT((D5*5)/2)*0.18)-0.2)*10</f>
        <v>7030.4</v>
      </c>
      <c r="B15" s="54">
        <f>((C5-INT((D5*5)/2)*0.18)+0.2)*10</f>
        <v>7034.4000000000005</v>
      </c>
      <c r="C15" s="10" t="s">
        <v>9</v>
      </c>
      <c r="D15" s="10" t="s">
        <v>9</v>
      </c>
      <c r="E15" s="90" t="s">
        <v>35</v>
      </c>
      <c r="F15" s="90"/>
      <c r="G15" s="90"/>
      <c r="H15" s="75"/>
      <c r="I15" s="55" t="s">
        <v>74</v>
      </c>
      <c r="J15" s="54">
        <f>((L5+INT((M5*5)/2)*0.18)-0.2)*10</f>
        <v>7325.5999999999995</v>
      </c>
      <c r="K15" s="54">
        <f>((L5+INT((M5*5)/2)*0.18)+0.2)*10</f>
        <v>7329.6</v>
      </c>
      <c r="L15" s="10" t="s">
        <v>9</v>
      </c>
      <c r="M15" s="10" t="s">
        <v>9</v>
      </c>
      <c r="N15" s="90" t="s">
        <v>35</v>
      </c>
      <c r="O15" s="90"/>
      <c r="P15" s="90"/>
      <c r="Q15" s="75"/>
      <c r="R15" s="55" t="s">
        <v>74</v>
      </c>
      <c r="S15" s="54">
        <f>((U5-INT((V5*5)/2)*0.18)-0.2)*10</f>
        <v>7031.4</v>
      </c>
      <c r="T15" s="54">
        <f>((U5-INT((V5*5)/2)*0.18)+0.2)*10</f>
        <v>7035.4000000000005</v>
      </c>
      <c r="U15" s="10" t="s">
        <v>9</v>
      </c>
      <c r="V15" s="10" t="s">
        <v>9</v>
      </c>
      <c r="W15" s="90" t="s">
        <v>35</v>
      </c>
      <c r="X15" s="90"/>
      <c r="Y15" s="90"/>
      <c r="Z15" s="75"/>
      <c r="AA15" s="55" t="s">
        <v>74</v>
      </c>
      <c r="AB15" s="54">
        <f>((AD5-INT((AE5*5)/2)*0.18)-0.2)*10</f>
        <v>7156.4</v>
      </c>
      <c r="AC15" s="54">
        <f>((AD5-INT((AE5*5)/2)*0.18)+0.2)*10</f>
        <v>7160.4000000000005</v>
      </c>
      <c r="AD15" s="10" t="s">
        <v>9</v>
      </c>
      <c r="AE15" s="10" t="s">
        <v>9</v>
      </c>
      <c r="AF15" s="87" t="s">
        <v>35</v>
      </c>
      <c r="AG15" s="88"/>
      <c r="AH15" s="89"/>
      <c r="AI15" s="75"/>
      <c r="AJ15" s="55" t="s">
        <v>74</v>
      </c>
      <c r="AK15" s="54">
        <f>((AM5+INT((AN5*5)/2)*0.18)-0.2)*10</f>
        <v>7324.5999999999995</v>
      </c>
      <c r="AL15" s="54">
        <f>((AM5+INT((AN5*5)/2)*0.18)+0.2)*10</f>
        <v>7328.6</v>
      </c>
      <c r="AM15" s="10" t="s">
        <v>9</v>
      </c>
      <c r="AN15" s="10" t="s">
        <v>9</v>
      </c>
      <c r="AO15" s="90" t="s">
        <v>35</v>
      </c>
      <c r="AP15" s="90"/>
      <c r="AQ15" s="90"/>
      <c r="AR15" s="75"/>
      <c r="AS15" s="55" t="s">
        <v>74</v>
      </c>
      <c r="AT15" s="54">
        <f>(AV5-AW5/2)*10</f>
        <v>7030</v>
      </c>
      <c r="AU15" s="54">
        <f>(AV5+AW5/2)*10</f>
        <v>7080</v>
      </c>
      <c r="AV15" s="10" t="s">
        <v>9</v>
      </c>
      <c r="AW15" s="10" t="s">
        <v>9</v>
      </c>
      <c r="AX15" s="90" t="s">
        <v>35</v>
      </c>
      <c r="AY15" s="90"/>
      <c r="AZ15" s="90"/>
      <c r="BA15" s="75"/>
      <c r="BB15" s="55" t="s">
        <v>74</v>
      </c>
      <c r="BC15" s="54">
        <f>(BE5-BF5/2)*10</f>
        <v>7280</v>
      </c>
      <c r="BD15" s="54">
        <f>(BE5+BF5/2)*10</f>
        <v>7330</v>
      </c>
      <c r="BE15" s="10" t="s">
        <v>9</v>
      </c>
      <c r="BF15" s="10" t="s">
        <v>9</v>
      </c>
      <c r="BG15" s="90" t="s">
        <v>35</v>
      </c>
      <c r="BH15" s="90"/>
      <c r="BI15" s="90"/>
      <c r="BJ15" s="75"/>
      <c r="BK15" s="55" t="s">
        <v>74</v>
      </c>
      <c r="BL15" s="54">
        <f>((BN5-(INT((BO5*5)/2)-0.5)*0.18)-0.2)*10</f>
        <v>7038.9</v>
      </c>
      <c r="BM15" s="54">
        <f>((BN5-(INT((BO5*5)/2)-0.5)*0.18)+0.2)*10</f>
        <v>7042.9000000000005</v>
      </c>
      <c r="BN15" s="10" t="s">
        <v>9</v>
      </c>
      <c r="BO15" s="10" t="s">
        <v>9</v>
      </c>
      <c r="BP15" s="90" t="s">
        <v>35</v>
      </c>
      <c r="BQ15" s="90"/>
      <c r="BR15" s="90"/>
      <c r="BS15" s="75"/>
      <c r="BT15" s="55" t="s">
        <v>74</v>
      </c>
      <c r="BU15" s="54">
        <f>((BW5+(INT((BX5*5)/2)-0.5)*0.18)-0.2)*10</f>
        <v>7317.0999999999995</v>
      </c>
      <c r="BV15" s="54">
        <f>((BW5+(INT((BX5*5)/2)-0.5)*0.18)+0.2)*10</f>
        <v>7321.1</v>
      </c>
      <c r="BW15" s="10" t="s">
        <v>9</v>
      </c>
      <c r="BX15" s="10" t="s">
        <v>9</v>
      </c>
      <c r="BY15" s="90" t="s">
        <v>35</v>
      </c>
      <c r="BZ15" s="90"/>
      <c r="CA15" s="90"/>
      <c r="CB15" s="75"/>
      <c r="CC15" s="55" t="s">
        <v>74</v>
      </c>
      <c r="CD15" s="54">
        <f>(CF5-CG5/2)*10</f>
        <v>7030</v>
      </c>
      <c r="CE15" s="54">
        <f>(CF5+CG5/2)*10</f>
        <v>7230</v>
      </c>
      <c r="CF15" s="10" t="s">
        <v>9</v>
      </c>
      <c r="CG15" s="10" t="s">
        <v>9</v>
      </c>
      <c r="CH15" s="90" t="s">
        <v>35</v>
      </c>
      <c r="CI15" s="90"/>
      <c r="CJ15" s="90"/>
      <c r="CK15" s="75"/>
      <c r="CL15" s="55" t="s">
        <v>74</v>
      </c>
      <c r="CM15" s="54">
        <f>(CO5-CP5/2)*10</f>
        <v>7130</v>
      </c>
      <c r="CN15" s="54">
        <f>(CO5+CP5/2)*10</f>
        <v>7330</v>
      </c>
      <c r="CO15" s="10" t="s">
        <v>9</v>
      </c>
      <c r="CP15" s="10" t="s">
        <v>9</v>
      </c>
      <c r="CQ15" s="90" t="s">
        <v>35</v>
      </c>
      <c r="CR15" s="90"/>
      <c r="CS15" s="90"/>
      <c r="CT15" s="75"/>
      <c r="CU15" s="55" t="s">
        <v>74</v>
      </c>
    </row>
    <row r="16" spans="1:99" ht="15">
      <c r="A16" s="54">
        <f>((C5-INT((D5*5)/2)*0.18)-0.2)*11</f>
        <v>7733.44</v>
      </c>
      <c r="B16" s="54">
        <f>((C5-INT((D5*5)/2)*0.18)+0.2)*11</f>
        <v>7737.84</v>
      </c>
      <c r="C16" s="10" t="s">
        <v>9</v>
      </c>
      <c r="D16" s="10" t="s">
        <v>9</v>
      </c>
      <c r="E16" s="90" t="s">
        <v>35</v>
      </c>
      <c r="F16" s="90"/>
      <c r="G16" s="90"/>
      <c r="H16" s="75"/>
      <c r="I16" s="55" t="s">
        <v>77</v>
      </c>
      <c r="J16" s="54">
        <f>((L5+INT((M5*5)/2)*0.18)-0.2)*11</f>
        <v>8058.16</v>
      </c>
      <c r="K16" s="54">
        <f>((L5+INT((M5*5)/2)*0.18)+0.2)*11</f>
        <v>8062.56</v>
      </c>
      <c r="L16" s="10" t="s">
        <v>9</v>
      </c>
      <c r="M16" s="10" t="s">
        <v>9</v>
      </c>
      <c r="N16" s="90" t="s">
        <v>35</v>
      </c>
      <c r="O16" s="90"/>
      <c r="P16" s="90"/>
      <c r="Q16" s="75"/>
      <c r="R16" s="55" t="s">
        <v>77</v>
      </c>
      <c r="S16" s="54">
        <f>((U5-INT((V5*5)/2)*0.18)-0.2)*11</f>
        <v>7734.54</v>
      </c>
      <c r="T16" s="54">
        <f>((U5-INT((V5*5)/2)*0.18)+0.2)*11</f>
        <v>7738.9400000000005</v>
      </c>
      <c r="U16" s="10" t="s">
        <v>9</v>
      </c>
      <c r="V16" s="10" t="s">
        <v>9</v>
      </c>
      <c r="W16" s="90" t="s">
        <v>35</v>
      </c>
      <c r="X16" s="90"/>
      <c r="Y16" s="90"/>
      <c r="Z16" s="75"/>
      <c r="AA16" s="55" t="s">
        <v>77</v>
      </c>
      <c r="AB16" s="54">
        <f>((AD5-INT((AE5*5)/2)*0.18)-0.2)*11</f>
        <v>7872.04</v>
      </c>
      <c r="AC16" s="54">
        <f>((AD5-INT((AE5*5)/2)*0.18)+0.2)*11</f>
        <v>7876.4400000000005</v>
      </c>
      <c r="AD16" s="10" t="s">
        <v>9</v>
      </c>
      <c r="AE16" s="10" t="s">
        <v>9</v>
      </c>
      <c r="AF16" s="87" t="s">
        <v>35</v>
      </c>
      <c r="AG16" s="88"/>
      <c r="AH16" s="89"/>
      <c r="AI16" s="75"/>
      <c r="AJ16" s="55" t="s">
        <v>77</v>
      </c>
      <c r="AK16" s="54">
        <f>((AM5+INT((AN5*5)/2)*0.18)-0.2)*11</f>
        <v>8057.0599999999995</v>
      </c>
      <c r="AL16" s="54">
        <f>((AM5+INT((AN5*5)/2)*0.18)+0.2)*11</f>
        <v>8061.46</v>
      </c>
      <c r="AM16" s="10" t="s">
        <v>9</v>
      </c>
      <c r="AN16" s="10" t="s">
        <v>9</v>
      </c>
      <c r="AO16" s="90" t="s">
        <v>35</v>
      </c>
      <c r="AP16" s="90"/>
      <c r="AQ16" s="90"/>
      <c r="AR16" s="75"/>
      <c r="AS16" s="55" t="s">
        <v>77</v>
      </c>
      <c r="AT16" s="54">
        <f>(AV5-AW5/2)*11</f>
        <v>7733</v>
      </c>
      <c r="AU16" s="54">
        <f>(AV5+AW5/2)*11</f>
        <v>7788</v>
      </c>
      <c r="AV16" s="10" t="s">
        <v>9</v>
      </c>
      <c r="AW16" s="10" t="s">
        <v>9</v>
      </c>
      <c r="AX16" s="90" t="s">
        <v>35</v>
      </c>
      <c r="AY16" s="90"/>
      <c r="AZ16" s="90"/>
      <c r="BA16" s="75"/>
      <c r="BB16" s="55" t="s">
        <v>77</v>
      </c>
      <c r="BC16" s="54">
        <f>(BE5-BF5/2)*11</f>
        <v>8008</v>
      </c>
      <c r="BD16" s="54">
        <f>(BE5+BF5/2)*11</f>
        <v>8063</v>
      </c>
      <c r="BE16" s="10" t="s">
        <v>9</v>
      </c>
      <c r="BF16" s="10" t="s">
        <v>9</v>
      </c>
      <c r="BG16" s="90" t="s">
        <v>35</v>
      </c>
      <c r="BH16" s="90"/>
      <c r="BI16" s="90"/>
      <c r="BJ16" s="75"/>
      <c r="BK16" s="55" t="s">
        <v>77</v>
      </c>
      <c r="BL16" s="54">
        <f>((BN5-(INT((BO5*5)/2)-0.5)*0.18)-0.2)*11</f>
        <v>7742.79</v>
      </c>
      <c r="BM16" s="54">
        <f>((BN5-(INT((BO5*5)/2)-0.5)*0.18)+0.2)*11</f>
        <v>7747.1900000000005</v>
      </c>
      <c r="BN16" s="10" t="s">
        <v>9</v>
      </c>
      <c r="BO16" s="10" t="s">
        <v>9</v>
      </c>
      <c r="BP16" s="90" t="s">
        <v>35</v>
      </c>
      <c r="BQ16" s="90"/>
      <c r="BR16" s="90"/>
      <c r="BS16" s="75"/>
      <c r="BT16" s="55" t="s">
        <v>77</v>
      </c>
      <c r="BU16" s="54">
        <f>((BW5+(INT((BX5*5)/2)-0.5)*0.18)-0.2)*11</f>
        <v>8048.8099999999995</v>
      </c>
      <c r="BV16" s="54">
        <f>((BW5+(INT((BX5*5)/2)-0.5)*0.18)+0.2)*11</f>
        <v>8053.21</v>
      </c>
      <c r="BW16" s="10" t="s">
        <v>9</v>
      </c>
      <c r="BX16" s="10" t="s">
        <v>9</v>
      </c>
      <c r="BY16" s="90" t="s">
        <v>35</v>
      </c>
      <c r="BZ16" s="90"/>
      <c r="CA16" s="90"/>
      <c r="CB16" s="75"/>
      <c r="CC16" s="55" t="s">
        <v>77</v>
      </c>
      <c r="CD16" s="54">
        <f>(CF5-CG5/2)*11</f>
        <v>7733</v>
      </c>
      <c r="CE16" s="54">
        <f>(CF5+CG5/2)*11</f>
        <v>7953</v>
      </c>
      <c r="CF16" s="10" t="s">
        <v>9</v>
      </c>
      <c r="CG16" s="10" t="s">
        <v>9</v>
      </c>
      <c r="CH16" s="90" t="s">
        <v>35</v>
      </c>
      <c r="CI16" s="90"/>
      <c r="CJ16" s="90"/>
      <c r="CK16" s="75"/>
      <c r="CL16" s="55" t="s">
        <v>77</v>
      </c>
      <c r="CM16" s="54">
        <f>(CO5-CP5/2)*11</f>
        <v>7843</v>
      </c>
      <c r="CN16" s="54">
        <f>(CO5+CP5/2)*11</f>
        <v>8063</v>
      </c>
      <c r="CO16" s="10" t="s">
        <v>9</v>
      </c>
      <c r="CP16" s="10" t="s">
        <v>9</v>
      </c>
      <c r="CQ16" s="90" t="s">
        <v>35</v>
      </c>
      <c r="CR16" s="90"/>
      <c r="CS16" s="90"/>
      <c r="CT16" s="75"/>
      <c r="CU16" s="55" t="s">
        <v>77</v>
      </c>
    </row>
    <row r="17" spans="1:99" ht="15">
      <c r="A17" s="54">
        <f>((C5-INT((D5*5)/2)*0.18)-0.2)*12</f>
        <v>8436.48</v>
      </c>
      <c r="B17" s="54">
        <f>((C5-INT((D5*5)/2)*0.18)+0.2)*12</f>
        <v>8441.2800000000007</v>
      </c>
      <c r="C17" s="10" t="s">
        <v>9</v>
      </c>
      <c r="D17" s="10" t="s">
        <v>9</v>
      </c>
      <c r="E17" s="90" t="s">
        <v>35</v>
      </c>
      <c r="F17" s="90"/>
      <c r="G17" s="90"/>
      <c r="H17" s="75"/>
      <c r="I17" s="55" t="s">
        <v>80</v>
      </c>
      <c r="J17" s="54">
        <f>((L5+INT((M5*5)/2)*0.18)-0.2)*12</f>
        <v>8790.7199999999993</v>
      </c>
      <c r="K17" s="54">
        <f>((L5+INT((M5*5)/2)*0.18)+0.2)*12</f>
        <v>8795.52</v>
      </c>
      <c r="L17" s="10" t="s">
        <v>9</v>
      </c>
      <c r="M17" s="10" t="s">
        <v>9</v>
      </c>
      <c r="N17" s="90" t="s">
        <v>35</v>
      </c>
      <c r="O17" s="90"/>
      <c r="P17" s="90"/>
      <c r="Q17" s="75"/>
      <c r="R17" s="55" t="s">
        <v>80</v>
      </c>
      <c r="S17" s="54">
        <f>((U5-INT((V5*5)/2)*0.18)-0.2)*12</f>
        <v>8437.68</v>
      </c>
      <c r="T17" s="54">
        <f>((U5-INT((V5*5)/2)*0.18)+0.2)*12</f>
        <v>8442.4800000000014</v>
      </c>
      <c r="U17" s="10" t="s">
        <v>9</v>
      </c>
      <c r="V17" s="10" t="s">
        <v>9</v>
      </c>
      <c r="W17" s="90" t="s">
        <v>35</v>
      </c>
      <c r="X17" s="90"/>
      <c r="Y17" s="90"/>
      <c r="Z17" s="75"/>
      <c r="AA17" s="55" t="s">
        <v>80</v>
      </c>
      <c r="AB17" s="54">
        <f>((AD5-INT((AE5*5)/2)*0.18)-0.2)*12</f>
        <v>8587.68</v>
      </c>
      <c r="AC17" s="54">
        <f>((AD5-INT((AE5*5)/2)*0.18)+0.2)*12</f>
        <v>8592.4800000000014</v>
      </c>
      <c r="AD17" s="10" t="s">
        <v>9</v>
      </c>
      <c r="AE17" s="10" t="s">
        <v>9</v>
      </c>
      <c r="AF17" s="87" t="s">
        <v>35</v>
      </c>
      <c r="AG17" s="88"/>
      <c r="AH17" s="89"/>
      <c r="AI17" s="75"/>
      <c r="AJ17" s="55" t="s">
        <v>80</v>
      </c>
      <c r="AK17" s="54">
        <f>((AM5+INT((AN5*5)/2)*0.18)-0.2)*12</f>
        <v>8789.5199999999986</v>
      </c>
      <c r="AL17" s="54">
        <f>((AM5+INT((AN5*5)/2)*0.18)+0.2)*12</f>
        <v>8794.32</v>
      </c>
      <c r="AM17" s="10" t="s">
        <v>9</v>
      </c>
      <c r="AN17" s="10" t="s">
        <v>9</v>
      </c>
      <c r="AO17" s="90" t="s">
        <v>35</v>
      </c>
      <c r="AP17" s="90"/>
      <c r="AQ17" s="90"/>
      <c r="AR17" s="75"/>
      <c r="AS17" s="55" t="s">
        <v>80</v>
      </c>
      <c r="AT17" s="54">
        <f>(AV5-AW5/2)*12</f>
        <v>8436</v>
      </c>
      <c r="AU17" s="54">
        <f>(AV5+AW5/2)*12</f>
        <v>8496</v>
      </c>
      <c r="AV17" s="10" t="s">
        <v>9</v>
      </c>
      <c r="AW17" s="10" t="s">
        <v>9</v>
      </c>
      <c r="AX17" s="90" t="s">
        <v>35</v>
      </c>
      <c r="AY17" s="90"/>
      <c r="AZ17" s="90"/>
      <c r="BA17" s="75"/>
      <c r="BB17" s="55" t="s">
        <v>80</v>
      </c>
      <c r="BC17" s="54">
        <f>(BE5-BF5/2)*12</f>
        <v>8736</v>
      </c>
      <c r="BD17" s="54">
        <f>(BE5+BF5/2)*12</f>
        <v>8796</v>
      </c>
      <c r="BE17" s="10" t="s">
        <v>9</v>
      </c>
      <c r="BF17" s="10" t="s">
        <v>9</v>
      </c>
      <c r="BG17" s="90" t="s">
        <v>35</v>
      </c>
      <c r="BH17" s="90"/>
      <c r="BI17" s="90"/>
      <c r="BJ17" s="75"/>
      <c r="BK17" s="55" t="s">
        <v>80</v>
      </c>
      <c r="BL17" s="54">
        <f>((BN5-(INT((BO5*5)/2)-0.5)*0.18)-0.2)*12</f>
        <v>8446.68</v>
      </c>
      <c r="BM17" s="54">
        <f>((BN5-(INT((BO5*5)/2)-0.5)*0.18)+0.2)*12</f>
        <v>8451.4800000000014</v>
      </c>
      <c r="BN17" s="10" t="s">
        <v>9</v>
      </c>
      <c r="BO17" s="10" t="s">
        <v>9</v>
      </c>
      <c r="BP17" s="90" t="s">
        <v>35</v>
      </c>
      <c r="BQ17" s="90"/>
      <c r="BR17" s="90"/>
      <c r="BS17" s="75"/>
      <c r="BT17" s="55" t="s">
        <v>80</v>
      </c>
      <c r="BU17" s="54">
        <f>((BW5+(INT((BX5*5)/2)-0.5)*0.18)-0.2)*12</f>
        <v>8780.5199999999986</v>
      </c>
      <c r="BV17" s="54">
        <f>((BW5+(INT((BX5*5)/2)-0.5)*0.18)+0.2)*12</f>
        <v>8785.32</v>
      </c>
      <c r="BW17" s="10" t="s">
        <v>9</v>
      </c>
      <c r="BX17" s="10" t="s">
        <v>9</v>
      </c>
      <c r="BY17" s="90" t="s">
        <v>35</v>
      </c>
      <c r="BZ17" s="90"/>
      <c r="CA17" s="90"/>
      <c r="CB17" s="75"/>
      <c r="CC17" s="55" t="s">
        <v>80</v>
      </c>
      <c r="CD17" s="54">
        <f>(CF5-CG5/2)*12</f>
        <v>8436</v>
      </c>
      <c r="CE17" s="54">
        <f>(CF5+CG5/2)*12</f>
        <v>8676</v>
      </c>
      <c r="CF17" s="10" t="s">
        <v>9</v>
      </c>
      <c r="CG17" s="10" t="s">
        <v>9</v>
      </c>
      <c r="CH17" s="90" t="s">
        <v>35</v>
      </c>
      <c r="CI17" s="90"/>
      <c r="CJ17" s="90"/>
      <c r="CK17" s="75"/>
      <c r="CL17" s="55" t="s">
        <v>80</v>
      </c>
      <c r="CM17" s="54">
        <f>(CO5-CP5/2)*12</f>
        <v>8556</v>
      </c>
      <c r="CN17" s="54">
        <f>(CO5+CP5/2)*12</f>
        <v>8796</v>
      </c>
      <c r="CO17" s="10" t="s">
        <v>9</v>
      </c>
      <c r="CP17" s="10" t="s">
        <v>9</v>
      </c>
      <c r="CQ17" s="90" t="s">
        <v>35</v>
      </c>
      <c r="CR17" s="90"/>
      <c r="CS17" s="90"/>
      <c r="CT17" s="75"/>
      <c r="CU17" s="55" t="s">
        <v>80</v>
      </c>
    </row>
    <row r="18" spans="1:99" ht="15">
      <c r="A18" s="54">
        <f>((C5-INT((D5*5)/2)*0.18)-0.2)*13</f>
        <v>9139.52</v>
      </c>
      <c r="B18" s="54">
        <f>((C5-INT((D5*5)/2)*0.18)+0.2)*13</f>
        <v>9144.7200000000012</v>
      </c>
      <c r="C18" s="10" t="s">
        <v>9</v>
      </c>
      <c r="D18" s="10" t="s">
        <v>9</v>
      </c>
      <c r="E18" s="90" t="s">
        <v>35</v>
      </c>
      <c r="F18" s="90"/>
      <c r="G18" s="90"/>
      <c r="H18" s="75"/>
      <c r="I18" s="55" t="s">
        <v>83</v>
      </c>
      <c r="J18" s="54">
        <f>((L5+INT((M5*5)/2)*0.18)-0.2)*13</f>
        <v>9523.2799999999988</v>
      </c>
      <c r="K18" s="54">
        <f>((L5+INT((M5*5)/2)*0.18)+0.2)*13</f>
        <v>9528.48</v>
      </c>
      <c r="L18" s="10" t="s">
        <v>9</v>
      </c>
      <c r="M18" s="10" t="s">
        <v>9</v>
      </c>
      <c r="N18" s="90" t="s">
        <v>35</v>
      </c>
      <c r="O18" s="90"/>
      <c r="P18" s="90"/>
      <c r="Q18" s="75"/>
      <c r="R18" s="55" t="s">
        <v>83</v>
      </c>
      <c r="S18" s="54">
        <f>((U5-INT((V5*5)/2)*0.18)-0.2)*13</f>
        <v>9140.82</v>
      </c>
      <c r="T18" s="54">
        <f>((U5-INT((V5*5)/2)*0.18)+0.2)*13</f>
        <v>9146.02</v>
      </c>
      <c r="U18" s="10" t="s">
        <v>9</v>
      </c>
      <c r="V18" s="10" t="s">
        <v>9</v>
      </c>
      <c r="W18" s="90" t="s">
        <v>35</v>
      </c>
      <c r="X18" s="90"/>
      <c r="Y18" s="90"/>
      <c r="Z18" s="75"/>
      <c r="AA18" s="55" t="s">
        <v>83</v>
      </c>
      <c r="AB18" s="54">
        <f>((AD5-INT((AE5*5)/2)*0.18)-0.2)*13</f>
        <v>9303.32</v>
      </c>
      <c r="AC18" s="54">
        <f>((AD5-INT((AE5*5)/2)*0.18)+0.2)*13</f>
        <v>9308.52</v>
      </c>
      <c r="AD18" s="10" t="s">
        <v>9</v>
      </c>
      <c r="AE18" s="10" t="s">
        <v>9</v>
      </c>
      <c r="AF18" s="87" t="s">
        <v>35</v>
      </c>
      <c r="AG18" s="88"/>
      <c r="AH18" s="89"/>
      <c r="AI18" s="75"/>
      <c r="AJ18" s="55" t="s">
        <v>83</v>
      </c>
      <c r="AK18" s="54">
        <f>((AM5+INT((AN5*5)/2)*0.18)-0.2)*13</f>
        <v>9521.98</v>
      </c>
      <c r="AL18" s="54">
        <f>((AM5+INT((AN5*5)/2)*0.18)+0.2)*13</f>
        <v>9527.18</v>
      </c>
      <c r="AM18" s="10" t="s">
        <v>9</v>
      </c>
      <c r="AN18" s="10" t="s">
        <v>9</v>
      </c>
      <c r="AO18" s="90" t="s">
        <v>35</v>
      </c>
      <c r="AP18" s="90"/>
      <c r="AQ18" s="90"/>
      <c r="AR18" s="75"/>
      <c r="AS18" s="55" t="s">
        <v>83</v>
      </c>
      <c r="AT18" s="54">
        <f>(AV5-AW5/2)*13</f>
        <v>9139</v>
      </c>
      <c r="AU18" s="54">
        <f>(AV5+AW5/2)*13</f>
        <v>9204</v>
      </c>
      <c r="AV18" s="10" t="s">
        <v>9</v>
      </c>
      <c r="AW18" s="10" t="s">
        <v>9</v>
      </c>
      <c r="AX18" s="90" t="s">
        <v>35</v>
      </c>
      <c r="AY18" s="90"/>
      <c r="AZ18" s="90"/>
      <c r="BA18" s="75"/>
      <c r="BB18" s="55" t="s">
        <v>83</v>
      </c>
      <c r="BC18" s="54">
        <f>(BE5-BF5/2)*13</f>
        <v>9464</v>
      </c>
      <c r="BD18" s="54">
        <f>(BE5+BF5/2)*13</f>
        <v>9529</v>
      </c>
      <c r="BE18" s="10" t="s">
        <v>9</v>
      </c>
      <c r="BF18" s="10" t="s">
        <v>9</v>
      </c>
      <c r="BG18" s="90" t="s">
        <v>35</v>
      </c>
      <c r="BH18" s="90"/>
      <c r="BI18" s="90"/>
      <c r="BJ18" s="75"/>
      <c r="BK18" s="55" t="s">
        <v>83</v>
      </c>
      <c r="BL18" s="54">
        <f>((BN5-(INT((BO5*5)/2)-0.5)*0.18)-0.2)*13</f>
        <v>9150.57</v>
      </c>
      <c r="BM18" s="54">
        <f>((BN5-(INT((BO5*5)/2)-0.5)*0.18)+0.2)*13</f>
        <v>9155.77</v>
      </c>
      <c r="BN18" s="10" t="s">
        <v>9</v>
      </c>
      <c r="BO18" s="10" t="s">
        <v>9</v>
      </c>
      <c r="BP18" s="90" t="s">
        <v>35</v>
      </c>
      <c r="BQ18" s="90"/>
      <c r="BR18" s="90"/>
      <c r="BS18" s="75"/>
      <c r="BT18" s="55" t="s">
        <v>83</v>
      </c>
      <c r="BU18" s="54">
        <f>((BW5+(INT((BX5*5)/2)-0.5)*0.18)-0.2)*13</f>
        <v>9512.23</v>
      </c>
      <c r="BV18" s="54">
        <f>((BW5+(INT((BX5*5)/2)-0.5)*0.18)+0.2)*13</f>
        <v>9517.43</v>
      </c>
      <c r="BW18" s="10" t="s">
        <v>9</v>
      </c>
      <c r="BX18" s="10" t="s">
        <v>9</v>
      </c>
      <c r="BY18" s="90" t="s">
        <v>35</v>
      </c>
      <c r="BZ18" s="90"/>
      <c r="CA18" s="90"/>
      <c r="CB18" s="75"/>
      <c r="CC18" s="55" t="s">
        <v>83</v>
      </c>
      <c r="CD18" s="54">
        <f>(CF5-CG5/2)*13</f>
        <v>9139</v>
      </c>
      <c r="CE18" s="54">
        <f>(CF5+CG5/2)*13</f>
        <v>9399</v>
      </c>
      <c r="CF18" s="10" t="s">
        <v>9</v>
      </c>
      <c r="CG18" s="10" t="s">
        <v>9</v>
      </c>
      <c r="CH18" s="90" t="s">
        <v>35</v>
      </c>
      <c r="CI18" s="90"/>
      <c r="CJ18" s="90"/>
      <c r="CK18" s="75"/>
      <c r="CL18" s="55" t="s">
        <v>83</v>
      </c>
      <c r="CM18" s="54">
        <f>(CO5-CP5/2)*13</f>
        <v>9269</v>
      </c>
      <c r="CN18" s="54">
        <f>(CO5+CP5/2)*13</f>
        <v>9529</v>
      </c>
      <c r="CO18" s="10" t="s">
        <v>9</v>
      </c>
      <c r="CP18" s="10" t="s">
        <v>9</v>
      </c>
      <c r="CQ18" s="90" t="s">
        <v>35</v>
      </c>
      <c r="CR18" s="90"/>
      <c r="CS18" s="90"/>
      <c r="CT18" s="75"/>
      <c r="CU18" s="55" t="s">
        <v>83</v>
      </c>
    </row>
    <row r="19" spans="1:99" ht="15">
      <c r="A19" s="54">
        <f>((C5-INT((D5*5)/2)*0.18)-0.2)*14</f>
        <v>9842.56</v>
      </c>
      <c r="B19" s="54">
        <f>((C5-INT((D5*5)/2)*0.18)+0.2)*14</f>
        <v>9848.16</v>
      </c>
      <c r="C19" s="10" t="s">
        <v>9</v>
      </c>
      <c r="D19" s="10" t="s">
        <v>9</v>
      </c>
      <c r="E19" s="90" t="s">
        <v>35</v>
      </c>
      <c r="F19" s="90"/>
      <c r="G19" s="90"/>
      <c r="H19" s="75"/>
      <c r="I19" s="55" t="s">
        <v>112</v>
      </c>
      <c r="J19" s="54">
        <f>((L5+INT((M5*5)/2)*0.18)-0.2)*14</f>
        <v>10255.84</v>
      </c>
      <c r="K19" s="54">
        <f>((L5+INT((M5*5)/2)*0.18)+0.2)*14</f>
        <v>10261.44</v>
      </c>
      <c r="L19" s="10" t="s">
        <v>9</v>
      </c>
      <c r="M19" s="10" t="s">
        <v>9</v>
      </c>
      <c r="N19" s="90" t="s">
        <v>35</v>
      </c>
      <c r="O19" s="90"/>
      <c r="P19" s="90"/>
      <c r="Q19" s="75"/>
      <c r="R19" s="55" t="s">
        <v>112</v>
      </c>
      <c r="S19" s="54">
        <f>((U5-INT((V5*5)/2)*0.18)-0.2)*14</f>
        <v>9843.9599999999991</v>
      </c>
      <c r="T19" s="54">
        <f>((U5-INT((V5*5)/2)*0.18)+0.2)*14</f>
        <v>9849.5600000000013</v>
      </c>
      <c r="U19" s="10" t="s">
        <v>9</v>
      </c>
      <c r="V19" s="10" t="s">
        <v>9</v>
      </c>
      <c r="W19" s="90" t="s">
        <v>35</v>
      </c>
      <c r="X19" s="90"/>
      <c r="Y19" s="90"/>
      <c r="Z19" s="75"/>
      <c r="AA19" s="55" t="s">
        <v>112</v>
      </c>
      <c r="AB19" s="54">
        <f>((AD5-INT((AE5*5)/2)*0.18)-0.2)*14</f>
        <v>10018.959999999999</v>
      </c>
      <c r="AC19" s="54">
        <f>((AD5-INT((AE5*5)/2)*0.18)+0.2)*14</f>
        <v>10024.560000000001</v>
      </c>
      <c r="AD19" s="10" t="s">
        <v>9</v>
      </c>
      <c r="AE19" s="10" t="s">
        <v>9</v>
      </c>
      <c r="AF19" s="87" t="s">
        <v>35</v>
      </c>
      <c r="AG19" s="88"/>
      <c r="AH19" s="89"/>
      <c r="AI19" s="75"/>
      <c r="AJ19" s="55" t="s">
        <v>86</v>
      </c>
      <c r="AK19" s="54">
        <f>((AM5+INT((AN5*5)/2)*0.18)-0.2)*14</f>
        <v>10254.439999999999</v>
      </c>
      <c r="AL19" s="54">
        <f>((AM5+INT((AN5*5)/2)*0.18)+0.2)*14</f>
        <v>10260.040000000001</v>
      </c>
      <c r="AM19" s="10" t="s">
        <v>9</v>
      </c>
      <c r="AN19" s="10" t="s">
        <v>9</v>
      </c>
      <c r="AO19" s="90" t="s">
        <v>35</v>
      </c>
      <c r="AP19" s="90"/>
      <c r="AQ19" s="90"/>
      <c r="AR19" s="75"/>
      <c r="AS19" s="55" t="s">
        <v>86</v>
      </c>
      <c r="AT19" s="54">
        <f>(AV5-AW5/2)*14</f>
        <v>9842</v>
      </c>
      <c r="AU19" s="54">
        <f>(AV5+AW5/2)*14</f>
        <v>9912</v>
      </c>
      <c r="AV19" s="10" t="s">
        <v>9</v>
      </c>
      <c r="AW19" s="10" t="s">
        <v>9</v>
      </c>
      <c r="AX19" s="90" t="s">
        <v>35</v>
      </c>
      <c r="AY19" s="90"/>
      <c r="AZ19" s="90"/>
      <c r="BA19" s="75"/>
      <c r="BB19" s="55" t="s">
        <v>86</v>
      </c>
      <c r="BC19" s="54">
        <f>(BE5-BF5/2)*14</f>
        <v>10192</v>
      </c>
      <c r="BD19" s="54">
        <f>(BE5+BF5/2)*14</f>
        <v>10262</v>
      </c>
      <c r="BE19" s="10" t="s">
        <v>9</v>
      </c>
      <c r="BF19" s="10" t="s">
        <v>9</v>
      </c>
      <c r="BG19" s="90" t="s">
        <v>35</v>
      </c>
      <c r="BH19" s="90"/>
      <c r="BI19" s="90"/>
      <c r="BJ19" s="75"/>
      <c r="BK19" s="55" t="s">
        <v>86</v>
      </c>
      <c r="BL19" s="54">
        <f>((BN5-(INT((BO5*5)/2)-0.5)*0.18)-0.2)*14</f>
        <v>9854.4599999999991</v>
      </c>
      <c r="BM19" s="54">
        <f>((BN5-(INT((BO5*5)/2)-0.5)*0.18)+0.2)*14</f>
        <v>9860.0600000000013</v>
      </c>
      <c r="BN19" s="10" t="s">
        <v>9</v>
      </c>
      <c r="BO19" s="10" t="s">
        <v>9</v>
      </c>
      <c r="BP19" s="90" t="s">
        <v>35</v>
      </c>
      <c r="BQ19" s="90"/>
      <c r="BR19" s="90"/>
      <c r="BS19" s="75"/>
      <c r="BT19" s="55" t="s">
        <v>86</v>
      </c>
      <c r="BU19" s="54">
        <f>((BW5+(INT((BX5*5)/2)-0.5)*0.18)-0.2)*14</f>
        <v>10243.939999999999</v>
      </c>
      <c r="BV19" s="54">
        <f>((BW5+(INT((BX5*5)/2)-0.5)*0.18)+0.2)*14</f>
        <v>10249.540000000001</v>
      </c>
      <c r="BW19" s="10" t="s">
        <v>9</v>
      </c>
      <c r="BX19" s="10" t="s">
        <v>9</v>
      </c>
      <c r="BY19" s="90" t="s">
        <v>35</v>
      </c>
      <c r="BZ19" s="90"/>
      <c r="CA19" s="90"/>
      <c r="CB19" s="75"/>
      <c r="CC19" s="55" t="s">
        <v>86</v>
      </c>
      <c r="CD19" s="54">
        <f>(CF5-CG5/2)*14</f>
        <v>9842</v>
      </c>
      <c r="CE19" s="54">
        <f>(CF5+CG5/2)*14</f>
        <v>10122</v>
      </c>
      <c r="CF19" s="10" t="s">
        <v>9</v>
      </c>
      <c r="CG19" s="10" t="s">
        <v>9</v>
      </c>
      <c r="CH19" s="90" t="s">
        <v>35</v>
      </c>
      <c r="CI19" s="90"/>
      <c r="CJ19" s="90"/>
      <c r="CK19" s="75"/>
      <c r="CL19" s="55" t="s">
        <v>86</v>
      </c>
      <c r="CM19" s="54">
        <f>(CO5-CP5/2)*14</f>
        <v>9982</v>
      </c>
      <c r="CN19" s="54">
        <f>(CO5+CP5/2)*14</f>
        <v>10262</v>
      </c>
      <c r="CO19" s="10" t="s">
        <v>9</v>
      </c>
      <c r="CP19" s="10" t="s">
        <v>9</v>
      </c>
      <c r="CQ19" s="90" t="s">
        <v>35</v>
      </c>
      <c r="CR19" s="90"/>
      <c r="CS19" s="90"/>
      <c r="CT19" s="75"/>
      <c r="CU19" s="55" t="s">
        <v>86</v>
      </c>
    </row>
    <row r="20" spans="1:99" ht="15">
      <c r="A20" s="54">
        <f>((C5-INT((D5*5)/2)*0.18)-0.2)*15</f>
        <v>10545.599999999999</v>
      </c>
      <c r="B20" s="54">
        <f>((C5-INT((D5*5)/2)*0.18)+0.2)*15</f>
        <v>10551.6</v>
      </c>
      <c r="C20" s="10" t="s">
        <v>9</v>
      </c>
      <c r="D20" s="10" t="s">
        <v>9</v>
      </c>
      <c r="E20" s="90" t="s">
        <v>35</v>
      </c>
      <c r="F20" s="90"/>
      <c r="G20" s="90"/>
      <c r="H20" s="75"/>
      <c r="I20" s="55" t="s">
        <v>113</v>
      </c>
      <c r="J20" s="54">
        <f>((L5+INT((M5*5)/2)*0.18)-0.2)*15</f>
        <v>10988.4</v>
      </c>
      <c r="K20" s="54">
        <f>((L5+INT((M5*5)/2)*0.18)+0.2)*15</f>
        <v>10994.400000000001</v>
      </c>
      <c r="L20" s="10" t="s">
        <v>9</v>
      </c>
      <c r="M20" s="10" t="s">
        <v>9</v>
      </c>
      <c r="N20" s="90" t="s">
        <v>35</v>
      </c>
      <c r="O20" s="90"/>
      <c r="P20" s="90"/>
      <c r="Q20" s="75"/>
      <c r="R20" s="55" t="s">
        <v>113</v>
      </c>
      <c r="S20" s="54">
        <f>((U5-INT((V5*5)/2)*0.18)-0.2)*15</f>
        <v>10547.1</v>
      </c>
      <c r="T20" s="54">
        <f>((U5-INT((V5*5)/2)*0.18)+0.2)*15</f>
        <v>10553.1</v>
      </c>
      <c r="U20" s="10" t="s">
        <v>9</v>
      </c>
      <c r="V20" s="10" t="s">
        <v>9</v>
      </c>
      <c r="W20" s="90" t="s">
        <v>35</v>
      </c>
      <c r="X20" s="90"/>
      <c r="Y20" s="90"/>
      <c r="Z20" s="75"/>
      <c r="AA20" s="55" t="s">
        <v>113</v>
      </c>
      <c r="AB20" s="54">
        <f>((AD5-INT((AE5*5)/2)*0.18)-0.2)*15</f>
        <v>10734.6</v>
      </c>
      <c r="AC20" s="54">
        <f>((AD5-INT((AE5*5)/2)*0.18)+0.2)*15</f>
        <v>10740.6</v>
      </c>
      <c r="AD20" s="10" t="s">
        <v>9</v>
      </c>
      <c r="AE20" s="10" t="s">
        <v>9</v>
      </c>
      <c r="AF20" s="87" t="s">
        <v>35</v>
      </c>
      <c r="AG20" s="88"/>
      <c r="AH20" s="89"/>
      <c r="AI20" s="75"/>
      <c r="AJ20" s="55" t="s">
        <v>90</v>
      </c>
      <c r="AK20" s="54">
        <f>((AM5+INT((AN5*5)/2)*0.18)-0.2)*15</f>
        <v>10986.9</v>
      </c>
      <c r="AL20" s="54">
        <f>((AM5+INT((AN5*5)/2)*0.18)+0.2)*15</f>
        <v>10992.9</v>
      </c>
      <c r="AM20" s="10" t="s">
        <v>9</v>
      </c>
      <c r="AN20" s="10" t="s">
        <v>9</v>
      </c>
      <c r="AO20" s="90" t="s">
        <v>35</v>
      </c>
      <c r="AP20" s="90"/>
      <c r="AQ20" s="90"/>
      <c r="AR20" s="75"/>
      <c r="AS20" s="55" t="s">
        <v>90</v>
      </c>
      <c r="AT20" s="54">
        <f>(AV5-AW5/2)*15</f>
        <v>10545</v>
      </c>
      <c r="AU20" s="54">
        <f>(AV5+AW5/2)*15</f>
        <v>10620</v>
      </c>
      <c r="AV20" s="10" t="s">
        <v>9</v>
      </c>
      <c r="AW20" s="10" t="s">
        <v>9</v>
      </c>
      <c r="AX20" s="90" t="s">
        <v>35</v>
      </c>
      <c r="AY20" s="90"/>
      <c r="AZ20" s="90"/>
      <c r="BA20" s="75"/>
      <c r="BB20" s="55" t="s">
        <v>90</v>
      </c>
      <c r="BC20" s="54">
        <f>(BE5-BF5/2)*15</f>
        <v>10920</v>
      </c>
      <c r="BD20" s="54">
        <f>(BE5+BF5/2)*15</f>
        <v>10995</v>
      </c>
      <c r="BE20" s="10" t="s">
        <v>9</v>
      </c>
      <c r="BF20" s="10" t="s">
        <v>9</v>
      </c>
      <c r="BG20" s="90" t="s">
        <v>35</v>
      </c>
      <c r="BH20" s="90"/>
      <c r="BI20" s="90"/>
      <c r="BJ20" s="75"/>
      <c r="BK20" s="55" t="s">
        <v>90</v>
      </c>
      <c r="BL20" s="54">
        <f>((BN5-(INT((BO5*5)/2)-0.5)*0.18)-0.2)*15</f>
        <v>10558.35</v>
      </c>
      <c r="BM20" s="54">
        <f>((BN5-(INT((BO5*5)/2)-0.5)*0.18)+0.2)*15</f>
        <v>10564.35</v>
      </c>
      <c r="BN20" s="10" t="s">
        <v>9</v>
      </c>
      <c r="BO20" s="10" t="s">
        <v>9</v>
      </c>
      <c r="BP20" s="90" t="s">
        <v>35</v>
      </c>
      <c r="BQ20" s="90"/>
      <c r="BR20" s="90"/>
      <c r="BS20" s="75"/>
      <c r="BT20" s="55" t="s">
        <v>90</v>
      </c>
      <c r="BU20" s="54">
        <f>((BW5+(INT((BX5*5)/2)-0.5)*0.18)-0.2)*15</f>
        <v>10975.65</v>
      </c>
      <c r="BV20" s="54">
        <f>((BW5+(INT((BX5*5)/2)-0.5)*0.18)+0.2)*15</f>
        <v>10981.65</v>
      </c>
      <c r="BW20" s="10" t="s">
        <v>9</v>
      </c>
      <c r="BX20" s="10" t="s">
        <v>9</v>
      </c>
      <c r="BY20" s="90" t="s">
        <v>35</v>
      </c>
      <c r="BZ20" s="90"/>
      <c r="CA20" s="90"/>
      <c r="CB20" s="75"/>
      <c r="CC20" s="55" t="s">
        <v>90</v>
      </c>
      <c r="CD20" s="54">
        <f>(CF5-CG5/2)*15</f>
        <v>10545</v>
      </c>
      <c r="CE20" s="54">
        <f>(CF5+CG5/2)*15</f>
        <v>10845</v>
      </c>
      <c r="CF20" s="10" t="s">
        <v>9</v>
      </c>
      <c r="CG20" s="10" t="s">
        <v>9</v>
      </c>
      <c r="CH20" s="90" t="s">
        <v>35</v>
      </c>
      <c r="CI20" s="90"/>
      <c r="CJ20" s="90"/>
      <c r="CK20" s="75"/>
      <c r="CL20" s="55" t="s">
        <v>90</v>
      </c>
      <c r="CM20" s="54">
        <f>(CO5-CP5/2)*15</f>
        <v>10695</v>
      </c>
      <c r="CN20" s="54">
        <f>(CO5+CP5/2)*15</f>
        <v>10995</v>
      </c>
      <c r="CO20" s="10" t="s">
        <v>9</v>
      </c>
      <c r="CP20" s="10" t="s">
        <v>9</v>
      </c>
      <c r="CQ20" s="90" t="s">
        <v>35</v>
      </c>
      <c r="CR20" s="90"/>
      <c r="CS20" s="90"/>
      <c r="CT20" s="75"/>
      <c r="CU20" s="55" t="s">
        <v>90</v>
      </c>
    </row>
    <row r="21" spans="1:99" ht="15">
      <c r="A21" s="54">
        <f>((C5-INT((D5*5)/2)*0.18)-0.2)*16</f>
        <v>11248.64</v>
      </c>
      <c r="B21" s="54">
        <f>((C5-INT((D5*5)/2)*0.18)+0.2)*16</f>
        <v>11255.04</v>
      </c>
      <c r="C21" s="10" t="s">
        <v>9</v>
      </c>
      <c r="D21" s="10" t="s">
        <v>9</v>
      </c>
      <c r="E21" s="90" t="s">
        <v>35</v>
      </c>
      <c r="F21" s="90"/>
      <c r="G21" s="90"/>
      <c r="H21" s="75"/>
      <c r="I21" s="55" t="s">
        <v>114</v>
      </c>
      <c r="J21" s="54">
        <f>((L5+INT((M5*5)/2)*0.18)-0.2)*16</f>
        <v>11720.96</v>
      </c>
      <c r="K21" s="54">
        <f>((L5+INT((M5*5)/2)*0.18)+0.2)*16</f>
        <v>11727.36</v>
      </c>
      <c r="L21" s="10" t="s">
        <v>9</v>
      </c>
      <c r="M21" s="10" t="s">
        <v>9</v>
      </c>
      <c r="N21" s="90" t="s">
        <v>35</v>
      </c>
      <c r="O21" s="90"/>
      <c r="P21" s="90"/>
      <c r="Q21" s="75"/>
      <c r="R21" s="55" t="s">
        <v>114</v>
      </c>
      <c r="S21" s="54">
        <f>((U5-INT((V5*5)/2)*0.18)-0.2)*16</f>
        <v>11250.24</v>
      </c>
      <c r="T21" s="54">
        <f>((U5-INT((V5*5)/2)*0.18)+0.2)*16</f>
        <v>11256.640000000001</v>
      </c>
      <c r="U21" s="10" t="s">
        <v>9</v>
      </c>
      <c r="V21" s="10" t="s">
        <v>9</v>
      </c>
      <c r="W21" s="90" t="s">
        <v>35</v>
      </c>
      <c r="X21" s="90"/>
      <c r="Y21" s="90"/>
      <c r="Z21" s="75"/>
      <c r="AA21" s="55" t="s">
        <v>114</v>
      </c>
      <c r="AB21" s="54">
        <f>((AD5-INT((AE5*5)/2)*0.18)-0.2)*16</f>
        <v>11450.24</v>
      </c>
      <c r="AC21" s="54">
        <f>((AD5-INT((AE5*5)/2)*0.18)+0.2)*16</f>
        <v>11456.640000000001</v>
      </c>
      <c r="AD21" s="10" t="s">
        <v>9</v>
      </c>
      <c r="AE21" s="10" t="s">
        <v>9</v>
      </c>
      <c r="AF21" s="87" t="s">
        <v>35</v>
      </c>
      <c r="AG21" s="88"/>
      <c r="AH21" s="89"/>
      <c r="AI21" s="75"/>
      <c r="AJ21" s="55" t="s">
        <v>93</v>
      </c>
      <c r="AK21" s="54">
        <f>((AM5+INT((AN5*5)/2)*0.18)-0.2)*16</f>
        <v>11719.359999999999</v>
      </c>
      <c r="AL21" s="54">
        <f>((AM5+INT((AN5*5)/2)*0.18)+0.2)*16</f>
        <v>11725.76</v>
      </c>
      <c r="AM21" s="10" t="s">
        <v>9</v>
      </c>
      <c r="AN21" s="10" t="s">
        <v>9</v>
      </c>
      <c r="AO21" s="90" t="s">
        <v>35</v>
      </c>
      <c r="AP21" s="90"/>
      <c r="AQ21" s="90"/>
      <c r="AR21" s="75"/>
      <c r="AS21" s="55" t="s">
        <v>93</v>
      </c>
      <c r="AT21" s="54">
        <f>(AV5-AW5/2)*16</f>
        <v>11248</v>
      </c>
      <c r="AU21" s="54">
        <f>(AV5+AW5/2)*16</f>
        <v>11328</v>
      </c>
      <c r="AV21" s="10" t="s">
        <v>9</v>
      </c>
      <c r="AW21" s="10" t="s">
        <v>9</v>
      </c>
      <c r="AX21" s="90" t="s">
        <v>35</v>
      </c>
      <c r="AY21" s="90"/>
      <c r="AZ21" s="90"/>
      <c r="BA21" s="75"/>
      <c r="BB21" s="55" t="s">
        <v>93</v>
      </c>
      <c r="BC21" s="54">
        <f>(BE5-BF5/2)*16</f>
        <v>11648</v>
      </c>
      <c r="BD21" s="54">
        <f>(BE5+BF5/2)*16</f>
        <v>11728</v>
      </c>
      <c r="BE21" s="10" t="s">
        <v>9</v>
      </c>
      <c r="BF21" s="10" t="s">
        <v>9</v>
      </c>
      <c r="BG21" s="90" t="s">
        <v>35</v>
      </c>
      <c r="BH21" s="90"/>
      <c r="BI21" s="90"/>
      <c r="BJ21" s="75"/>
      <c r="BK21" s="55" t="s">
        <v>93</v>
      </c>
      <c r="BL21" s="54">
        <f>((BN5-(INT((BO5*5)/2)-0.5)*0.18)-0.2)*16</f>
        <v>11262.24</v>
      </c>
      <c r="BM21" s="54">
        <f>((BN5-(INT((BO5*5)/2)-0.5)*0.18)+0.2)*16</f>
        <v>11268.640000000001</v>
      </c>
      <c r="BN21" s="10" t="s">
        <v>9</v>
      </c>
      <c r="BO21" s="10" t="s">
        <v>9</v>
      </c>
      <c r="BP21" s="90" t="s">
        <v>35</v>
      </c>
      <c r="BQ21" s="90"/>
      <c r="BR21" s="90"/>
      <c r="BS21" s="75"/>
      <c r="BT21" s="55" t="s">
        <v>93</v>
      </c>
      <c r="BU21" s="54">
        <f>((BW5+(INT((BX5*5)/2)-0.5)*0.18)-0.2)*16</f>
        <v>11707.359999999999</v>
      </c>
      <c r="BV21" s="54">
        <f>((BW5+(INT((BX5*5)/2)-0.5)*0.18)+0.2)*16</f>
        <v>11713.76</v>
      </c>
      <c r="BW21" s="10" t="s">
        <v>9</v>
      </c>
      <c r="BX21" s="10" t="s">
        <v>9</v>
      </c>
      <c r="BY21" s="90" t="s">
        <v>35</v>
      </c>
      <c r="BZ21" s="90"/>
      <c r="CA21" s="90"/>
      <c r="CB21" s="75"/>
      <c r="CC21" s="55" t="s">
        <v>93</v>
      </c>
      <c r="CD21" s="54">
        <f>(CF5-CG5/2)*16</f>
        <v>11248</v>
      </c>
      <c r="CE21" s="54">
        <f>(CF5+CG5/2)*16</f>
        <v>11568</v>
      </c>
      <c r="CF21" s="10" t="s">
        <v>9</v>
      </c>
      <c r="CG21" s="10" t="s">
        <v>9</v>
      </c>
      <c r="CH21" s="90" t="s">
        <v>35</v>
      </c>
      <c r="CI21" s="90"/>
      <c r="CJ21" s="90"/>
      <c r="CK21" s="75"/>
      <c r="CL21" s="55" t="s">
        <v>93</v>
      </c>
      <c r="CM21" s="54">
        <f>(CO5-CP5/2)*16</f>
        <v>11408</v>
      </c>
      <c r="CN21" s="54">
        <f>(CO5+CP5/2)*16</f>
        <v>11728</v>
      </c>
      <c r="CO21" s="10" t="s">
        <v>9</v>
      </c>
      <c r="CP21" s="10" t="s">
        <v>9</v>
      </c>
      <c r="CQ21" s="90" t="s">
        <v>35</v>
      </c>
      <c r="CR21" s="90"/>
      <c r="CS21" s="90"/>
      <c r="CT21" s="75"/>
      <c r="CU21" s="55" t="s">
        <v>93</v>
      </c>
    </row>
    <row r="22" spans="1:99" ht="15">
      <c r="A22" s="54">
        <f>((C5-INT((D5*5)/2)*0.18)-0.2)*17</f>
        <v>11951.68</v>
      </c>
      <c r="B22" s="54">
        <f>((C5-INT((D5*5)/2)*0.18)+0.2)*17</f>
        <v>11958.480000000001</v>
      </c>
      <c r="C22" s="10" t="s">
        <v>9</v>
      </c>
      <c r="D22" s="10" t="s">
        <v>9</v>
      </c>
      <c r="E22" s="90" t="s">
        <v>35</v>
      </c>
      <c r="F22" s="90"/>
      <c r="G22" s="90"/>
      <c r="H22" s="75"/>
      <c r="I22" s="55" t="s">
        <v>115</v>
      </c>
      <c r="J22" s="54">
        <f>((L5+INT((M5*5)/2)*0.18)-0.2)*17</f>
        <v>12453.519999999999</v>
      </c>
      <c r="K22" s="54">
        <f>((L5+INT((M5*5)/2)*0.18)+0.2)*17</f>
        <v>12460.32</v>
      </c>
      <c r="L22" s="10" t="s">
        <v>9</v>
      </c>
      <c r="M22" s="10" t="s">
        <v>9</v>
      </c>
      <c r="N22" s="90" t="s">
        <v>35</v>
      </c>
      <c r="O22" s="90"/>
      <c r="P22" s="90"/>
      <c r="Q22" s="75"/>
      <c r="R22" s="55" t="s">
        <v>115</v>
      </c>
      <c r="S22" s="54">
        <f>((U5-INT((V5*5)/2)*0.18)-0.2)*17</f>
        <v>11953.38</v>
      </c>
      <c r="T22" s="54">
        <f>((U5-INT((V5*5)/2)*0.18)+0.2)*17</f>
        <v>11960.180000000002</v>
      </c>
      <c r="U22" s="10" t="s">
        <v>9</v>
      </c>
      <c r="V22" s="10" t="s">
        <v>9</v>
      </c>
      <c r="W22" s="90" t="s">
        <v>35</v>
      </c>
      <c r="X22" s="90"/>
      <c r="Y22" s="90"/>
      <c r="Z22" s="75"/>
      <c r="AA22" s="55" t="s">
        <v>115</v>
      </c>
      <c r="AB22" s="54">
        <f>((AD5-INT((AE5*5)/2)*0.18)-0.2)*17</f>
        <v>12165.88</v>
      </c>
      <c r="AC22" s="54">
        <f>((AD5-INT((AE5*5)/2)*0.18)+0.2)*17</f>
        <v>12172.680000000002</v>
      </c>
      <c r="AD22" s="10" t="s">
        <v>9</v>
      </c>
      <c r="AE22" s="10" t="s">
        <v>9</v>
      </c>
      <c r="AF22" s="87" t="s">
        <v>35</v>
      </c>
      <c r="AG22" s="88"/>
      <c r="AH22" s="89"/>
      <c r="AI22" s="75"/>
      <c r="AJ22" s="55" t="s">
        <v>96</v>
      </c>
      <c r="AK22" s="54">
        <f>((AM5+INT((AN5*5)/2)*0.18)-0.2)*17</f>
        <v>12451.819999999998</v>
      </c>
      <c r="AL22" s="54">
        <f>((AM5+INT((AN5*5)/2)*0.18)+0.2)*17</f>
        <v>12458.62</v>
      </c>
      <c r="AM22" s="10" t="s">
        <v>9</v>
      </c>
      <c r="AN22" s="10" t="s">
        <v>9</v>
      </c>
      <c r="AO22" s="90" t="s">
        <v>35</v>
      </c>
      <c r="AP22" s="90"/>
      <c r="AQ22" s="90"/>
      <c r="AR22" s="75"/>
      <c r="AS22" s="55" t="s">
        <v>96</v>
      </c>
      <c r="AT22" s="54">
        <f>(AV5-AW5/2)*17</f>
        <v>11951</v>
      </c>
      <c r="AU22" s="54">
        <f>(AV5+AW5/2)*17</f>
        <v>12036</v>
      </c>
      <c r="AV22" s="10" t="s">
        <v>9</v>
      </c>
      <c r="AW22" s="10" t="s">
        <v>9</v>
      </c>
      <c r="AX22" s="90" t="s">
        <v>35</v>
      </c>
      <c r="AY22" s="90"/>
      <c r="AZ22" s="90"/>
      <c r="BA22" s="75"/>
      <c r="BB22" s="55" t="s">
        <v>96</v>
      </c>
      <c r="BC22" s="54">
        <f>(BE5-BF5/2)*17</f>
        <v>12376</v>
      </c>
      <c r="BD22" s="54">
        <f>(BE5+BF5/2)*17</f>
        <v>12461</v>
      </c>
      <c r="BE22" s="10" t="s">
        <v>9</v>
      </c>
      <c r="BF22" s="10" t="s">
        <v>9</v>
      </c>
      <c r="BG22" s="90" t="s">
        <v>35</v>
      </c>
      <c r="BH22" s="90"/>
      <c r="BI22" s="90"/>
      <c r="BJ22" s="75"/>
      <c r="BK22" s="55" t="s">
        <v>96</v>
      </c>
      <c r="BL22" s="54">
        <f>((BN5-(INT((BO5*5)/2)-0.5)*0.18)-0.2)*17</f>
        <v>11966.13</v>
      </c>
      <c r="BM22" s="54">
        <f>((BN5-(INT((BO5*5)/2)-0.5)*0.18)+0.2)*17</f>
        <v>11972.930000000002</v>
      </c>
      <c r="BN22" s="10" t="s">
        <v>9</v>
      </c>
      <c r="BO22" s="10" t="s">
        <v>9</v>
      </c>
      <c r="BP22" s="90" t="s">
        <v>35</v>
      </c>
      <c r="BQ22" s="90"/>
      <c r="BR22" s="90"/>
      <c r="BS22" s="75"/>
      <c r="BT22" s="55" t="s">
        <v>96</v>
      </c>
      <c r="BU22" s="54">
        <f>((BW5+(INT((BX5*5)/2)-0.5)*0.18)-0.2)*17</f>
        <v>12439.069999999998</v>
      </c>
      <c r="BV22" s="54">
        <f>((BW5+(INT((BX5*5)/2)-0.5)*0.18)+0.2)*17</f>
        <v>12445.87</v>
      </c>
      <c r="BW22" s="10" t="s">
        <v>9</v>
      </c>
      <c r="BX22" s="10" t="s">
        <v>9</v>
      </c>
      <c r="BY22" s="90" t="s">
        <v>35</v>
      </c>
      <c r="BZ22" s="90"/>
      <c r="CA22" s="90"/>
      <c r="CB22" s="75"/>
      <c r="CC22" s="55" t="s">
        <v>96</v>
      </c>
      <c r="CD22" s="54">
        <f>(CF5-CG5/2)*17</f>
        <v>11951</v>
      </c>
      <c r="CE22" s="54">
        <f>(CF5+CG5/2)*17</f>
        <v>12291</v>
      </c>
      <c r="CF22" s="10" t="s">
        <v>9</v>
      </c>
      <c r="CG22" s="10" t="s">
        <v>9</v>
      </c>
      <c r="CH22" s="90" t="s">
        <v>35</v>
      </c>
      <c r="CI22" s="90"/>
      <c r="CJ22" s="90"/>
      <c r="CK22" s="75"/>
      <c r="CL22" s="55" t="s">
        <v>96</v>
      </c>
      <c r="CM22" s="54">
        <f>(CO5-CP5/2)*17</f>
        <v>12121</v>
      </c>
      <c r="CN22" s="54">
        <f>(CO5+CP5/2)*17</f>
        <v>12461</v>
      </c>
      <c r="CO22" s="10" t="s">
        <v>9</v>
      </c>
      <c r="CP22" s="10" t="s">
        <v>9</v>
      </c>
      <c r="CQ22" s="90" t="s">
        <v>35</v>
      </c>
      <c r="CR22" s="90"/>
      <c r="CS22" s="90"/>
      <c r="CT22" s="75"/>
      <c r="CU22" s="55" t="s">
        <v>96</v>
      </c>
    </row>
  </sheetData>
  <mergeCells count="212">
    <mergeCell ref="AO21:AQ21"/>
    <mergeCell ref="AX21:AZ21"/>
    <mergeCell ref="BG21:BI21"/>
    <mergeCell ref="BP21:BR21"/>
    <mergeCell ref="BY21:CA21"/>
    <mergeCell ref="CH21:CJ21"/>
    <mergeCell ref="CQ21:CS21"/>
    <mergeCell ref="AO22:AQ22"/>
    <mergeCell ref="AX22:AZ22"/>
    <mergeCell ref="BG22:BI22"/>
    <mergeCell ref="BP22:BR22"/>
    <mergeCell ref="BY22:CA22"/>
    <mergeCell ref="CH22:CJ22"/>
    <mergeCell ref="CQ22:CS22"/>
    <mergeCell ref="AO19:AQ19"/>
    <mergeCell ref="AX19:AZ19"/>
    <mergeCell ref="BG19:BI19"/>
    <mergeCell ref="BP19:BR19"/>
    <mergeCell ref="BY19:CA19"/>
    <mergeCell ref="CH19:CJ19"/>
    <mergeCell ref="CQ19:CS19"/>
    <mergeCell ref="AO20:AQ20"/>
    <mergeCell ref="AX20:AZ20"/>
    <mergeCell ref="BG20:BI20"/>
    <mergeCell ref="BP20:BR20"/>
    <mergeCell ref="BY20:CA20"/>
    <mergeCell ref="CH20:CJ20"/>
    <mergeCell ref="CQ20:CS20"/>
    <mergeCell ref="AO17:AQ17"/>
    <mergeCell ref="AX17:AZ17"/>
    <mergeCell ref="BG17:BI17"/>
    <mergeCell ref="BP17:BR17"/>
    <mergeCell ref="BY17:CA17"/>
    <mergeCell ref="CH17:CJ17"/>
    <mergeCell ref="CQ17:CS17"/>
    <mergeCell ref="AO18:AQ18"/>
    <mergeCell ref="AX18:AZ18"/>
    <mergeCell ref="BG18:BI18"/>
    <mergeCell ref="BP18:BR18"/>
    <mergeCell ref="BY18:CA18"/>
    <mergeCell ref="CH18:CJ18"/>
    <mergeCell ref="CQ18:CS18"/>
    <mergeCell ref="AO15:AQ15"/>
    <mergeCell ref="AX15:AZ15"/>
    <mergeCell ref="BG15:BI15"/>
    <mergeCell ref="BP15:BR15"/>
    <mergeCell ref="BY15:CA15"/>
    <mergeCell ref="CH15:CJ15"/>
    <mergeCell ref="CQ15:CS15"/>
    <mergeCell ref="AO16:AQ16"/>
    <mergeCell ref="AX16:AZ16"/>
    <mergeCell ref="BG16:BI16"/>
    <mergeCell ref="BP16:BR16"/>
    <mergeCell ref="BY16:CA16"/>
    <mergeCell ref="CH16:CJ16"/>
    <mergeCell ref="CQ16:CS16"/>
    <mergeCell ref="AO13:AQ13"/>
    <mergeCell ref="AX13:AZ13"/>
    <mergeCell ref="BG13:BI13"/>
    <mergeCell ref="BP13:BR13"/>
    <mergeCell ref="BY13:CA13"/>
    <mergeCell ref="CH13:CJ13"/>
    <mergeCell ref="CQ13:CS13"/>
    <mergeCell ref="AO14:AQ14"/>
    <mergeCell ref="AX14:AZ14"/>
    <mergeCell ref="BG14:BI14"/>
    <mergeCell ref="BP14:BR14"/>
    <mergeCell ref="BY14:CA14"/>
    <mergeCell ref="CH14:CJ14"/>
    <mergeCell ref="CQ14:CS14"/>
    <mergeCell ref="AO11:AQ11"/>
    <mergeCell ref="AX11:AZ11"/>
    <mergeCell ref="BG11:BI11"/>
    <mergeCell ref="BP11:BR11"/>
    <mergeCell ref="BY11:CA11"/>
    <mergeCell ref="CH11:CJ11"/>
    <mergeCell ref="CQ11:CS11"/>
    <mergeCell ref="AO12:AQ12"/>
    <mergeCell ref="AX12:AZ12"/>
    <mergeCell ref="BG12:BI12"/>
    <mergeCell ref="BP12:BR12"/>
    <mergeCell ref="BY12:CA12"/>
    <mergeCell ref="CH12:CJ12"/>
    <mergeCell ref="CQ12:CS12"/>
    <mergeCell ref="AO9:AQ9"/>
    <mergeCell ref="AX9:AZ9"/>
    <mergeCell ref="BG9:BI9"/>
    <mergeCell ref="BP9:BR9"/>
    <mergeCell ref="BY9:CA9"/>
    <mergeCell ref="CH9:CJ9"/>
    <mergeCell ref="CQ9:CS9"/>
    <mergeCell ref="AO10:AQ10"/>
    <mergeCell ref="AX10:AZ10"/>
    <mergeCell ref="BG10:BI10"/>
    <mergeCell ref="BP10:BR10"/>
    <mergeCell ref="BY10:CA10"/>
    <mergeCell ref="CH10:CJ10"/>
    <mergeCell ref="CQ10:CS10"/>
    <mergeCell ref="AO7:AQ7"/>
    <mergeCell ref="AX7:AZ7"/>
    <mergeCell ref="BG7:BI7"/>
    <mergeCell ref="BP7:BR7"/>
    <mergeCell ref="BY7:CA7"/>
    <mergeCell ref="CH7:CJ7"/>
    <mergeCell ref="CQ7:CS7"/>
    <mergeCell ref="AO8:AQ8"/>
    <mergeCell ref="AX8:AZ8"/>
    <mergeCell ref="BG8:BI8"/>
    <mergeCell ref="BP8:BR8"/>
    <mergeCell ref="BY8:CA8"/>
    <mergeCell ref="CH8:CJ8"/>
    <mergeCell ref="CQ8:CS8"/>
    <mergeCell ref="AS4:AS5"/>
    <mergeCell ref="BB4:BB5"/>
    <mergeCell ref="BK4:BK5"/>
    <mergeCell ref="BT4:BT5"/>
    <mergeCell ref="CC4:CC5"/>
    <mergeCell ref="CL4:CL5"/>
    <mergeCell ref="CU4:CU5"/>
    <mergeCell ref="AK6:AL6"/>
    <mergeCell ref="AO6:AQ6"/>
    <mergeCell ref="AT6:AU6"/>
    <mergeCell ref="AX6:AZ6"/>
    <mergeCell ref="BC6:BD6"/>
    <mergeCell ref="BG6:BI6"/>
    <mergeCell ref="BL6:BM6"/>
    <mergeCell ref="BP6:BR6"/>
    <mergeCell ref="BU6:BV6"/>
    <mergeCell ref="BY6:CA6"/>
    <mergeCell ref="CD6:CE6"/>
    <mergeCell ref="CH6:CJ6"/>
    <mergeCell ref="CM6:CN6"/>
    <mergeCell ref="CQ6:CS6"/>
    <mergeCell ref="AA4:AA5"/>
    <mergeCell ref="E7:G7"/>
    <mergeCell ref="N7:P7"/>
    <mergeCell ref="W7:Y7"/>
    <mergeCell ref="A6:B6"/>
    <mergeCell ref="J6:K6"/>
    <mergeCell ref="S6:T6"/>
    <mergeCell ref="E6:G6"/>
    <mergeCell ref="N6:P6"/>
    <mergeCell ref="W6:Y6"/>
    <mergeCell ref="B1:K1"/>
    <mergeCell ref="B2:J2"/>
    <mergeCell ref="B3:J3"/>
    <mergeCell ref="E9:G9"/>
    <mergeCell ref="N9:P9"/>
    <mergeCell ref="W9:Y9"/>
    <mergeCell ref="E8:G8"/>
    <mergeCell ref="N8:P8"/>
    <mergeCell ref="W8:Y8"/>
    <mergeCell ref="I4:I5"/>
    <mergeCell ref="R4:R5"/>
    <mergeCell ref="E11:G11"/>
    <mergeCell ref="N11:P11"/>
    <mergeCell ref="W11:Y11"/>
    <mergeCell ref="E10:G10"/>
    <mergeCell ref="N10:P10"/>
    <mergeCell ref="W10:Y10"/>
    <mergeCell ref="E13:G13"/>
    <mergeCell ref="N13:P13"/>
    <mergeCell ref="W13:Y13"/>
    <mergeCell ref="E12:G12"/>
    <mergeCell ref="N12:P12"/>
    <mergeCell ref="W12:Y12"/>
    <mergeCell ref="E15:G15"/>
    <mergeCell ref="N15:P15"/>
    <mergeCell ref="W15:Y15"/>
    <mergeCell ref="E14:G14"/>
    <mergeCell ref="N14:P14"/>
    <mergeCell ref="W14:Y14"/>
    <mergeCell ref="E17:G17"/>
    <mergeCell ref="N17:P17"/>
    <mergeCell ref="W17:Y17"/>
    <mergeCell ref="E16:G16"/>
    <mergeCell ref="N16:P16"/>
    <mergeCell ref="W16:Y16"/>
    <mergeCell ref="W19:Y19"/>
    <mergeCell ref="E18:G18"/>
    <mergeCell ref="N18:P18"/>
    <mergeCell ref="W18:Y18"/>
    <mergeCell ref="E21:G21"/>
    <mergeCell ref="N21:P21"/>
    <mergeCell ref="W21:Y21"/>
    <mergeCell ref="E20:G20"/>
    <mergeCell ref="N20:P20"/>
    <mergeCell ref="W20:Y20"/>
    <mergeCell ref="E22:G22"/>
    <mergeCell ref="N22:P22"/>
    <mergeCell ref="W22:Y22"/>
    <mergeCell ref="AF9:AH9"/>
    <mergeCell ref="AF10:AH10"/>
    <mergeCell ref="AF11:AH11"/>
    <mergeCell ref="AJ4:AJ5"/>
    <mergeCell ref="AB6:AC6"/>
    <mergeCell ref="AF6:AH6"/>
    <mergeCell ref="AF7:AH7"/>
    <mergeCell ref="AF8:AH8"/>
    <mergeCell ref="AF15:AH15"/>
    <mergeCell ref="AF16:AH16"/>
    <mergeCell ref="AF17:AH17"/>
    <mergeCell ref="AF12:AH12"/>
    <mergeCell ref="AF13:AH13"/>
    <mergeCell ref="AF14:AH14"/>
    <mergeCell ref="AF21:AH21"/>
    <mergeCell ref="AF22:AH22"/>
    <mergeCell ref="AF18:AH18"/>
    <mergeCell ref="AF19:AH19"/>
    <mergeCell ref="AF20:AH20"/>
    <mergeCell ref="E19:G19"/>
    <mergeCell ref="N19:P19"/>
  </mergeCells>
  <phoneticPr fontId="1" type="noConversion"/>
  <conditionalFormatting sqref="CB7">
    <cfRule type="containsBlanks" priority="472" stopIfTrue="1">
      <formula>LEN(TRIM(CB7))=0</formula>
    </cfRule>
    <cfRule type="cellIs" dxfId="987" priority="473" stopIfTrue="1" operator="greaterThan">
      <formula>-30</formula>
    </cfRule>
    <cfRule type="cellIs" dxfId="986" priority="474" stopIfTrue="1" operator="between">
      <formula>-33</formula>
      <formula>-30</formula>
    </cfRule>
  </conditionalFormatting>
  <conditionalFormatting sqref="CB8">
    <cfRule type="containsBlanks" priority="469" stopIfTrue="1">
      <formula>LEN(TRIM(CB8))=0</formula>
    </cfRule>
    <cfRule type="cellIs" dxfId="985" priority="470" stopIfTrue="1" operator="greaterThan">
      <formula>-30</formula>
    </cfRule>
    <cfRule type="cellIs" dxfId="984" priority="471" stopIfTrue="1" operator="between">
      <formula>-33</formula>
      <formula>-30</formula>
    </cfRule>
  </conditionalFormatting>
  <conditionalFormatting sqref="CB9">
    <cfRule type="containsBlanks" priority="466" stopIfTrue="1">
      <formula>LEN(TRIM(CB9))=0</formula>
    </cfRule>
    <cfRule type="cellIs" dxfId="983" priority="467" stopIfTrue="1" operator="greaterThan">
      <formula>-30</formula>
    </cfRule>
    <cfRule type="cellIs" dxfId="982" priority="468" stopIfTrue="1" operator="between">
      <formula>-33</formula>
      <formula>-30</formula>
    </cfRule>
  </conditionalFormatting>
  <conditionalFormatting sqref="CK7">
    <cfRule type="containsBlanks" priority="463" stopIfTrue="1">
      <formula>LEN(TRIM(CK7))=0</formula>
    </cfRule>
    <cfRule type="cellIs" dxfId="981" priority="464" stopIfTrue="1" operator="greaterThan">
      <formula>-30</formula>
    </cfRule>
    <cfRule type="cellIs" dxfId="980" priority="465" stopIfTrue="1" operator="between">
      <formula>-33</formula>
      <formula>-30</formula>
    </cfRule>
  </conditionalFormatting>
  <conditionalFormatting sqref="CK8">
    <cfRule type="containsBlanks" priority="460" stopIfTrue="1">
      <formula>LEN(TRIM(CK8))=0</formula>
    </cfRule>
    <cfRule type="cellIs" dxfId="979" priority="461" stopIfTrue="1" operator="greaterThan">
      <formula>-30</formula>
    </cfRule>
    <cfRule type="cellIs" dxfId="978" priority="462" stopIfTrue="1" operator="between">
      <formula>-33</formula>
      <formula>-30</formula>
    </cfRule>
  </conditionalFormatting>
  <conditionalFormatting sqref="CK9">
    <cfRule type="containsBlanks" priority="457" stopIfTrue="1">
      <formula>LEN(TRIM(CK9))=0</formula>
    </cfRule>
    <cfRule type="cellIs" dxfId="977" priority="458" stopIfTrue="1" operator="greaterThan">
      <formula>-30</formula>
    </cfRule>
    <cfRule type="cellIs" dxfId="976" priority="459" stopIfTrue="1" operator="between">
      <formula>-33</formula>
      <formula>-30</formula>
    </cfRule>
  </conditionalFormatting>
  <conditionalFormatting sqref="CT7">
    <cfRule type="containsBlanks" priority="454" stopIfTrue="1">
      <formula>LEN(TRIM(CT7))=0</formula>
    </cfRule>
    <cfRule type="cellIs" dxfId="975" priority="455" stopIfTrue="1" operator="greaterThan">
      <formula>-30</formula>
    </cfRule>
    <cfRule type="cellIs" dxfId="974" priority="456" stopIfTrue="1" operator="between">
      <formula>-33</formula>
      <formula>-30</formula>
    </cfRule>
  </conditionalFormatting>
  <conditionalFormatting sqref="CT8">
    <cfRule type="containsBlanks" priority="451" stopIfTrue="1">
      <formula>LEN(TRIM(CT8))=0</formula>
    </cfRule>
    <cfRule type="cellIs" dxfId="973" priority="452" stopIfTrue="1" operator="greaterThan">
      <formula>-30</formula>
    </cfRule>
    <cfRule type="cellIs" dxfId="972" priority="453" stopIfTrue="1" operator="between">
      <formula>-33</formula>
      <formula>-30</formula>
    </cfRule>
  </conditionalFormatting>
  <conditionalFormatting sqref="CT9">
    <cfRule type="containsBlanks" priority="448" stopIfTrue="1">
      <formula>LEN(TRIM(CT9))=0</formula>
    </cfRule>
    <cfRule type="cellIs" dxfId="971" priority="449" stopIfTrue="1" operator="greaterThan">
      <formula>-30</formula>
    </cfRule>
    <cfRule type="cellIs" dxfId="970" priority="450" stopIfTrue="1" operator="between">
      <formula>-33</formula>
      <formula>-30</formula>
    </cfRule>
  </conditionalFormatting>
  <conditionalFormatting sqref="H10">
    <cfRule type="containsBlanks" priority="445" stopIfTrue="1">
      <formula>LEN(TRIM(H10))=0</formula>
    </cfRule>
    <cfRule type="cellIs" dxfId="969" priority="446" stopIfTrue="1" operator="greaterThan">
      <formula>-30</formula>
    </cfRule>
    <cfRule type="cellIs" dxfId="968" priority="447" stopIfTrue="1" operator="between">
      <formula>-33</formula>
      <formula>-30</formula>
    </cfRule>
  </conditionalFormatting>
  <conditionalFormatting sqref="AI10">
    <cfRule type="containsBlanks" priority="442" stopIfTrue="1">
      <formula>LEN(TRIM(AI10))=0</formula>
    </cfRule>
    <cfRule type="cellIs" dxfId="967" priority="443" stopIfTrue="1" operator="greaterThan">
      <formula>-30</formula>
    </cfRule>
    <cfRule type="cellIs" dxfId="966" priority="444" stopIfTrue="1" operator="between">
      <formula>-33</formula>
      <formula>-30</formula>
    </cfRule>
  </conditionalFormatting>
  <conditionalFormatting sqref="AR10">
    <cfRule type="containsBlanks" priority="439" stopIfTrue="1">
      <formula>LEN(TRIM(AR10))=0</formula>
    </cfRule>
    <cfRule type="cellIs" dxfId="965" priority="440" stopIfTrue="1" operator="greaterThan">
      <formula>-30</formula>
    </cfRule>
    <cfRule type="cellIs" dxfId="964" priority="441" stopIfTrue="1" operator="between">
      <formula>-33</formula>
      <formula>-30</formula>
    </cfRule>
  </conditionalFormatting>
  <conditionalFormatting sqref="BA10">
    <cfRule type="containsBlanks" priority="436" stopIfTrue="1">
      <formula>LEN(TRIM(BA10))=0</formula>
    </cfRule>
    <cfRule type="cellIs" dxfId="963" priority="437" stopIfTrue="1" operator="greaterThan">
      <formula>-30</formula>
    </cfRule>
    <cfRule type="cellIs" dxfId="962" priority="438" stopIfTrue="1" operator="between">
      <formula>-33</formula>
      <formula>-30</formula>
    </cfRule>
  </conditionalFormatting>
  <conditionalFormatting sqref="BJ10">
    <cfRule type="containsBlanks" priority="433" stopIfTrue="1">
      <formula>LEN(TRIM(BJ10))=0</formula>
    </cfRule>
    <cfRule type="cellIs" dxfId="961" priority="434" stopIfTrue="1" operator="greaterThan">
      <formula>-30</formula>
    </cfRule>
    <cfRule type="cellIs" dxfId="960" priority="435" stopIfTrue="1" operator="between">
      <formula>-33</formula>
      <formula>-30</formula>
    </cfRule>
  </conditionalFormatting>
  <conditionalFormatting sqref="BS10">
    <cfRule type="containsBlanks" priority="430" stopIfTrue="1">
      <formula>LEN(TRIM(BS10))=0</formula>
    </cfRule>
    <cfRule type="cellIs" dxfId="959" priority="431" stopIfTrue="1" operator="greaterThan">
      <formula>-30</formula>
    </cfRule>
    <cfRule type="cellIs" dxfId="958" priority="432" stopIfTrue="1" operator="between">
      <formula>-33</formula>
      <formula>-30</formula>
    </cfRule>
  </conditionalFormatting>
  <conditionalFormatting sqref="CB10">
    <cfRule type="containsBlanks" priority="427" stopIfTrue="1">
      <formula>LEN(TRIM(CB10))=0</formula>
    </cfRule>
    <cfRule type="cellIs" dxfId="957" priority="428" stopIfTrue="1" operator="greaterThan">
      <formula>-30</formula>
    </cfRule>
    <cfRule type="cellIs" dxfId="956" priority="429" stopIfTrue="1" operator="between">
      <formula>-33</formula>
      <formula>-30</formula>
    </cfRule>
  </conditionalFormatting>
  <conditionalFormatting sqref="CK10">
    <cfRule type="containsBlanks" priority="424" stopIfTrue="1">
      <formula>LEN(TRIM(CK10))=0</formula>
    </cfRule>
    <cfRule type="cellIs" dxfId="955" priority="425" stopIfTrue="1" operator="greaterThan">
      <formula>-30</formula>
    </cfRule>
    <cfRule type="cellIs" dxfId="954" priority="426" stopIfTrue="1" operator="between">
      <formula>-33</formula>
      <formula>-30</formula>
    </cfRule>
  </conditionalFormatting>
  <conditionalFormatting sqref="CT10">
    <cfRule type="containsBlanks" priority="421" stopIfTrue="1">
      <formula>LEN(TRIM(CT10))=0</formula>
    </cfRule>
    <cfRule type="cellIs" dxfId="953" priority="422" stopIfTrue="1" operator="greaterThan">
      <formula>-30</formula>
    </cfRule>
    <cfRule type="cellIs" dxfId="952" priority="423" stopIfTrue="1" operator="between">
      <formula>-33</formula>
      <formula>-30</formula>
    </cfRule>
  </conditionalFormatting>
  <conditionalFormatting sqref="H11">
    <cfRule type="containsBlanks" priority="418" stopIfTrue="1">
      <formula>LEN(TRIM(H11))=0</formula>
    </cfRule>
    <cfRule type="cellIs" dxfId="951" priority="419" stopIfTrue="1" operator="greaterThan">
      <formula>-30</formula>
    </cfRule>
    <cfRule type="cellIs" dxfId="950" priority="420" stopIfTrue="1" operator="between">
      <formula>-33</formula>
      <formula>-30</formula>
    </cfRule>
  </conditionalFormatting>
  <conditionalFormatting sqref="AI11">
    <cfRule type="containsBlanks" priority="415" stopIfTrue="1">
      <formula>LEN(TRIM(AI11))=0</formula>
    </cfRule>
    <cfRule type="cellIs" dxfId="949" priority="416" stopIfTrue="1" operator="greaterThan">
      <formula>-30</formula>
    </cfRule>
    <cfRule type="cellIs" dxfId="948" priority="417" stopIfTrue="1" operator="between">
      <formula>-33</formula>
      <formula>-30</formula>
    </cfRule>
  </conditionalFormatting>
  <conditionalFormatting sqref="AR11">
    <cfRule type="containsBlanks" priority="412" stopIfTrue="1">
      <formula>LEN(TRIM(AR11))=0</formula>
    </cfRule>
    <cfRule type="cellIs" dxfId="947" priority="413" stopIfTrue="1" operator="greaterThan">
      <formula>-30</formula>
    </cfRule>
    <cfRule type="cellIs" dxfId="946" priority="414" stopIfTrue="1" operator="between">
      <formula>-33</formula>
      <formula>-30</formula>
    </cfRule>
  </conditionalFormatting>
  <conditionalFormatting sqref="BA11">
    <cfRule type="containsBlanks" priority="409" stopIfTrue="1">
      <formula>LEN(TRIM(BA11))=0</formula>
    </cfRule>
    <cfRule type="cellIs" dxfId="945" priority="410" stopIfTrue="1" operator="greaterThan">
      <formula>-30</formula>
    </cfRule>
    <cfRule type="cellIs" dxfId="944" priority="411" stopIfTrue="1" operator="between">
      <formula>-33</formula>
      <formula>-30</formula>
    </cfRule>
  </conditionalFormatting>
  <conditionalFormatting sqref="BJ11">
    <cfRule type="containsBlanks" priority="406" stopIfTrue="1">
      <formula>LEN(TRIM(BJ11))=0</formula>
    </cfRule>
    <cfRule type="cellIs" dxfId="943" priority="407" stopIfTrue="1" operator="greaterThan">
      <formula>-30</formula>
    </cfRule>
    <cfRule type="cellIs" dxfId="942" priority="408" stopIfTrue="1" operator="between">
      <formula>-33</formula>
      <formula>-30</formula>
    </cfRule>
  </conditionalFormatting>
  <conditionalFormatting sqref="BS11">
    <cfRule type="containsBlanks" priority="403" stopIfTrue="1">
      <formula>LEN(TRIM(BS11))=0</formula>
    </cfRule>
    <cfRule type="cellIs" dxfId="941" priority="404" stopIfTrue="1" operator="greaterThan">
      <formula>-30</formula>
    </cfRule>
    <cfRule type="cellIs" dxfId="940" priority="405" stopIfTrue="1" operator="between">
      <formula>-33</formula>
      <formula>-30</formula>
    </cfRule>
  </conditionalFormatting>
  <conditionalFormatting sqref="CB11">
    <cfRule type="containsBlanks" priority="400" stopIfTrue="1">
      <formula>LEN(TRIM(CB11))=0</formula>
    </cfRule>
    <cfRule type="cellIs" dxfId="939" priority="401" stopIfTrue="1" operator="greaterThan">
      <formula>-30</formula>
    </cfRule>
    <cfRule type="cellIs" dxfId="938" priority="402" stopIfTrue="1" operator="between">
      <formula>-33</formula>
      <formula>-30</formula>
    </cfRule>
  </conditionalFormatting>
  <conditionalFormatting sqref="CK11">
    <cfRule type="containsBlanks" priority="397" stopIfTrue="1">
      <formula>LEN(TRIM(CK11))=0</formula>
    </cfRule>
    <cfRule type="cellIs" dxfId="937" priority="398" stopIfTrue="1" operator="greaterThan">
      <formula>-30</formula>
    </cfRule>
    <cfRule type="cellIs" dxfId="936" priority="399" stopIfTrue="1" operator="between">
      <formula>-33</formula>
      <formula>-30</formula>
    </cfRule>
  </conditionalFormatting>
  <conditionalFormatting sqref="CT11">
    <cfRule type="containsBlanks" priority="394" stopIfTrue="1">
      <formula>LEN(TRIM(CT11))=0</formula>
    </cfRule>
    <cfRule type="cellIs" dxfId="935" priority="395" stopIfTrue="1" operator="greaterThan">
      <formula>-30</formula>
    </cfRule>
    <cfRule type="cellIs" dxfId="934" priority="396" stopIfTrue="1" operator="between">
      <formula>-33</formula>
      <formula>-30</formula>
    </cfRule>
  </conditionalFormatting>
  <conditionalFormatting sqref="H7">
    <cfRule type="containsBlanks" priority="526" stopIfTrue="1">
      <formula>LEN(TRIM(H7))=0</formula>
    </cfRule>
    <cfRule type="cellIs" dxfId="933" priority="527" stopIfTrue="1" operator="greaterThan">
      <formula>-30</formula>
    </cfRule>
    <cfRule type="cellIs" dxfId="932" priority="528" stopIfTrue="1" operator="between">
      <formula>-33</formula>
      <formula>-30</formula>
    </cfRule>
  </conditionalFormatting>
  <conditionalFormatting sqref="H8">
    <cfRule type="containsBlanks" priority="523" stopIfTrue="1">
      <formula>LEN(TRIM(H8))=0</formula>
    </cfRule>
    <cfRule type="cellIs" dxfId="931" priority="524" stopIfTrue="1" operator="greaterThan">
      <formula>-30</formula>
    </cfRule>
    <cfRule type="cellIs" dxfId="930" priority="525" stopIfTrue="1" operator="between">
      <formula>-33</formula>
      <formula>-30</formula>
    </cfRule>
  </conditionalFormatting>
  <conditionalFormatting sqref="H9">
    <cfRule type="containsBlanks" priority="520" stopIfTrue="1">
      <formula>LEN(TRIM(H9))=0</formula>
    </cfRule>
    <cfRule type="cellIs" dxfId="929" priority="521" stopIfTrue="1" operator="greaterThan">
      <formula>-30</formula>
    </cfRule>
    <cfRule type="cellIs" dxfId="928" priority="522" stopIfTrue="1" operator="between">
      <formula>-33</formula>
      <formula>-30</formula>
    </cfRule>
  </conditionalFormatting>
  <conditionalFormatting sqref="AI7">
    <cfRule type="containsBlanks" priority="517" stopIfTrue="1">
      <formula>LEN(TRIM(AI7))=0</formula>
    </cfRule>
    <cfRule type="cellIs" dxfId="927" priority="518" stopIfTrue="1" operator="greaterThan">
      <formula>-30</formula>
    </cfRule>
    <cfRule type="cellIs" dxfId="926" priority="519" stopIfTrue="1" operator="between">
      <formula>-33</formula>
      <formula>-30</formula>
    </cfRule>
  </conditionalFormatting>
  <conditionalFormatting sqref="AI8">
    <cfRule type="containsBlanks" priority="514" stopIfTrue="1">
      <formula>LEN(TRIM(AI8))=0</formula>
    </cfRule>
    <cfRule type="cellIs" dxfId="925" priority="515" stopIfTrue="1" operator="greaterThan">
      <formula>-30</formula>
    </cfRule>
    <cfRule type="cellIs" dxfId="924" priority="516" stopIfTrue="1" operator="between">
      <formula>-33</formula>
      <formula>-30</formula>
    </cfRule>
  </conditionalFormatting>
  <conditionalFormatting sqref="AI9">
    <cfRule type="containsBlanks" priority="511" stopIfTrue="1">
      <formula>LEN(TRIM(AI9))=0</formula>
    </cfRule>
    <cfRule type="cellIs" dxfId="923" priority="512" stopIfTrue="1" operator="greaterThan">
      <formula>-30</formula>
    </cfRule>
    <cfRule type="cellIs" dxfId="922" priority="513" stopIfTrue="1" operator="between">
      <formula>-33</formula>
      <formula>-30</formula>
    </cfRule>
  </conditionalFormatting>
  <conditionalFormatting sqref="AR7">
    <cfRule type="containsBlanks" priority="508" stopIfTrue="1">
      <formula>LEN(TRIM(AR7))=0</formula>
    </cfRule>
    <cfRule type="cellIs" dxfId="921" priority="509" stopIfTrue="1" operator="greaterThan">
      <formula>-30</formula>
    </cfRule>
    <cfRule type="cellIs" dxfId="920" priority="510" stopIfTrue="1" operator="between">
      <formula>-33</formula>
      <formula>-30</formula>
    </cfRule>
  </conditionalFormatting>
  <conditionalFormatting sqref="AR8">
    <cfRule type="containsBlanks" priority="505" stopIfTrue="1">
      <formula>LEN(TRIM(AR8))=0</formula>
    </cfRule>
    <cfRule type="cellIs" dxfId="919" priority="506" stopIfTrue="1" operator="greaterThan">
      <formula>-30</formula>
    </cfRule>
    <cfRule type="cellIs" dxfId="918" priority="507" stopIfTrue="1" operator="between">
      <formula>-33</formula>
      <formula>-30</formula>
    </cfRule>
  </conditionalFormatting>
  <conditionalFormatting sqref="AR9">
    <cfRule type="containsBlanks" priority="502" stopIfTrue="1">
      <formula>LEN(TRIM(AR9))=0</formula>
    </cfRule>
    <cfRule type="cellIs" dxfId="917" priority="503" stopIfTrue="1" operator="greaterThan">
      <formula>-30</formula>
    </cfRule>
    <cfRule type="cellIs" dxfId="916" priority="504" stopIfTrue="1" operator="between">
      <formula>-33</formula>
      <formula>-30</formula>
    </cfRule>
  </conditionalFormatting>
  <conditionalFormatting sqref="BA7">
    <cfRule type="containsBlanks" priority="499" stopIfTrue="1">
      <formula>LEN(TRIM(BA7))=0</formula>
    </cfRule>
    <cfRule type="cellIs" dxfId="915" priority="500" stopIfTrue="1" operator="greaterThan">
      <formula>-30</formula>
    </cfRule>
    <cfRule type="cellIs" dxfId="914" priority="501" stopIfTrue="1" operator="between">
      <formula>-33</formula>
      <formula>-30</formula>
    </cfRule>
  </conditionalFormatting>
  <conditionalFormatting sqref="BA8">
    <cfRule type="containsBlanks" priority="496" stopIfTrue="1">
      <formula>LEN(TRIM(BA8))=0</formula>
    </cfRule>
    <cfRule type="cellIs" dxfId="913" priority="497" stopIfTrue="1" operator="greaterThan">
      <formula>-30</formula>
    </cfRule>
    <cfRule type="cellIs" dxfId="912" priority="498" stopIfTrue="1" operator="between">
      <formula>-33</formula>
      <formula>-30</formula>
    </cfRule>
  </conditionalFormatting>
  <conditionalFormatting sqref="BA9">
    <cfRule type="containsBlanks" priority="493" stopIfTrue="1">
      <formula>LEN(TRIM(BA9))=0</formula>
    </cfRule>
    <cfRule type="cellIs" dxfId="911" priority="494" stopIfTrue="1" operator="greaterThan">
      <formula>-30</formula>
    </cfRule>
    <cfRule type="cellIs" dxfId="910" priority="495" stopIfTrue="1" operator="between">
      <formula>-33</formula>
      <formula>-30</formula>
    </cfRule>
  </conditionalFormatting>
  <conditionalFormatting sqref="BJ7">
    <cfRule type="containsBlanks" priority="490" stopIfTrue="1">
      <formula>LEN(TRIM(BJ7))=0</formula>
    </cfRule>
    <cfRule type="cellIs" dxfId="909" priority="491" stopIfTrue="1" operator="greaterThan">
      <formula>-30</formula>
    </cfRule>
    <cfRule type="cellIs" dxfId="908" priority="492" stopIfTrue="1" operator="between">
      <formula>-33</formula>
      <formula>-30</formula>
    </cfRule>
  </conditionalFormatting>
  <conditionalFormatting sqref="BJ8">
    <cfRule type="containsBlanks" priority="487" stopIfTrue="1">
      <formula>LEN(TRIM(BJ8))=0</formula>
    </cfRule>
    <cfRule type="cellIs" dxfId="907" priority="488" stopIfTrue="1" operator="greaterThan">
      <formula>-30</formula>
    </cfRule>
    <cfRule type="cellIs" dxfId="906" priority="489" stopIfTrue="1" operator="between">
      <formula>-33</formula>
      <formula>-30</formula>
    </cfRule>
  </conditionalFormatting>
  <conditionalFormatting sqref="BJ9">
    <cfRule type="containsBlanks" priority="484" stopIfTrue="1">
      <formula>LEN(TRIM(BJ9))=0</formula>
    </cfRule>
    <cfRule type="cellIs" dxfId="905" priority="485" stopIfTrue="1" operator="greaterThan">
      <formula>-30</formula>
    </cfRule>
    <cfRule type="cellIs" dxfId="904" priority="486" stopIfTrue="1" operator="between">
      <formula>-33</formula>
      <formula>-30</formula>
    </cfRule>
  </conditionalFormatting>
  <conditionalFormatting sqref="BS7">
    <cfRule type="containsBlanks" priority="481" stopIfTrue="1">
      <formula>LEN(TRIM(BS7))=0</formula>
    </cfRule>
    <cfRule type="cellIs" dxfId="903" priority="482" stopIfTrue="1" operator="greaterThan">
      <formula>-30</formula>
    </cfRule>
    <cfRule type="cellIs" dxfId="902" priority="483" stopIfTrue="1" operator="between">
      <formula>-33</formula>
      <formula>-30</formula>
    </cfRule>
  </conditionalFormatting>
  <conditionalFormatting sqref="BS8">
    <cfRule type="containsBlanks" priority="478" stopIfTrue="1">
      <formula>LEN(TRIM(BS8))=0</formula>
    </cfRule>
    <cfRule type="cellIs" dxfId="901" priority="479" stopIfTrue="1" operator="greaterThan">
      <formula>-30</formula>
    </cfRule>
    <cfRule type="cellIs" dxfId="900" priority="480" stopIfTrue="1" operator="between">
      <formula>-33</formula>
      <formula>-30</formula>
    </cfRule>
  </conditionalFormatting>
  <conditionalFormatting sqref="BS9">
    <cfRule type="containsBlanks" priority="475" stopIfTrue="1">
      <formula>LEN(TRIM(BS9))=0</formula>
    </cfRule>
    <cfRule type="cellIs" dxfId="899" priority="476" stopIfTrue="1" operator="greaterThan">
      <formula>-30</formula>
    </cfRule>
    <cfRule type="cellIs" dxfId="898" priority="477" stopIfTrue="1" operator="between">
      <formula>-33</formula>
      <formula>-30</formula>
    </cfRule>
  </conditionalFormatting>
  <conditionalFormatting sqref="H20">
    <cfRule type="containsBlanks" priority="175" stopIfTrue="1">
      <formula>LEN(TRIM(H20))=0</formula>
    </cfRule>
    <cfRule type="cellIs" dxfId="897" priority="176" stopIfTrue="1" operator="greaterThan">
      <formula>-30</formula>
    </cfRule>
    <cfRule type="cellIs" dxfId="896" priority="177" stopIfTrue="1" operator="between">
      <formula>-33</formula>
      <formula>-30</formula>
    </cfRule>
  </conditionalFormatting>
  <conditionalFormatting sqref="AI20">
    <cfRule type="containsBlanks" priority="172" stopIfTrue="1">
      <formula>LEN(TRIM(AI20))=0</formula>
    </cfRule>
    <cfRule type="cellIs" dxfId="895" priority="173" stopIfTrue="1" operator="greaterThan">
      <formula>-30</formula>
    </cfRule>
    <cfRule type="cellIs" dxfId="894" priority="174" stopIfTrue="1" operator="between">
      <formula>-33</formula>
      <formula>-30</formula>
    </cfRule>
  </conditionalFormatting>
  <conditionalFormatting sqref="AR20">
    <cfRule type="containsBlanks" priority="169" stopIfTrue="1">
      <formula>LEN(TRIM(AR20))=0</formula>
    </cfRule>
    <cfRule type="cellIs" dxfId="893" priority="170" stopIfTrue="1" operator="greaterThan">
      <formula>-30</formula>
    </cfRule>
    <cfRule type="cellIs" dxfId="892" priority="171" stopIfTrue="1" operator="between">
      <formula>-33</formula>
      <formula>-30</formula>
    </cfRule>
  </conditionalFormatting>
  <conditionalFormatting sqref="BA20">
    <cfRule type="containsBlanks" priority="166" stopIfTrue="1">
      <formula>LEN(TRIM(BA20))=0</formula>
    </cfRule>
    <cfRule type="cellIs" dxfId="891" priority="167" stopIfTrue="1" operator="greaterThan">
      <formula>-30</formula>
    </cfRule>
    <cfRule type="cellIs" dxfId="890" priority="168" stopIfTrue="1" operator="between">
      <formula>-33</formula>
      <formula>-30</formula>
    </cfRule>
  </conditionalFormatting>
  <conditionalFormatting sqref="BJ20">
    <cfRule type="containsBlanks" priority="163" stopIfTrue="1">
      <formula>LEN(TRIM(BJ20))=0</formula>
    </cfRule>
    <cfRule type="cellIs" dxfId="889" priority="164" stopIfTrue="1" operator="greaterThan">
      <formula>-30</formula>
    </cfRule>
    <cfRule type="cellIs" dxfId="888" priority="165" stopIfTrue="1" operator="between">
      <formula>-33</formula>
      <formula>-30</formula>
    </cfRule>
  </conditionalFormatting>
  <conditionalFormatting sqref="BS20">
    <cfRule type="containsBlanks" priority="160" stopIfTrue="1">
      <formula>LEN(TRIM(BS20))=0</formula>
    </cfRule>
    <cfRule type="cellIs" dxfId="887" priority="161" stopIfTrue="1" operator="greaterThan">
      <formula>-30</formula>
    </cfRule>
    <cfRule type="cellIs" dxfId="886" priority="162" stopIfTrue="1" operator="between">
      <formula>-33</formula>
      <formula>-30</formula>
    </cfRule>
  </conditionalFormatting>
  <conditionalFormatting sqref="CB20">
    <cfRule type="containsBlanks" priority="157" stopIfTrue="1">
      <formula>LEN(TRIM(CB20))=0</formula>
    </cfRule>
    <cfRule type="cellIs" dxfId="885" priority="158" stopIfTrue="1" operator="greaterThan">
      <formula>-30</formula>
    </cfRule>
    <cfRule type="cellIs" dxfId="884" priority="159" stopIfTrue="1" operator="between">
      <formula>-33</formula>
      <formula>-30</formula>
    </cfRule>
  </conditionalFormatting>
  <conditionalFormatting sqref="CK20">
    <cfRule type="containsBlanks" priority="154" stopIfTrue="1">
      <formula>LEN(TRIM(CK20))=0</formula>
    </cfRule>
    <cfRule type="cellIs" dxfId="883" priority="155" stopIfTrue="1" operator="greaterThan">
      <formula>-30</formula>
    </cfRule>
    <cfRule type="cellIs" dxfId="882" priority="156" stopIfTrue="1" operator="between">
      <formula>-33</formula>
      <formula>-30</formula>
    </cfRule>
  </conditionalFormatting>
  <conditionalFormatting sqref="CT20">
    <cfRule type="containsBlanks" priority="151" stopIfTrue="1">
      <formula>LEN(TRIM(CT20))=0</formula>
    </cfRule>
    <cfRule type="cellIs" dxfId="881" priority="152" stopIfTrue="1" operator="greaterThan">
      <formula>-30</formula>
    </cfRule>
    <cfRule type="cellIs" dxfId="880" priority="153" stopIfTrue="1" operator="between">
      <formula>-33</formula>
      <formula>-30</formula>
    </cfRule>
  </conditionalFormatting>
  <conditionalFormatting sqref="H21">
    <cfRule type="containsBlanks" priority="148" stopIfTrue="1">
      <formula>LEN(TRIM(H21))=0</formula>
    </cfRule>
    <cfRule type="cellIs" dxfId="879" priority="149" stopIfTrue="1" operator="greaterThan">
      <formula>-30</formula>
    </cfRule>
    <cfRule type="cellIs" dxfId="878" priority="150" stopIfTrue="1" operator="between">
      <formula>-33</formula>
      <formula>-30</formula>
    </cfRule>
  </conditionalFormatting>
  <conditionalFormatting sqref="AI21">
    <cfRule type="containsBlanks" priority="145" stopIfTrue="1">
      <formula>LEN(TRIM(AI21))=0</formula>
    </cfRule>
    <cfRule type="cellIs" dxfId="877" priority="146" stopIfTrue="1" operator="greaterThan">
      <formula>-30</formula>
    </cfRule>
    <cfRule type="cellIs" dxfId="876" priority="147" stopIfTrue="1" operator="between">
      <formula>-33</formula>
      <formula>-30</formula>
    </cfRule>
  </conditionalFormatting>
  <conditionalFormatting sqref="AR21">
    <cfRule type="containsBlanks" priority="142" stopIfTrue="1">
      <formula>LEN(TRIM(AR21))=0</formula>
    </cfRule>
    <cfRule type="cellIs" dxfId="875" priority="143" stopIfTrue="1" operator="greaterThan">
      <formula>-30</formula>
    </cfRule>
    <cfRule type="cellIs" dxfId="874" priority="144" stopIfTrue="1" operator="between">
      <formula>-33</formula>
      <formula>-30</formula>
    </cfRule>
  </conditionalFormatting>
  <conditionalFormatting sqref="BA21">
    <cfRule type="containsBlanks" priority="139" stopIfTrue="1">
      <formula>LEN(TRIM(BA21))=0</formula>
    </cfRule>
    <cfRule type="cellIs" dxfId="873" priority="140" stopIfTrue="1" operator="greaterThan">
      <formula>-30</formula>
    </cfRule>
    <cfRule type="cellIs" dxfId="872" priority="141" stopIfTrue="1" operator="between">
      <formula>-33</formula>
      <formula>-30</formula>
    </cfRule>
  </conditionalFormatting>
  <conditionalFormatting sqref="BJ21">
    <cfRule type="containsBlanks" priority="136" stopIfTrue="1">
      <formula>LEN(TRIM(BJ21))=0</formula>
    </cfRule>
    <cfRule type="cellIs" dxfId="871" priority="137" stopIfTrue="1" operator="greaterThan">
      <formula>-30</formula>
    </cfRule>
    <cfRule type="cellIs" dxfId="870" priority="138" stopIfTrue="1" operator="between">
      <formula>-33</formula>
      <formula>-30</formula>
    </cfRule>
  </conditionalFormatting>
  <conditionalFormatting sqref="BS21">
    <cfRule type="containsBlanks" priority="133" stopIfTrue="1">
      <formula>LEN(TRIM(BS21))=0</formula>
    </cfRule>
    <cfRule type="cellIs" dxfId="869" priority="134" stopIfTrue="1" operator="greaterThan">
      <formula>-30</formula>
    </cfRule>
    <cfRule type="cellIs" dxfId="868" priority="135" stopIfTrue="1" operator="between">
      <formula>-33</formula>
      <formula>-30</formula>
    </cfRule>
  </conditionalFormatting>
  <conditionalFormatting sqref="CB21">
    <cfRule type="containsBlanks" priority="130" stopIfTrue="1">
      <formula>LEN(TRIM(CB21))=0</formula>
    </cfRule>
    <cfRule type="cellIs" dxfId="867" priority="131" stopIfTrue="1" operator="greaterThan">
      <formula>-30</formula>
    </cfRule>
    <cfRule type="cellIs" dxfId="866" priority="132" stopIfTrue="1" operator="between">
      <formula>-33</formula>
      <formula>-30</formula>
    </cfRule>
  </conditionalFormatting>
  <conditionalFormatting sqref="CK21">
    <cfRule type="containsBlanks" priority="127" stopIfTrue="1">
      <formula>LEN(TRIM(CK21))=0</formula>
    </cfRule>
    <cfRule type="cellIs" dxfId="865" priority="128" stopIfTrue="1" operator="greaterThan">
      <formula>-30</formula>
    </cfRule>
    <cfRule type="cellIs" dxfId="864" priority="129" stopIfTrue="1" operator="between">
      <formula>-33</formula>
      <formula>-30</formula>
    </cfRule>
  </conditionalFormatting>
  <conditionalFormatting sqref="CT21">
    <cfRule type="containsBlanks" priority="124" stopIfTrue="1">
      <formula>LEN(TRIM(CT21))=0</formula>
    </cfRule>
    <cfRule type="cellIs" dxfId="863" priority="125" stopIfTrue="1" operator="greaterThan">
      <formula>-30</formula>
    </cfRule>
    <cfRule type="cellIs" dxfId="862" priority="126" stopIfTrue="1" operator="between">
      <formula>-33</formula>
      <formula>-30</formula>
    </cfRule>
  </conditionalFormatting>
  <conditionalFormatting sqref="H22">
    <cfRule type="containsBlanks" priority="121" stopIfTrue="1">
      <formula>LEN(TRIM(H22))=0</formula>
    </cfRule>
    <cfRule type="cellIs" dxfId="861" priority="122" stopIfTrue="1" operator="greaterThan">
      <formula>-30</formula>
    </cfRule>
    <cfRule type="cellIs" dxfId="860" priority="123" stopIfTrue="1" operator="between">
      <formula>-33</formula>
      <formula>-30</formula>
    </cfRule>
  </conditionalFormatting>
  <conditionalFormatting sqref="AI22">
    <cfRule type="containsBlanks" priority="118" stopIfTrue="1">
      <formula>LEN(TRIM(AI22))=0</formula>
    </cfRule>
    <cfRule type="cellIs" dxfId="859" priority="119" stopIfTrue="1" operator="greaterThan">
      <formula>-30</formula>
    </cfRule>
    <cfRule type="cellIs" dxfId="858" priority="120" stopIfTrue="1" operator="between">
      <formula>-33</formula>
      <formula>-30</formula>
    </cfRule>
  </conditionalFormatting>
  <conditionalFormatting sqref="AR22">
    <cfRule type="containsBlanks" priority="115" stopIfTrue="1">
      <formula>LEN(TRIM(AR22))=0</formula>
    </cfRule>
    <cfRule type="cellIs" dxfId="857" priority="116" stopIfTrue="1" operator="greaterThan">
      <formula>-30</formula>
    </cfRule>
    <cfRule type="cellIs" dxfId="856" priority="117" stopIfTrue="1" operator="between">
      <formula>-33</formula>
      <formula>-30</formula>
    </cfRule>
  </conditionalFormatting>
  <conditionalFormatting sqref="BA22">
    <cfRule type="containsBlanks" priority="112" stopIfTrue="1">
      <formula>LEN(TRIM(BA22))=0</formula>
    </cfRule>
    <cfRule type="cellIs" dxfId="855" priority="113" stopIfTrue="1" operator="greaterThan">
      <formula>-30</formula>
    </cfRule>
    <cfRule type="cellIs" dxfId="854" priority="114" stopIfTrue="1" operator="between">
      <formula>-33</formula>
      <formula>-30</formula>
    </cfRule>
  </conditionalFormatting>
  <conditionalFormatting sqref="BJ22">
    <cfRule type="containsBlanks" priority="109" stopIfTrue="1">
      <formula>LEN(TRIM(BJ22))=0</formula>
    </cfRule>
    <cfRule type="cellIs" dxfId="853" priority="110" stopIfTrue="1" operator="greaterThan">
      <formula>-30</formula>
    </cfRule>
    <cfRule type="cellIs" dxfId="852" priority="111" stopIfTrue="1" operator="between">
      <formula>-33</formula>
      <formula>-30</formula>
    </cfRule>
  </conditionalFormatting>
  <conditionalFormatting sqref="BS22">
    <cfRule type="containsBlanks" priority="106" stopIfTrue="1">
      <formula>LEN(TRIM(BS22))=0</formula>
    </cfRule>
    <cfRule type="cellIs" dxfId="851" priority="107" stopIfTrue="1" operator="greaterThan">
      <formula>-30</formula>
    </cfRule>
    <cfRule type="cellIs" dxfId="850" priority="108" stopIfTrue="1" operator="between">
      <formula>-33</formula>
      <formula>-30</formula>
    </cfRule>
  </conditionalFormatting>
  <conditionalFormatting sqref="CB22">
    <cfRule type="containsBlanks" priority="103" stopIfTrue="1">
      <formula>LEN(TRIM(CB22))=0</formula>
    </cfRule>
    <cfRule type="cellIs" dxfId="849" priority="104" stopIfTrue="1" operator="greaterThan">
      <formula>-30</formula>
    </cfRule>
    <cfRule type="cellIs" dxfId="848" priority="105" stopIfTrue="1" operator="between">
      <formula>-33</formula>
      <formula>-30</formula>
    </cfRule>
  </conditionalFormatting>
  <conditionalFormatting sqref="CK22">
    <cfRule type="containsBlanks" priority="100" stopIfTrue="1">
      <formula>LEN(TRIM(CK22))=0</formula>
    </cfRule>
    <cfRule type="cellIs" dxfId="847" priority="101" stopIfTrue="1" operator="greaterThan">
      <formula>-30</formula>
    </cfRule>
    <cfRule type="cellIs" dxfId="846" priority="102" stopIfTrue="1" operator="between">
      <formula>-33</formula>
      <formula>-30</formula>
    </cfRule>
  </conditionalFormatting>
  <conditionalFormatting sqref="CT22">
    <cfRule type="containsBlanks" priority="97" stopIfTrue="1">
      <formula>LEN(TRIM(CT22))=0</formula>
    </cfRule>
    <cfRule type="cellIs" dxfId="845" priority="98" stopIfTrue="1" operator="greaterThan">
      <formula>-30</formula>
    </cfRule>
    <cfRule type="cellIs" dxfId="844" priority="99" stopIfTrue="1" operator="between">
      <formula>-33</formula>
      <formula>-30</formula>
    </cfRule>
  </conditionalFormatting>
  <conditionalFormatting sqref="H12">
    <cfRule type="containsBlanks" priority="391" stopIfTrue="1">
      <formula>LEN(TRIM(H12))=0</formula>
    </cfRule>
    <cfRule type="cellIs" dxfId="843" priority="392" stopIfTrue="1" operator="greaterThan">
      <formula>-30</formula>
    </cfRule>
    <cfRule type="cellIs" dxfId="842" priority="393" stopIfTrue="1" operator="between">
      <formula>-33</formula>
      <formula>-30</formula>
    </cfRule>
  </conditionalFormatting>
  <conditionalFormatting sqref="AI12">
    <cfRule type="containsBlanks" priority="388" stopIfTrue="1">
      <formula>LEN(TRIM(AI12))=0</formula>
    </cfRule>
    <cfRule type="cellIs" dxfId="841" priority="389" stopIfTrue="1" operator="greaterThan">
      <formula>-30</formula>
    </cfRule>
    <cfRule type="cellIs" dxfId="840" priority="390" stopIfTrue="1" operator="between">
      <formula>-33</formula>
      <formula>-30</formula>
    </cfRule>
  </conditionalFormatting>
  <conditionalFormatting sqref="AR12">
    <cfRule type="containsBlanks" priority="385" stopIfTrue="1">
      <formula>LEN(TRIM(AR12))=0</formula>
    </cfRule>
    <cfRule type="cellIs" dxfId="839" priority="386" stopIfTrue="1" operator="greaterThan">
      <formula>-30</formula>
    </cfRule>
    <cfRule type="cellIs" dxfId="838" priority="387" stopIfTrue="1" operator="between">
      <formula>-33</formula>
      <formula>-30</formula>
    </cfRule>
  </conditionalFormatting>
  <conditionalFormatting sqref="BA12">
    <cfRule type="containsBlanks" priority="382" stopIfTrue="1">
      <formula>LEN(TRIM(BA12))=0</formula>
    </cfRule>
    <cfRule type="cellIs" dxfId="837" priority="383" stopIfTrue="1" operator="greaterThan">
      <formula>-30</formula>
    </cfRule>
    <cfRule type="cellIs" dxfId="836" priority="384" stopIfTrue="1" operator="between">
      <formula>-33</formula>
      <formula>-30</formula>
    </cfRule>
  </conditionalFormatting>
  <conditionalFormatting sqref="BJ12">
    <cfRule type="containsBlanks" priority="379" stopIfTrue="1">
      <formula>LEN(TRIM(BJ12))=0</formula>
    </cfRule>
    <cfRule type="cellIs" dxfId="835" priority="380" stopIfTrue="1" operator="greaterThan">
      <formula>-30</formula>
    </cfRule>
    <cfRule type="cellIs" dxfId="834" priority="381" stopIfTrue="1" operator="between">
      <formula>-33</formula>
      <formula>-30</formula>
    </cfRule>
  </conditionalFormatting>
  <conditionalFormatting sqref="BS12">
    <cfRule type="containsBlanks" priority="376" stopIfTrue="1">
      <formula>LEN(TRIM(BS12))=0</formula>
    </cfRule>
    <cfRule type="cellIs" dxfId="833" priority="377" stopIfTrue="1" operator="greaterThan">
      <formula>-30</formula>
    </cfRule>
    <cfRule type="cellIs" dxfId="832" priority="378" stopIfTrue="1" operator="between">
      <formula>-33</formula>
      <formula>-30</formula>
    </cfRule>
  </conditionalFormatting>
  <conditionalFormatting sqref="CB12">
    <cfRule type="containsBlanks" priority="373" stopIfTrue="1">
      <formula>LEN(TRIM(CB12))=0</formula>
    </cfRule>
    <cfRule type="cellIs" dxfId="831" priority="374" stopIfTrue="1" operator="greaterThan">
      <formula>-30</formula>
    </cfRule>
    <cfRule type="cellIs" dxfId="830" priority="375" stopIfTrue="1" operator="between">
      <formula>-33</formula>
      <formula>-30</formula>
    </cfRule>
  </conditionalFormatting>
  <conditionalFormatting sqref="CK12">
    <cfRule type="containsBlanks" priority="370" stopIfTrue="1">
      <formula>LEN(TRIM(CK12))=0</formula>
    </cfRule>
    <cfRule type="cellIs" dxfId="829" priority="371" stopIfTrue="1" operator="greaterThan">
      <formula>-30</formula>
    </cfRule>
    <cfRule type="cellIs" dxfId="828" priority="372" stopIfTrue="1" operator="between">
      <formula>-33</formula>
      <formula>-30</formula>
    </cfRule>
  </conditionalFormatting>
  <conditionalFormatting sqref="CT12">
    <cfRule type="containsBlanks" priority="367" stopIfTrue="1">
      <formula>LEN(TRIM(CT12))=0</formula>
    </cfRule>
    <cfRule type="cellIs" dxfId="827" priority="368" stopIfTrue="1" operator="greaterThan">
      <formula>-30</formula>
    </cfRule>
    <cfRule type="cellIs" dxfId="826" priority="369" stopIfTrue="1" operator="between">
      <formula>-33</formula>
      <formula>-30</formula>
    </cfRule>
  </conditionalFormatting>
  <conditionalFormatting sqref="H13">
    <cfRule type="containsBlanks" priority="364" stopIfTrue="1">
      <formula>LEN(TRIM(H13))=0</formula>
    </cfRule>
    <cfRule type="cellIs" dxfId="825" priority="365" stopIfTrue="1" operator="greaterThan">
      <formula>-30</formula>
    </cfRule>
    <cfRule type="cellIs" dxfId="824" priority="366" stopIfTrue="1" operator="between">
      <formula>-33</formula>
      <formula>-30</formula>
    </cfRule>
  </conditionalFormatting>
  <conditionalFormatting sqref="AI13">
    <cfRule type="containsBlanks" priority="361" stopIfTrue="1">
      <formula>LEN(TRIM(AI13))=0</formula>
    </cfRule>
    <cfRule type="cellIs" dxfId="823" priority="362" stopIfTrue="1" operator="greaterThan">
      <formula>-30</formula>
    </cfRule>
    <cfRule type="cellIs" dxfId="822" priority="363" stopIfTrue="1" operator="between">
      <formula>-33</formula>
      <formula>-30</formula>
    </cfRule>
  </conditionalFormatting>
  <conditionalFormatting sqref="AR13">
    <cfRule type="containsBlanks" priority="358" stopIfTrue="1">
      <formula>LEN(TRIM(AR13))=0</formula>
    </cfRule>
    <cfRule type="cellIs" dxfId="821" priority="359" stopIfTrue="1" operator="greaterThan">
      <formula>-30</formula>
    </cfRule>
    <cfRule type="cellIs" dxfId="820" priority="360" stopIfTrue="1" operator="between">
      <formula>-33</formula>
      <formula>-30</formula>
    </cfRule>
  </conditionalFormatting>
  <conditionalFormatting sqref="BA13">
    <cfRule type="containsBlanks" priority="355" stopIfTrue="1">
      <formula>LEN(TRIM(BA13))=0</formula>
    </cfRule>
    <cfRule type="cellIs" dxfId="819" priority="356" stopIfTrue="1" operator="greaterThan">
      <formula>-30</formula>
    </cfRule>
    <cfRule type="cellIs" dxfId="818" priority="357" stopIfTrue="1" operator="between">
      <formula>-33</formula>
      <formula>-30</formula>
    </cfRule>
  </conditionalFormatting>
  <conditionalFormatting sqref="BJ13">
    <cfRule type="containsBlanks" priority="352" stopIfTrue="1">
      <formula>LEN(TRIM(BJ13))=0</formula>
    </cfRule>
    <cfRule type="cellIs" dxfId="817" priority="353" stopIfTrue="1" operator="greaterThan">
      <formula>-30</formula>
    </cfRule>
    <cfRule type="cellIs" dxfId="816" priority="354" stopIfTrue="1" operator="between">
      <formula>-33</formula>
      <formula>-30</formula>
    </cfRule>
  </conditionalFormatting>
  <conditionalFormatting sqref="BS13">
    <cfRule type="containsBlanks" priority="349" stopIfTrue="1">
      <formula>LEN(TRIM(BS13))=0</formula>
    </cfRule>
    <cfRule type="cellIs" dxfId="815" priority="350" stopIfTrue="1" operator="greaterThan">
      <formula>-30</formula>
    </cfRule>
    <cfRule type="cellIs" dxfId="814" priority="351" stopIfTrue="1" operator="between">
      <formula>-33</formula>
      <formula>-30</formula>
    </cfRule>
  </conditionalFormatting>
  <conditionalFormatting sqref="CB13">
    <cfRule type="containsBlanks" priority="346" stopIfTrue="1">
      <formula>LEN(TRIM(CB13))=0</formula>
    </cfRule>
    <cfRule type="cellIs" dxfId="813" priority="347" stopIfTrue="1" operator="greaterThan">
      <formula>-30</formula>
    </cfRule>
    <cfRule type="cellIs" dxfId="812" priority="348" stopIfTrue="1" operator="between">
      <formula>-33</formula>
      <formula>-30</formula>
    </cfRule>
  </conditionalFormatting>
  <conditionalFormatting sqref="CK13">
    <cfRule type="containsBlanks" priority="343" stopIfTrue="1">
      <formula>LEN(TRIM(CK13))=0</formula>
    </cfRule>
    <cfRule type="cellIs" dxfId="811" priority="344" stopIfTrue="1" operator="greaterThan">
      <formula>-30</formula>
    </cfRule>
    <cfRule type="cellIs" dxfId="810" priority="345" stopIfTrue="1" operator="between">
      <formula>-33</formula>
      <formula>-30</formula>
    </cfRule>
  </conditionalFormatting>
  <conditionalFormatting sqref="CT13">
    <cfRule type="containsBlanks" priority="340" stopIfTrue="1">
      <formula>LEN(TRIM(CT13))=0</formula>
    </cfRule>
    <cfRule type="cellIs" dxfId="809" priority="341" stopIfTrue="1" operator="greaterThan">
      <formula>-30</formula>
    </cfRule>
    <cfRule type="cellIs" dxfId="808" priority="342" stopIfTrue="1" operator="between">
      <formula>-33</formula>
      <formula>-30</formula>
    </cfRule>
  </conditionalFormatting>
  <conditionalFormatting sqref="H14">
    <cfRule type="containsBlanks" priority="337" stopIfTrue="1">
      <formula>LEN(TRIM(H14))=0</formula>
    </cfRule>
    <cfRule type="cellIs" dxfId="807" priority="338" stopIfTrue="1" operator="greaterThan">
      <formula>-30</formula>
    </cfRule>
    <cfRule type="cellIs" dxfId="806" priority="339" stopIfTrue="1" operator="between">
      <formula>-33</formula>
      <formula>-30</formula>
    </cfRule>
  </conditionalFormatting>
  <conditionalFormatting sqref="AI14">
    <cfRule type="containsBlanks" priority="334" stopIfTrue="1">
      <formula>LEN(TRIM(AI14))=0</formula>
    </cfRule>
    <cfRule type="cellIs" dxfId="805" priority="335" stopIfTrue="1" operator="greaterThan">
      <formula>-30</formula>
    </cfRule>
    <cfRule type="cellIs" dxfId="804" priority="336" stopIfTrue="1" operator="between">
      <formula>-33</formula>
      <formula>-30</formula>
    </cfRule>
  </conditionalFormatting>
  <conditionalFormatting sqref="AR14">
    <cfRule type="containsBlanks" priority="331" stopIfTrue="1">
      <formula>LEN(TRIM(AR14))=0</formula>
    </cfRule>
    <cfRule type="cellIs" dxfId="803" priority="332" stopIfTrue="1" operator="greaterThan">
      <formula>-30</formula>
    </cfRule>
    <cfRule type="cellIs" dxfId="802" priority="333" stopIfTrue="1" operator="between">
      <formula>-33</formula>
      <formula>-30</formula>
    </cfRule>
  </conditionalFormatting>
  <conditionalFormatting sqref="BA14">
    <cfRule type="containsBlanks" priority="328" stopIfTrue="1">
      <formula>LEN(TRIM(BA14))=0</formula>
    </cfRule>
    <cfRule type="cellIs" dxfId="801" priority="329" stopIfTrue="1" operator="greaterThan">
      <formula>-30</formula>
    </cfRule>
    <cfRule type="cellIs" dxfId="800" priority="330" stopIfTrue="1" operator="between">
      <formula>-33</formula>
      <formula>-30</formula>
    </cfRule>
  </conditionalFormatting>
  <conditionalFormatting sqref="BJ14">
    <cfRule type="containsBlanks" priority="325" stopIfTrue="1">
      <formula>LEN(TRIM(BJ14))=0</formula>
    </cfRule>
    <cfRule type="cellIs" dxfId="799" priority="326" stopIfTrue="1" operator="greaterThan">
      <formula>-30</formula>
    </cfRule>
    <cfRule type="cellIs" dxfId="798" priority="327" stopIfTrue="1" operator="between">
      <formula>-33</formula>
      <formula>-30</formula>
    </cfRule>
  </conditionalFormatting>
  <conditionalFormatting sqref="BS14">
    <cfRule type="containsBlanks" priority="322" stopIfTrue="1">
      <formula>LEN(TRIM(BS14))=0</formula>
    </cfRule>
    <cfRule type="cellIs" dxfId="797" priority="323" stopIfTrue="1" operator="greaterThan">
      <formula>-30</formula>
    </cfRule>
    <cfRule type="cellIs" dxfId="796" priority="324" stopIfTrue="1" operator="between">
      <formula>-33</formula>
      <formula>-30</formula>
    </cfRule>
  </conditionalFormatting>
  <conditionalFormatting sqref="CB14">
    <cfRule type="containsBlanks" priority="319" stopIfTrue="1">
      <formula>LEN(TRIM(CB14))=0</formula>
    </cfRule>
    <cfRule type="cellIs" dxfId="795" priority="320" stopIfTrue="1" operator="greaterThan">
      <formula>-30</formula>
    </cfRule>
    <cfRule type="cellIs" dxfId="794" priority="321" stopIfTrue="1" operator="between">
      <formula>-33</formula>
      <formula>-30</formula>
    </cfRule>
  </conditionalFormatting>
  <conditionalFormatting sqref="CK14">
    <cfRule type="containsBlanks" priority="316" stopIfTrue="1">
      <formula>LEN(TRIM(CK14))=0</formula>
    </cfRule>
    <cfRule type="cellIs" dxfId="793" priority="317" stopIfTrue="1" operator="greaterThan">
      <formula>-30</formula>
    </cfRule>
    <cfRule type="cellIs" dxfId="792" priority="318" stopIfTrue="1" operator="between">
      <formula>-33</formula>
      <formula>-30</formula>
    </cfRule>
  </conditionalFormatting>
  <conditionalFormatting sqref="CT14">
    <cfRule type="containsBlanks" priority="313" stopIfTrue="1">
      <formula>LEN(TRIM(CT14))=0</formula>
    </cfRule>
    <cfRule type="cellIs" dxfId="791" priority="314" stopIfTrue="1" operator="greaterThan">
      <formula>-30</formula>
    </cfRule>
    <cfRule type="cellIs" dxfId="790" priority="315" stopIfTrue="1" operator="between">
      <formula>-33</formula>
      <formula>-30</formula>
    </cfRule>
  </conditionalFormatting>
  <conditionalFormatting sqref="H15">
    <cfRule type="containsBlanks" priority="310" stopIfTrue="1">
      <formula>LEN(TRIM(H15))=0</formula>
    </cfRule>
    <cfRule type="cellIs" dxfId="789" priority="311" stopIfTrue="1" operator="greaterThan">
      <formula>-30</formula>
    </cfRule>
    <cfRule type="cellIs" dxfId="788" priority="312" stopIfTrue="1" operator="between">
      <formula>-33</formula>
      <formula>-30</formula>
    </cfRule>
  </conditionalFormatting>
  <conditionalFormatting sqref="AI15">
    <cfRule type="containsBlanks" priority="307" stopIfTrue="1">
      <formula>LEN(TRIM(AI15))=0</formula>
    </cfRule>
    <cfRule type="cellIs" dxfId="787" priority="308" stopIfTrue="1" operator="greaterThan">
      <formula>-30</formula>
    </cfRule>
    <cfRule type="cellIs" dxfId="786" priority="309" stopIfTrue="1" operator="between">
      <formula>-33</formula>
      <formula>-30</formula>
    </cfRule>
  </conditionalFormatting>
  <conditionalFormatting sqref="AR15">
    <cfRule type="containsBlanks" priority="304" stopIfTrue="1">
      <formula>LEN(TRIM(AR15))=0</formula>
    </cfRule>
    <cfRule type="cellIs" dxfId="785" priority="305" stopIfTrue="1" operator="greaterThan">
      <formula>-30</formula>
    </cfRule>
    <cfRule type="cellIs" dxfId="784" priority="306" stopIfTrue="1" operator="between">
      <formula>-33</formula>
      <formula>-30</formula>
    </cfRule>
  </conditionalFormatting>
  <conditionalFormatting sqref="BA15">
    <cfRule type="containsBlanks" priority="301" stopIfTrue="1">
      <formula>LEN(TRIM(BA15))=0</formula>
    </cfRule>
    <cfRule type="cellIs" dxfId="783" priority="302" stopIfTrue="1" operator="greaterThan">
      <formula>-30</formula>
    </cfRule>
    <cfRule type="cellIs" dxfId="782" priority="303" stopIfTrue="1" operator="between">
      <formula>-33</formula>
      <formula>-30</formula>
    </cfRule>
  </conditionalFormatting>
  <conditionalFormatting sqref="BJ15">
    <cfRule type="containsBlanks" priority="298" stopIfTrue="1">
      <formula>LEN(TRIM(BJ15))=0</formula>
    </cfRule>
    <cfRule type="cellIs" dxfId="781" priority="299" stopIfTrue="1" operator="greaterThan">
      <formula>-30</formula>
    </cfRule>
    <cfRule type="cellIs" dxfId="780" priority="300" stopIfTrue="1" operator="between">
      <formula>-33</formula>
      <formula>-30</formula>
    </cfRule>
  </conditionalFormatting>
  <conditionalFormatting sqref="BS15">
    <cfRule type="containsBlanks" priority="295" stopIfTrue="1">
      <formula>LEN(TRIM(BS15))=0</formula>
    </cfRule>
    <cfRule type="cellIs" dxfId="779" priority="296" stopIfTrue="1" operator="greaterThan">
      <formula>-30</formula>
    </cfRule>
    <cfRule type="cellIs" dxfId="778" priority="297" stopIfTrue="1" operator="between">
      <formula>-33</formula>
      <formula>-30</formula>
    </cfRule>
  </conditionalFormatting>
  <conditionalFormatting sqref="CB15">
    <cfRule type="containsBlanks" priority="292" stopIfTrue="1">
      <formula>LEN(TRIM(CB15))=0</formula>
    </cfRule>
    <cfRule type="cellIs" dxfId="777" priority="293" stopIfTrue="1" operator="greaterThan">
      <formula>-30</formula>
    </cfRule>
    <cfRule type="cellIs" dxfId="776" priority="294" stopIfTrue="1" operator="between">
      <formula>-33</formula>
      <formula>-30</formula>
    </cfRule>
  </conditionalFormatting>
  <conditionalFormatting sqref="CK15">
    <cfRule type="containsBlanks" priority="289" stopIfTrue="1">
      <formula>LEN(TRIM(CK15))=0</formula>
    </cfRule>
    <cfRule type="cellIs" dxfId="775" priority="290" stopIfTrue="1" operator="greaterThan">
      <formula>-30</formula>
    </cfRule>
    <cfRule type="cellIs" dxfId="774" priority="291" stopIfTrue="1" operator="between">
      <formula>-33</formula>
      <formula>-30</formula>
    </cfRule>
  </conditionalFormatting>
  <conditionalFormatting sqref="CT15">
    <cfRule type="containsBlanks" priority="286" stopIfTrue="1">
      <formula>LEN(TRIM(CT15))=0</formula>
    </cfRule>
    <cfRule type="cellIs" dxfId="773" priority="287" stopIfTrue="1" operator="greaterThan">
      <formula>-30</formula>
    </cfRule>
    <cfRule type="cellIs" dxfId="772" priority="288" stopIfTrue="1" operator="between">
      <formula>-33</formula>
      <formula>-30</formula>
    </cfRule>
  </conditionalFormatting>
  <conditionalFormatting sqref="H16">
    <cfRule type="containsBlanks" priority="283" stopIfTrue="1">
      <formula>LEN(TRIM(H16))=0</formula>
    </cfRule>
    <cfRule type="cellIs" dxfId="771" priority="284" stopIfTrue="1" operator="greaterThan">
      <formula>-30</formula>
    </cfRule>
    <cfRule type="cellIs" dxfId="770" priority="285" stopIfTrue="1" operator="between">
      <formula>-33</formula>
      <formula>-30</formula>
    </cfRule>
  </conditionalFormatting>
  <conditionalFormatting sqref="AI16">
    <cfRule type="containsBlanks" priority="280" stopIfTrue="1">
      <formula>LEN(TRIM(AI16))=0</formula>
    </cfRule>
    <cfRule type="cellIs" dxfId="769" priority="281" stopIfTrue="1" operator="greaterThan">
      <formula>-30</formula>
    </cfRule>
    <cfRule type="cellIs" dxfId="768" priority="282" stopIfTrue="1" operator="between">
      <formula>-33</formula>
      <formula>-30</formula>
    </cfRule>
  </conditionalFormatting>
  <conditionalFormatting sqref="AR16">
    <cfRule type="containsBlanks" priority="277" stopIfTrue="1">
      <formula>LEN(TRIM(AR16))=0</formula>
    </cfRule>
    <cfRule type="cellIs" dxfId="767" priority="278" stopIfTrue="1" operator="greaterThan">
      <formula>-30</formula>
    </cfRule>
    <cfRule type="cellIs" dxfId="766" priority="279" stopIfTrue="1" operator="between">
      <formula>-33</formula>
      <formula>-30</formula>
    </cfRule>
  </conditionalFormatting>
  <conditionalFormatting sqref="BA16">
    <cfRule type="containsBlanks" priority="274" stopIfTrue="1">
      <formula>LEN(TRIM(BA16))=0</formula>
    </cfRule>
    <cfRule type="cellIs" dxfId="765" priority="275" stopIfTrue="1" operator="greaterThan">
      <formula>-30</formula>
    </cfRule>
    <cfRule type="cellIs" dxfId="764" priority="276" stopIfTrue="1" operator="between">
      <formula>-33</formula>
      <formula>-30</formula>
    </cfRule>
  </conditionalFormatting>
  <conditionalFormatting sqref="BJ16">
    <cfRule type="containsBlanks" priority="271" stopIfTrue="1">
      <formula>LEN(TRIM(BJ16))=0</formula>
    </cfRule>
    <cfRule type="cellIs" dxfId="763" priority="272" stopIfTrue="1" operator="greaterThan">
      <formula>-30</formula>
    </cfRule>
    <cfRule type="cellIs" dxfId="762" priority="273" stopIfTrue="1" operator="between">
      <formula>-33</formula>
      <formula>-30</formula>
    </cfRule>
  </conditionalFormatting>
  <conditionalFormatting sqref="BS16">
    <cfRule type="containsBlanks" priority="268" stopIfTrue="1">
      <formula>LEN(TRIM(BS16))=0</formula>
    </cfRule>
    <cfRule type="cellIs" dxfId="761" priority="269" stopIfTrue="1" operator="greaterThan">
      <formula>-30</formula>
    </cfRule>
    <cfRule type="cellIs" dxfId="760" priority="270" stopIfTrue="1" operator="between">
      <formula>-33</formula>
      <formula>-30</formula>
    </cfRule>
  </conditionalFormatting>
  <conditionalFormatting sqref="CB16">
    <cfRule type="containsBlanks" priority="265" stopIfTrue="1">
      <formula>LEN(TRIM(CB16))=0</formula>
    </cfRule>
    <cfRule type="cellIs" dxfId="759" priority="266" stopIfTrue="1" operator="greaterThan">
      <formula>-30</formula>
    </cfRule>
    <cfRule type="cellIs" dxfId="758" priority="267" stopIfTrue="1" operator="between">
      <formula>-33</formula>
      <formula>-30</formula>
    </cfRule>
  </conditionalFormatting>
  <conditionalFormatting sqref="CK16">
    <cfRule type="containsBlanks" priority="262" stopIfTrue="1">
      <formula>LEN(TRIM(CK16))=0</formula>
    </cfRule>
    <cfRule type="cellIs" dxfId="757" priority="263" stopIfTrue="1" operator="greaterThan">
      <formula>-30</formula>
    </cfRule>
    <cfRule type="cellIs" dxfId="756" priority="264" stopIfTrue="1" operator="between">
      <formula>-33</formula>
      <formula>-30</formula>
    </cfRule>
  </conditionalFormatting>
  <conditionalFormatting sqref="CT16">
    <cfRule type="containsBlanks" priority="259" stopIfTrue="1">
      <formula>LEN(TRIM(CT16))=0</formula>
    </cfRule>
    <cfRule type="cellIs" dxfId="755" priority="260" stopIfTrue="1" operator="greaterThan">
      <formula>-30</formula>
    </cfRule>
    <cfRule type="cellIs" dxfId="754" priority="261" stopIfTrue="1" operator="between">
      <formula>-33</formula>
      <formula>-30</formula>
    </cfRule>
  </conditionalFormatting>
  <conditionalFormatting sqref="H17">
    <cfRule type="containsBlanks" priority="256" stopIfTrue="1">
      <formula>LEN(TRIM(H17))=0</formula>
    </cfRule>
    <cfRule type="cellIs" dxfId="753" priority="257" stopIfTrue="1" operator="greaterThan">
      <formula>-30</formula>
    </cfRule>
    <cfRule type="cellIs" dxfId="752" priority="258" stopIfTrue="1" operator="between">
      <formula>-33</formula>
      <formula>-30</formula>
    </cfRule>
  </conditionalFormatting>
  <conditionalFormatting sqref="AI17">
    <cfRule type="containsBlanks" priority="253" stopIfTrue="1">
      <formula>LEN(TRIM(AI17))=0</formula>
    </cfRule>
    <cfRule type="cellIs" dxfId="751" priority="254" stopIfTrue="1" operator="greaterThan">
      <formula>-30</formula>
    </cfRule>
    <cfRule type="cellIs" dxfId="750" priority="255" stopIfTrue="1" operator="between">
      <formula>-33</formula>
      <formula>-30</formula>
    </cfRule>
  </conditionalFormatting>
  <conditionalFormatting sqref="AR17">
    <cfRule type="containsBlanks" priority="250" stopIfTrue="1">
      <formula>LEN(TRIM(AR17))=0</formula>
    </cfRule>
    <cfRule type="cellIs" dxfId="749" priority="251" stopIfTrue="1" operator="greaterThan">
      <formula>-30</formula>
    </cfRule>
    <cfRule type="cellIs" dxfId="748" priority="252" stopIfTrue="1" operator="between">
      <formula>-33</formula>
      <formula>-30</formula>
    </cfRule>
  </conditionalFormatting>
  <conditionalFormatting sqref="BA17">
    <cfRule type="containsBlanks" priority="247" stopIfTrue="1">
      <formula>LEN(TRIM(BA17))=0</formula>
    </cfRule>
    <cfRule type="cellIs" dxfId="747" priority="248" stopIfTrue="1" operator="greaterThan">
      <formula>-30</formula>
    </cfRule>
    <cfRule type="cellIs" dxfId="746" priority="249" stopIfTrue="1" operator="between">
      <formula>-33</formula>
      <formula>-30</formula>
    </cfRule>
  </conditionalFormatting>
  <conditionalFormatting sqref="BJ17">
    <cfRule type="containsBlanks" priority="244" stopIfTrue="1">
      <formula>LEN(TRIM(BJ17))=0</formula>
    </cfRule>
    <cfRule type="cellIs" dxfId="745" priority="245" stopIfTrue="1" operator="greaterThan">
      <formula>-30</formula>
    </cfRule>
    <cfRule type="cellIs" dxfId="744" priority="246" stopIfTrue="1" operator="between">
      <formula>-33</formula>
      <formula>-30</formula>
    </cfRule>
  </conditionalFormatting>
  <conditionalFormatting sqref="BS17">
    <cfRule type="containsBlanks" priority="241" stopIfTrue="1">
      <formula>LEN(TRIM(BS17))=0</formula>
    </cfRule>
    <cfRule type="cellIs" dxfId="743" priority="242" stopIfTrue="1" operator="greaterThan">
      <formula>-30</formula>
    </cfRule>
    <cfRule type="cellIs" dxfId="742" priority="243" stopIfTrue="1" operator="between">
      <formula>-33</formula>
      <formula>-30</formula>
    </cfRule>
  </conditionalFormatting>
  <conditionalFormatting sqref="CB17">
    <cfRule type="containsBlanks" priority="238" stopIfTrue="1">
      <formula>LEN(TRIM(CB17))=0</formula>
    </cfRule>
    <cfRule type="cellIs" dxfId="741" priority="239" stopIfTrue="1" operator="greaterThan">
      <formula>-30</formula>
    </cfRule>
    <cfRule type="cellIs" dxfId="740" priority="240" stopIfTrue="1" operator="between">
      <formula>-33</formula>
      <formula>-30</formula>
    </cfRule>
  </conditionalFormatting>
  <conditionalFormatting sqref="CK17">
    <cfRule type="containsBlanks" priority="235" stopIfTrue="1">
      <formula>LEN(TRIM(CK17))=0</formula>
    </cfRule>
    <cfRule type="cellIs" dxfId="739" priority="236" stopIfTrue="1" operator="greaterThan">
      <formula>-30</formula>
    </cfRule>
    <cfRule type="cellIs" dxfId="738" priority="237" stopIfTrue="1" operator="between">
      <formula>-33</formula>
      <formula>-30</formula>
    </cfRule>
  </conditionalFormatting>
  <conditionalFormatting sqref="CT17">
    <cfRule type="containsBlanks" priority="232" stopIfTrue="1">
      <formula>LEN(TRIM(CT17))=0</formula>
    </cfRule>
    <cfRule type="cellIs" dxfId="737" priority="233" stopIfTrue="1" operator="greaterThan">
      <formula>-30</formula>
    </cfRule>
    <cfRule type="cellIs" dxfId="736" priority="234" stopIfTrue="1" operator="between">
      <formula>-33</formula>
      <formula>-30</formula>
    </cfRule>
  </conditionalFormatting>
  <conditionalFormatting sqref="H18">
    <cfRule type="containsBlanks" priority="229" stopIfTrue="1">
      <formula>LEN(TRIM(H18))=0</formula>
    </cfRule>
    <cfRule type="cellIs" dxfId="735" priority="230" stopIfTrue="1" operator="greaterThan">
      <formula>-30</formula>
    </cfRule>
    <cfRule type="cellIs" dxfId="734" priority="231" stopIfTrue="1" operator="between">
      <formula>-33</formula>
      <formula>-30</formula>
    </cfRule>
  </conditionalFormatting>
  <conditionalFormatting sqref="AI18">
    <cfRule type="containsBlanks" priority="226" stopIfTrue="1">
      <formula>LEN(TRIM(AI18))=0</formula>
    </cfRule>
    <cfRule type="cellIs" dxfId="733" priority="227" stopIfTrue="1" operator="greaterThan">
      <formula>-30</formula>
    </cfRule>
    <cfRule type="cellIs" dxfId="732" priority="228" stopIfTrue="1" operator="between">
      <formula>-33</formula>
      <formula>-30</formula>
    </cfRule>
  </conditionalFormatting>
  <conditionalFormatting sqref="AR18">
    <cfRule type="containsBlanks" priority="223" stopIfTrue="1">
      <formula>LEN(TRIM(AR18))=0</formula>
    </cfRule>
    <cfRule type="cellIs" dxfId="731" priority="224" stopIfTrue="1" operator="greaterThan">
      <formula>-30</formula>
    </cfRule>
    <cfRule type="cellIs" dxfId="730" priority="225" stopIfTrue="1" operator="between">
      <formula>-33</formula>
      <formula>-30</formula>
    </cfRule>
  </conditionalFormatting>
  <conditionalFormatting sqref="BA18">
    <cfRule type="containsBlanks" priority="220" stopIfTrue="1">
      <formula>LEN(TRIM(BA18))=0</formula>
    </cfRule>
    <cfRule type="cellIs" dxfId="729" priority="221" stopIfTrue="1" operator="greaterThan">
      <formula>-30</formula>
    </cfRule>
    <cfRule type="cellIs" dxfId="728" priority="222" stopIfTrue="1" operator="between">
      <formula>-33</formula>
      <formula>-30</formula>
    </cfRule>
  </conditionalFormatting>
  <conditionalFormatting sqref="BJ18">
    <cfRule type="containsBlanks" priority="217" stopIfTrue="1">
      <formula>LEN(TRIM(BJ18))=0</formula>
    </cfRule>
    <cfRule type="cellIs" dxfId="727" priority="218" stopIfTrue="1" operator="greaterThan">
      <formula>-30</formula>
    </cfRule>
    <cfRule type="cellIs" dxfId="726" priority="219" stopIfTrue="1" operator="between">
      <formula>-33</formula>
      <formula>-30</formula>
    </cfRule>
  </conditionalFormatting>
  <conditionalFormatting sqref="BS18">
    <cfRule type="containsBlanks" priority="214" stopIfTrue="1">
      <formula>LEN(TRIM(BS18))=0</formula>
    </cfRule>
    <cfRule type="cellIs" dxfId="725" priority="215" stopIfTrue="1" operator="greaterThan">
      <formula>-30</formula>
    </cfRule>
    <cfRule type="cellIs" dxfId="724" priority="216" stopIfTrue="1" operator="between">
      <formula>-33</formula>
      <formula>-30</formula>
    </cfRule>
  </conditionalFormatting>
  <conditionalFormatting sqref="CB18">
    <cfRule type="containsBlanks" priority="211" stopIfTrue="1">
      <formula>LEN(TRIM(CB18))=0</formula>
    </cfRule>
    <cfRule type="cellIs" dxfId="723" priority="212" stopIfTrue="1" operator="greaterThan">
      <formula>-30</formula>
    </cfRule>
    <cfRule type="cellIs" dxfId="722" priority="213" stopIfTrue="1" operator="between">
      <formula>-33</formula>
      <formula>-30</formula>
    </cfRule>
  </conditionalFormatting>
  <conditionalFormatting sqref="CK18">
    <cfRule type="containsBlanks" priority="208" stopIfTrue="1">
      <formula>LEN(TRIM(CK18))=0</formula>
    </cfRule>
    <cfRule type="cellIs" dxfId="721" priority="209" stopIfTrue="1" operator="greaterThan">
      <formula>-30</formula>
    </cfRule>
    <cfRule type="cellIs" dxfId="720" priority="210" stopIfTrue="1" operator="between">
      <formula>-33</formula>
      <formula>-30</formula>
    </cfRule>
  </conditionalFormatting>
  <conditionalFormatting sqref="CT18">
    <cfRule type="containsBlanks" priority="205" stopIfTrue="1">
      <formula>LEN(TRIM(CT18))=0</formula>
    </cfRule>
    <cfRule type="cellIs" dxfId="719" priority="206" stopIfTrue="1" operator="greaterThan">
      <formula>-30</formula>
    </cfRule>
    <cfRule type="cellIs" dxfId="718" priority="207" stopIfTrue="1" operator="between">
      <formula>-33</formula>
      <formula>-30</formula>
    </cfRule>
  </conditionalFormatting>
  <conditionalFormatting sqref="H19">
    <cfRule type="containsBlanks" priority="202" stopIfTrue="1">
      <formula>LEN(TRIM(H19))=0</formula>
    </cfRule>
    <cfRule type="cellIs" dxfId="717" priority="203" stopIfTrue="1" operator="greaterThan">
      <formula>-30</formula>
    </cfRule>
    <cfRule type="cellIs" dxfId="716" priority="204" stopIfTrue="1" operator="between">
      <formula>-33</formula>
      <formula>-30</formula>
    </cfRule>
  </conditionalFormatting>
  <conditionalFormatting sqref="AI19">
    <cfRule type="containsBlanks" priority="199" stopIfTrue="1">
      <formula>LEN(TRIM(AI19))=0</formula>
    </cfRule>
    <cfRule type="cellIs" dxfId="715" priority="200" stopIfTrue="1" operator="greaterThan">
      <formula>-30</formula>
    </cfRule>
    <cfRule type="cellIs" dxfId="714" priority="201" stopIfTrue="1" operator="between">
      <formula>-33</formula>
      <formula>-30</formula>
    </cfRule>
  </conditionalFormatting>
  <conditionalFormatting sqref="AR19">
    <cfRule type="containsBlanks" priority="196" stopIfTrue="1">
      <formula>LEN(TRIM(AR19))=0</formula>
    </cfRule>
    <cfRule type="cellIs" dxfId="713" priority="197" stopIfTrue="1" operator="greaterThan">
      <formula>-30</formula>
    </cfRule>
    <cfRule type="cellIs" dxfId="712" priority="198" stopIfTrue="1" operator="between">
      <formula>-33</formula>
      <formula>-30</formula>
    </cfRule>
  </conditionalFormatting>
  <conditionalFormatting sqref="BA19">
    <cfRule type="containsBlanks" priority="193" stopIfTrue="1">
      <formula>LEN(TRIM(BA19))=0</formula>
    </cfRule>
    <cfRule type="cellIs" dxfId="711" priority="194" stopIfTrue="1" operator="greaterThan">
      <formula>-30</formula>
    </cfRule>
    <cfRule type="cellIs" dxfId="710" priority="195" stopIfTrue="1" operator="between">
      <formula>-33</formula>
      <formula>-30</formula>
    </cfRule>
  </conditionalFormatting>
  <conditionalFormatting sqref="BJ19">
    <cfRule type="containsBlanks" priority="190" stopIfTrue="1">
      <formula>LEN(TRIM(BJ19))=0</formula>
    </cfRule>
    <cfRule type="cellIs" dxfId="709" priority="191" stopIfTrue="1" operator="greaterThan">
      <formula>-30</formula>
    </cfRule>
    <cfRule type="cellIs" dxfId="708" priority="192" stopIfTrue="1" operator="between">
      <formula>-33</formula>
      <formula>-30</formula>
    </cfRule>
  </conditionalFormatting>
  <conditionalFormatting sqref="BS19">
    <cfRule type="containsBlanks" priority="187" stopIfTrue="1">
      <formula>LEN(TRIM(BS19))=0</formula>
    </cfRule>
    <cfRule type="cellIs" dxfId="707" priority="188" stopIfTrue="1" operator="greaterThan">
      <formula>-30</formula>
    </cfRule>
    <cfRule type="cellIs" dxfId="706" priority="189" stopIfTrue="1" operator="between">
      <formula>-33</formula>
      <formula>-30</formula>
    </cfRule>
  </conditionalFormatting>
  <conditionalFormatting sqref="CB19">
    <cfRule type="containsBlanks" priority="184" stopIfTrue="1">
      <formula>LEN(TRIM(CB19))=0</formula>
    </cfRule>
    <cfRule type="cellIs" dxfId="705" priority="185" stopIfTrue="1" operator="greaterThan">
      <formula>-30</formula>
    </cfRule>
    <cfRule type="cellIs" dxfId="704" priority="186" stopIfTrue="1" operator="between">
      <formula>-33</formula>
      <formula>-30</formula>
    </cfRule>
  </conditionalFormatting>
  <conditionalFormatting sqref="CK19">
    <cfRule type="containsBlanks" priority="181" stopIfTrue="1">
      <formula>LEN(TRIM(CK19))=0</formula>
    </cfRule>
    <cfRule type="cellIs" dxfId="703" priority="182" stopIfTrue="1" operator="greaterThan">
      <formula>-30</formula>
    </cfRule>
    <cfRule type="cellIs" dxfId="702" priority="183" stopIfTrue="1" operator="between">
      <formula>-33</formula>
      <formula>-30</formula>
    </cfRule>
  </conditionalFormatting>
  <conditionalFormatting sqref="CT19">
    <cfRule type="containsBlanks" priority="178" stopIfTrue="1">
      <formula>LEN(TRIM(CT19))=0</formula>
    </cfRule>
    <cfRule type="cellIs" dxfId="701" priority="179" stopIfTrue="1" operator="greaterThan">
      <formula>-30</formula>
    </cfRule>
    <cfRule type="cellIs" dxfId="700" priority="180" stopIfTrue="1" operator="between">
      <formula>-33</formula>
      <formula>-30</formula>
    </cfRule>
  </conditionalFormatting>
  <conditionalFormatting sqref="Q7">
    <cfRule type="containsBlanks" priority="94" stopIfTrue="1">
      <formula>LEN(TRIM(Q7))=0</formula>
    </cfRule>
    <cfRule type="cellIs" dxfId="699" priority="95" stopIfTrue="1" operator="greaterThan">
      <formula>-30</formula>
    </cfRule>
    <cfRule type="cellIs" dxfId="698" priority="96" stopIfTrue="1" operator="between">
      <formula>-33</formula>
      <formula>-30</formula>
    </cfRule>
  </conditionalFormatting>
  <conditionalFormatting sqref="Q8">
    <cfRule type="containsBlanks" priority="91" stopIfTrue="1">
      <formula>LEN(TRIM(Q8))=0</formula>
    </cfRule>
    <cfRule type="cellIs" dxfId="697" priority="92" stopIfTrue="1" operator="greaterThan">
      <formula>-30</formula>
    </cfRule>
    <cfRule type="cellIs" dxfId="696" priority="93" stopIfTrue="1" operator="between">
      <formula>-33</formula>
      <formula>-30</formula>
    </cfRule>
  </conditionalFormatting>
  <conditionalFormatting sqref="Q9">
    <cfRule type="containsBlanks" priority="88" stopIfTrue="1">
      <formula>LEN(TRIM(Q9))=0</formula>
    </cfRule>
    <cfRule type="cellIs" dxfId="695" priority="89" stopIfTrue="1" operator="greaterThan">
      <formula>-30</formula>
    </cfRule>
    <cfRule type="cellIs" dxfId="694" priority="90" stopIfTrue="1" operator="between">
      <formula>-33</formula>
      <formula>-30</formula>
    </cfRule>
  </conditionalFormatting>
  <conditionalFormatting sqref="Q10">
    <cfRule type="containsBlanks" priority="85" stopIfTrue="1">
      <formula>LEN(TRIM(Q10))=0</formula>
    </cfRule>
    <cfRule type="cellIs" dxfId="693" priority="86" stopIfTrue="1" operator="greaterThan">
      <formula>-30</formula>
    </cfRule>
    <cfRule type="cellIs" dxfId="692" priority="87" stopIfTrue="1" operator="between">
      <formula>-33</formula>
      <formula>-30</formula>
    </cfRule>
  </conditionalFormatting>
  <conditionalFormatting sqref="Q11">
    <cfRule type="containsBlanks" priority="82" stopIfTrue="1">
      <formula>LEN(TRIM(Q11))=0</formula>
    </cfRule>
    <cfRule type="cellIs" dxfId="691" priority="83" stopIfTrue="1" operator="greaterThan">
      <formula>-30</formula>
    </cfRule>
    <cfRule type="cellIs" dxfId="690" priority="84" stopIfTrue="1" operator="between">
      <formula>-33</formula>
      <formula>-30</formula>
    </cfRule>
  </conditionalFormatting>
  <conditionalFormatting sqref="Q12">
    <cfRule type="containsBlanks" priority="79" stopIfTrue="1">
      <formula>LEN(TRIM(Q12))=0</formula>
    </cfRule>
    <cfRule type="cellIs" dxfId="689" priority="80" stopIfTrue="1" operator="greaterThan">
      <formula>-30</formula>
    </cfRule>
    <cfRule type="cellIs" dxfId="688" priority="81" stopIfTrue="1" operator="between">
      <formula>-33</formula>
      <formula>-30</formula>
    </cfRule>
  </conditionalFormatting>
  <conditionalFormatting sqref="Q13">
    <cfRule type="containsBlanks" priority="76" stopIfTrue="1">
      <formula>LEN(TRIM(Q13))=0</formula>
    </cfRule>
    <cfRule type="cellIs" dxfId="687" priority="77" stopIfTrue="1" operator="greaterThan">
      <formula>-30</formula>
    </cfRule>
    <cfRule type="cellIs" dxfId="686" priority="78" stopIfTrue="1" operator="between">
      <formula>-33</formula>
      <formula>-30</formula>
    </cfRule>
  </conditionalFormatting>
  <conditionalFormatting sqref="Q14">
    <cfRule type="containsBlanks" priority="73" stopIfTrue="1">
      <formula>LEN(TRIM(Q14))=0</formula>
    </cfRule>
    <cfRule type="cellIs" dxfId="685" priority="74" stopIfTrue="1" operator="greaterThan">
      <formula>-30</formula>
    </cfRule>
    <cfRule type="cellIs" dxfId="684" priority="75" stopIfTrue="1" operator="between">
      <formula>-33</formula>
      <formula>-30</formula>
    </cfRule>
  </conditionalFormatting>
  <conditionalFormatting sqref="Q15">
    <cfRule type="containsBlanks" priority="70" stopIfTrue="1">
      <formula>LEN(TRIM(Q15))=0</formula>
    </cfRule>
    <cfRule type="cellIs" dxfId="683" priority="71" stopIfTrue="1" operator="greaterThan">
      <formula>-30</formula>
    </cfRule>
    <cfRule type="cellIs" dxfId="682" priority="72" stopIfTrue="1" operator="between">
      <formula>-33</formula>
      <formula>-30</formula>
    </cfRule>
  </conditionalFormatting>
  <conditionalFormatting sqref="Q16">
    <cfRule type="containsBlanks" priority="67" stopIfTrue="1">
      <formula>LEN(TRIM(Q16))=0</formula>
    </cfRule>
    <cfRule type="cellIs" dxfId="681" priority="68" stopIfTrue="1" operator="greaterThan">
      <formula>-30</formula>
    </cfRule>
    <cfRule type="cellIs" dxfId="680" priority="69" stopIfTrue="1" operator="between">
      <formula>-33</formula>
      <formula>-30</formula>
    </cfRule>
  </conditionalFormatting>
  <conditionalFormatting sqref="Q17">
    <cfRule type="containsBlanks" priority="64" stopIfTrue="1">
      <formula>LEN(TRIM(Q17))=0</formula>
    </cfRule>
    <cfRule type="cellIs" dxfId="679" priority="65" stopIfTrue="1" operator="greaterThan">
      <formula>-30</formula>
    </cfRule>
    <cfRule type="cellIs" dxfId="678" priority="66" stopIfTrue="1" operator="between">
      <formula>-33</formula>
      <formula>-30</formula>
    </cfRule>
  </conditionalFormatting>
  <conditionalFormatting sqref="Q18">
    <cfRule type="containsBlanks" priority="61" stopIfTrue="1">
      <formula>LEN(TRIM(Q18))=0</formula>
    </cfRule>
    <cfRule type="cellIs" dxfId="677" priority="62" stopIfTrue="1" operator="greaterThan">
      <formula>-30</formula>
    </cfRule>
    <cfRule type="cellIs" dxfId="676" priority="63" stopIfTrue="1" operator="between">
      <formula>-33</formula>
      <formula>-30</formula>
    </cfRule>
  </conditionalFormatting>
  <conditionalFormatting sqref="Q19">
    <cfRule type="containsBlanks" priority="58" stopIfTrue="1">
      <formula>LEN(TRIM(Q19))=0</formula>
    </cfRule>
    <cfRule type="cellIs" dxfId="675" priority="59" stopIfTrue="1" operator="greaterThan">
      <formula>-30</formula>
    </cfRule>
    <cfRule type="cellIs" dxfId="674" priority="60" stopIfTrue="1" operator="between">
      <formula>-33</formula>
      <formula>-30</formula>
    </cfRule>
  </conditionalFormatting>
  <conditionalFormatting sqref="Q20">
    <cfRule type="containsBlanks" priority="55" stopIfTrue="1">
      <formula>LEN(TRIM(Q20))=0</formula>
    </cfRule>
    <cfRule type="cellIs" dxfId="673" priority="56" stopIfTrue="1" operator="greaterThan">
      <formula>-30</formula>
    </cfRule>
    <cfRule type="cellIs" dxfId="672" priority="57" stopIfTrue="1" operator="between">
      <formula>-33</formula>
      <formula>-30</formula>
    </cfRule>
  </conditionalFormatting>
  <conditionalFormatting sqref="Q21">
    <cfRule type="containsBlanks" priority="52" stopIfTrue="1">
      <formula>LEN(TRIM(Q21))=0</formula>
    </cfRule>
    <cfRule type="cellIs" dxfId="671" priority="53" stopIfTrue="1" operator="greaterThan">
      <formula>-30</formula>
    </cfRule>
    <cfRule type="cellIs" dxfId="670" priority="54" stopIfTrue="1" operator="between">
      <formula>-33</formula>
      <formula>-30</formula>
    </cfRule>
  </conditionalFormatting>
  <conditionalFormatting sqref="Q22">
    <cfRule type="containsBlanks" priority="49" stopIfTrue="1">
      <formula>LEN(TRIM(Q22))=0</formula>
    </cfRule>
    <cfRule type="cellIs" dxfId="669" priority="50" stopIfTrue="1" operator="greaterThan">
      <formula>-30</formula>
    </cfRule>
    <cfRule type="cellIs" dxfId="668" priority="51" stopIfTrue="1" operator="between">
      <formula>-33</formula>
      <formula>-30</formula>
    </cfRule>
  </conditionalFormatting>
  <conditionalFormatting sqref="Z7">
    <cfRule type="containsBlanks" priority="46" stopIfTrue="1">
      <formula>LEN(TRIM(Z7))=0</formula>
    </cfRule>
    <cfRule type="cellIs" dxfId="667" priority="47" stopIfTrue="1" operator="greaterThan">
      <formula>-30</formula>
    </cfRule>
    <cfRule type="cellIs" dxfId="666" priority="48" stopIfTrue="1" operator="between">
      <formula>-33</formula>
      <formula>-30</formula>
    </cfRule>
  </conditionalFormatting>
  <conditionalFormatting sqref="Z8">
    <cfRule type="containsBlanks" priority="43" stopIfTrue="1">
      <formula>LEN(TRIM(Z8))=0</formula>
    </cfRule>
    <cfRule type="cellIs" dxfId="665" priority="44" stopIfTrue="1" operator="greaterThan">
      <formula>-30</formula>
    </cfRule>
    <cfRule type="cellIs" dxfId="664" priority="45" stopIfTrue="1" operator="between">
      <formula>-33</formula>
      <formula>-30</formula>
    </cfRule>
  </conditionalFormatting>
  <conditionalFormatting sqref="Z9">
    <cfRule type="containsBlanks" priority="40" stopIfTrue="1">
      <formula>LEN(TRIM(Z9))=0</formula>
    </cfRule>
    <cfRule type="cellIs" dxfId="663" priority="41" stopIfTrue="1" operator="greaterThan">
      <formula>-30</formula>
    </cfRule>
    <cfRule type="cellIs" dxfId="662" priority="42" stopIfTrue="1" operator="between">
      <formula>-33</formula>
      <formula>-30</formula>
    </cfRule>
  </conditionalFormatting>
  <conditionalFormatting sqref="Z10">
    <cfRule type="containsBlanks" priority="37" stopIfTrue="1">
      <formula>LEN(TRIM(Z10))=0</formula>
    </cfRule>
    <cfRule type="cellIs" dxfId="661" priority="38" stopIfTrue="1" operator="greaterThan">
      <formula>-30</formula>
    </cfRule>
    <cfRule type="cellIs" dxfId="660" priority="39" stopIfTrue="1" operator="between">
      <formula>-33</formula>
      <formula>-30</formula>
    </cfRule>
  </conditionalFormatting>
  <conditionalFormatting sqref="Z11">
    <cfRule type="containsBlanks" priority="34" stopIfTrue="1">
      <formula>LEN(TRIM(Z11))=0</formula>
    </cfRule>
    <cfRule type="cellIs" dxfId="659" priority="35" stopIfTrue="1" operator="greaterThan">
      <formula>-30</formula>
    </cfRule>
    <cfRule type="cellIs" dxfId="658" priority="36" stopIfTrue="1" operator="between">
      <formula>-33</formula>
      <formula>-30</formula>
    </cfRule>
  </conditionalFormatting>
  <conditionalFormatting sqref="Z12">
    <cfRule type="containsBlanks" priority="31" stopIfTrue="1">
      <formula>LEN(TRIM(Z12))=0</formula>
    </cfRule>
    <cfRule type="cellIs" dxfId="657" priority="32" stopIfTrue="1" operator="greaterThan">
      <formula>-30</formula>
    </cfRule>
    <cfRule type="cellIs" dxfId="656" priority="33" stopIfTrue="1" operator="between">
      <formula>-33</formula>
      <formula>-30</formula>
    </cfRule>
  </conditionalFormatting>
  <conditionalFormatting sqref="Z13">
    <cfRule type="containsBlanks" priority="28" stopIfTrue="1">
      <formula>LEN(TRIM(Z13))=0</formula>
    </cfRule>
    <cfRule type="cellIs" dxfId="655" priority="29" stopIfTrue="1" operator="greaterThan">
      <formula>-30</formula>
    </cfRule>
    <cfRule type="cellIs" dxfId="654" priority="30" stopIfTrue="1" operator="between">
      <formula>-33</formula>
      <formula>-30</formula>
    </cfRule>
  </conditionalFormatting>
  <conditionalFormatting sqref="Z14">
    <cfRule type="containsBlanks" priority="25" stopIfTrue="1">
      <formula>LEN(TRIM(Z14))=0</formula>
    </cfRule>
    <cfRule type="cellIs" dxfId="653" priority="26" stopIfTrue="1" operator="greaterThan">
      <formula>-30</formula>
    </cfRule>
    <cfRule type="cellIs" dxfId="652" priority="27" stopIfTrue="1" operator="between">
      <formula>-33</formula>
      <formula>-30</formula>
    </cfRule>
  </conditionalFormatting>
  <conditionalFormatting sqref="Z15">
    <cfRule type="containsBlanks" priority="22" stopIfTrue="1">
      <formula>LEN(TRIM(Z15))=0</formula>
    </cfRule>
    <cfRule type="cellIs" dxfId="651" priority="23" stopIfTrue="1" operator="greaterThan">
      <formula>-30</formula>
    </cfRule>
    <cfRule type="cellIs" dxfId="650" priority="24" stopIfTrue="1" operator="between">
      <formula>-33</formula>
      <formula>-30</formula>
    </cfRule>
  </conditionalFormatting>
  <conditionalFormatting sqref="Z16">
    <cfRule type="containsBlanks" priority="19" stopIfTrue="1">
      <formula>LEN(TRIM(Z16))=0</formula>
    </cfRule>
    <cfRule type="cellIs" dxfId="649" priority="20" stopIfTrue="1" operator="greaterThan">
      <formula>-30</formula>
    </cfRule>
    <cfRule type="cellIs" dxfId="648" priority="21" stopIfTrue="1" operator="between">
      <formula>-33</formula>
      <formula>-30</formula>
    </cfRule>
  </conditionalFormatting>
  <conditionalFormatting sqref="Z17">
    <cfRule type="containsBlanks" priority="16" stopIfTrue="1">
      <formula>LEN(TRIM(Z17))=0</formula>
    </cfRule>
    <cfRule type="cellIs" dxfId="647" priority="17" stopIfTrue="1" operator="greaterThan">
      <formula>-30</formula>
    </cfRule>
    <cfRule type="cellIs" dxfId="646" priority="18" stopIfTrue="1" operator="between">
      <formula>-33</formula>
      <formula>-30</formula>
    </cfRule>
  </conditionalFormatting>
  <conditionalFormatting sqref="Z18">
    <cfRule type="containsBlanks" priority="13" stopIfTrue="1">
      <formula>LEN(TRIM(Z18))=0</formula>
    </cfRule>
    <cfRule type="cellIs" dxfId="645" priority="14" stopIfTrue="1" operator="greaterThan">
      <formula>-30</formula>
    </cfRule>
    <cfRule type="cellIs" dxfId="644" priority="15" stopIfTrue="1" operator="between">
      <formula>-33</formula>
      <formula>-30</formula>
    </cfRule>
  </conditionalFormatting>
  <conditionalFormatting sqref="Z19">
    <cfRule type="containsBlanks" priority="10" stopIfTrue="1">
      <formula>LEN(TRIM(Z19))=0</formula>
    </cfRule>
    <cfRule type="cellIs" dxfId="643" priority="11" stopIfTrue="1" operator="greaterThan">
      <formula>-30</formula>
    </cfRule>
    <cfRule type="cellIs" dxfId="642" priority="12" stopIfTrue="1" operator="between">
      <formula>-33</formula>
      <formula>-30</formula>
    </cfRule>
  </conditionalFormatting>
  <conditionalFormatting sqref="Z20">
    <cfRule type="containsBlanks" priority="7" stopIfTrue="1">
      <formula>LEN(TRIM(Z20))=0</formula>
    </cfRule>
    <cfRule type="cellIs" dxfId="641" priority="8" stopIfTrue="1" operator="greaterThan">
      <formula>-30</formula>
    </cfRule>
    <cfRule type="cellIs" dxfId="640" priority="9" stopIfTrue="1" operator="between">
      <formula>-33</formula>
      <formula>-30</formula>
    </cfRule>
  </conditionalFormatting>
  <conditionalFormatting sqref="Z21">
    <cfRule type="containsBlanks" priority="4" stopIfTrue="1">
      <formula>LEN(TRIM(Z21))=0</formula>
    </cfRule>
    <cfRule type="cellIs" dxfId="639" priority="5" stopIfTrue="1" operator="greaterThan">
      <formula>-30</formula>
    </cfRule>
    <cfRule type="cellIs" dxfId="638" priority="6" stopIfTrue="1" operator="between">
      <formula>-33</formula>
      <formula>-30</formula>
    </cfRule>
  </conditionalFormatting>
  <conditionalFormatting sqref="Z22">
    <cfRule type="containsBlanks" priority="1" stopIfTrue="1">
      <formula>LEN(TRIM(Z22))=0</formula>
    </cfRule>
    <cfRule type="cellIs" dxfId="637" priority="2" stopIfTrue="1" operator="greaterThan">
      <formula>-30</formula>
    </cfRule>
    <cfRule type="cellIs" dxfId="636" priority="3" stopIfTrue="1" operator="between">
      <formula>-33</formula>
      <formula>-30</formula>
    </cfRule>
  </conditionalFormatting>
  <dataValidations count="1">
    <dataValidation type="list" allowBlank="1" showInputMessage="1" showErrorMessage="1" sqref="P5">
      <formula1>"Low,Mid,High"</formula1>
    </dataValidation>
  </dataValidations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CU22"/>
  <sheetViews>
    <sheetView topLeftCell="BR1" zoomScale="80" zoomScaleNormal="80" workbookViewId="0">
      <selection activeCell="CB7" sqref="CB7:CB32"/>
    </sheetView>
  </sheetViews>
  <sheetFormatPr defaultRowHeight="13.5"/>
  <cols>
    <col min="1" max="1" width="13.375" customWidth="1"/>
    <col min="3" max="3" width="9.875" bestFit="1" customWidth="1"/>
    <col min="4" max="4" width="9" customWidth="1"/>
    <col min="9" max="9" width="7.625" bestFit="1" customWidth="1"/>
    <col min="10" max="10" width="7.75" bestFit="1" customWidth="1"/>
    <col min="11" max="11" width="8" bestFit="1" customWidth="1"/>
    <col min="12" max="12" width="9.875" bestFit="1" customWidth="1"/>
    <col min="13" max="13" width="9" customWidth="1"/>
    <col min="18" max="18" width="7.625" bestFit="1" customWidth="1"/>
    <col min="19" max="19" width="7.75" bestFit="1" customWidth="1"/>
    <col min="20" max="20" width="8" bestFit="1" customWidth="1"/>
    <col min="21" max="21" width="9.875" bestFit="1" customWidth="1"/>
    <col min="27" max="27" width="7.625" bestFit="1" customWidth="1"/>
    <col min="257" max="257" width="13.375" customWidth="1"/>
    <col min="259" max="259" width="9.875" bestFit="1" customWidth="1"/>
    <col min="260" max="260" width="9" customWidth="1"/>
    <col min="265" max="265" width="7.625" bestFit="1" customWidth="1"/>
    <col min="266" max="266" width="7.75" bestFit="1" customWidth="1"/>
    <col min="267" max="267" width="8" bestFit="1" customWidth="1"/>
    <col min="268" max="268" width="9.875" bestFit="1" customWidth="1"/>
    <col min="269" max="269" width="9" customWidth="1"/>
    <col min="274" max="274" width="7.625" bestFit="1" customWidth="1"/>
    <col min="275" max="275" width="7.75" bestFit="1" customWidth="1"/>
    <col min="276" max="276" width="8" bestFit="1" customWidth="1"/>
    <col min="277" max="277" width="9.875" bestFit="1" customWidth="1"/>
    <col min="283" max="283" width="7.625" bestFit="1" customWidth="1"/>
    <col min="513" max="513" width="13.375" customWidth="1"/>
    <col min="515" max="515" width="9.875" bestFit="1" customWidth="1"/>
    <col min="516" max="516" width="9" customWidth="1"/>
    <col min="521" max="521" width="7.625" bestFit="1" customWidth="1"/>
    <col min="522" max="522" width="7.75" bestFit="1" customWidth="1"/>
    <col min="523" max="523" width="8" bestFit="1" customWidth="1"/>
    <col min="524" max="524" width="9.875" bestFit="1" customWidth="1"/>
    <col min="525" max="525" width="9" customWidth="1"/>
    <col min="530" max="530" width="7.625" bestFit="1" customWidth="1"/>
    <col min="531" max="531" width="7.75" bestFit="1" customWidth="1"/>
    <col min="532" max="532" width="8" bestFit="1" customWidth="1"/>
    <col min="533" max="533" width="9.875" bestFit="1" customWidth="1"/>
    <col min="539" max="539" width="7.625" bestFit="1" customWidth="1"/>
    <col min="769" max="769" width="13.375" customWidth="1"/>
    <col min="771" max="771" width="9.875" bestFit="1" customWidth="1"/>
    <col min="772" max="772" width="9" customWidth="1"/>
    <col min="777" max="777" width="7.625" bestFit="1" customWidth="1"/>
    <col min="778" max="778" width="7.75" bestFit="1" customWidth="1"/>
    <col min="779" max="779" width="8" bestFit="1" customWidth="1"/>
    <col min="780" max="780" width="9.875" bestFit="1" customWidth="1"/>
    <col min="781" max="781" width="9" customWidth="1"/>
    <col min="786" max="786" width="7.625" bestFit="1" customWidth="1"/>
    <col min="787" max="787" width="7.75" bestFit="1" customWidth="1"/>
    <col min="788" max="788" width="8" bestFit="1" customWidth="1"/>
    <col min="789" max="789" width="9.875" bestFit="1" customWidth="1"/>
    <col min="795" max="795" width="7.625" bestFit="1" customWidth="1"/>
    <col min="1025" max="1025" width="13.375" customWidth="1"/>
    <col min="1027" max="1027" width="9.875" bestFit="1" customWidth="1"/>
    <col min="1028" max="1028" width="9" customWidth="1"/>
    <col min="1033" max="1033" width="7.625" bestFit="1" customWidth="1"/>
    <col min="1034" max="1034" width="7.75" bestFit="1" customWidth="1"/>
    <col min="1035" max="1035" width="8" bestFit="1" customWidth="1"/>
    <col min="1036" max="1036" width="9.875" bestFit="1" customWidth="1"/>
    <col min="1037" max="1037" width="9" customWidth="1"/>
    <col min="1042" max="1042" width="7.625" bestFit="1" customWidth="1"/>
    <col min="1043" max="1043" width="7.75" bestFit="1" customWidth="1"/>
    <col min="1044" max="1044" width="8" bestFit="1" customWidth="1"/>
    <col min="1045" max="1045" width="9.875" bestFit="1" customWidth="1"/>
    <col min="1051" max="1051" width="7.625" bestFit="1" customWidth="1"/>
    <col min="1281" max="1281" width="13.375" customWidth="1"/>
    <col min="1283" max="1283" width="9.875" bestFit="1" customWidth="1"/>
    <col min="1284" max="1284" width="9" customWidth="1"/>
    <col min="1289" max="1289" width="7.625" bestFit="1" customWidth="1"/>
    <col min="1290" max="1290" width="7.75" bestFit="1" customWidth="1"/>
    <col min="1291" max="1291" width="8" bestFit="1" customWidth="1"/>
    <col min="1292" max="1292" width="9.875" bestFit="1" customWidth="1"/>
    <col min="1293" max="1293" width="9" customWidth="1"/>
    <col min="1298" max="1298" width="7.625" bestFit="1" customWidth="1"/>
    <col min="1299" max="1299" width="7.75" bestFit="1" customWidth="1"/>
    <col min="1300" max="1300" width="8" bestFit="1" customWidth="1"/>
    <col min="1301" max="1301" width="9.875" bestFit="1" customWidth="1"/>
    <col min="1307" max="1307" width="7.625" bestFit="1" customWidth="1"/>
    <col min="1537" max="1537" width="13.375" customWidth="1"/>
    <col min="1539" max="1539" width="9.875" bestFit="1" customWidth="1"/>
    <col min="1540" max="1540" width="9" customWidth="1"/>
    <col min="1545" max="1545" width="7.625" bestFit="1" customWidth="1"/>
    <col min="1546" max="1546" width="7.75" bestFit="1" customWidth="1"/>
    <col min="1547" max="1547" width="8" bestFit="1" customWidth="1"/>
    <col min="1548" max="1548" width="9.875" bestFit="1" customWidth="1"/>
    <col min="1549" max="1549" width="9" customWidth="1"/>
    <col min="1554" max="1554" width="7.625" bestFit="1" customWidth="1"/>
    <col min="1555" max="1555" width="7.75" bestFit="1" customWidth="1"/>
    <col min="1556" max="1556" width="8" bestFit="1" customWidth="1"/>
    <col min="1557" max="1557" width="9.875" bestFit="1" customWidth="1"/>
    <col min="1563" max="1563" width="7.625" bestFit="1" customWidth="1"/>
    <col min="1793" max="1793" width="13.375" customWidth="1"/>
    <col min="1795" max="1795" width="9.875" bestFit="1" customWidth="1"/>
    <col min="1796" max="1796" width="9" customWidth="1"/>
    <col min="1801" max="1801" width="7.625" bestFit="1" customWidth="1"/>
    <col min="1802" max="1802" width="7.75" bestFit="1" customWidth="1"/>
    <col min="1803" max="1803" width="8" bestFit="1" customWidth="1"/>
    <col min="1804" max="1804" width="9.875" bestFit="1" customWidth="1"/>
    <col min="1805" max="1805" width="9" customWidth="1"/>
    <col min="1810" max="1810" width="7.625" bestFit="1" customWidth="1"/>
    <col min="1811" max="1811" width="7.75" bestFit="1" customWidth="1"/>
    <col min="1812" max="1812" width="8" bestFit="1" customWidth="1"/>
    <col min="1813" max="1813" width="9.875" bestFit="1" customWidth="1"/>
    <col min="1819" max="1819" width="7.625" bestFit="1" customWidth="1"/>
    <col min="2049" max="2049" width="13.375" customWidth="1"/>
    <col min="2051" max="2051" width="9.875" bestFit="1" customWidth="1"/>
    <col min="2052" max="2052" width="9" customWidth="1"/>
    <col min="2057" max="2057" width="7.625" bestFit="1" customWidth="1"/>
    <col min="2058" max="2058" width="7.75" bestFit="1" customWidth="1"/>
    <col min="2059" max="2059" width="8" bestFit="1" customWidth="1"/>
    <col min="2060" max="2060" width="9.875" bestFit="1" customWidth="1"/>
    <col min="2061" max="2061" width="9" customWidth="1"/>
    <col min="2066" max="2066" width="7.625" bestFit="1" customWidth="1"/>
    <col min="2067" max="2067" width="7.75" bestFit="1" customWidth="1"/>
    <col min="2068" max="2068" width="8" bestFit="1" customWidth="1"/>
    <col min="2069" max="2069" width="9.875" bestFit="1" customWidth="1"/>
    <col min="2075" max="2075" width="7.625" bestFit="1" customWidth="1"/>
    <col min="2305" max="2305" width="13.375" customWidth="1"/>
    <col min="2307" max="2307" width="9.875" bestFit="1" customWidth="1"/>
    <col min="2308" max="2308" width="9" customWidth="1"/>
    <col min="2313" max="2313" width="7.625" bestFit="1" customWidth="1"/>
    <col min="2314" max="2314" width="7.75" bestFit="1" customWidth="1"/>
    <col min="2315" max="2315" width="8" bestFit="1" customWidth="1"/>
    <col min="2316" max="2316" width="9.875" bestFit="1" customWidth="1"/>
    <col min="2317" max="2317" width="9" customWidth="1"/>
    <col min="2322" max="2322" width="7.625" bestFit="1" customWidth="1"/>
    <col min="2323" max="2323" width="7.75" bestFit="1" customWidth="1"/>
    <col min="2324" max="2324" width="8" bestFit="1" customWidth="1"/>
    <col min="2325" max="2325" width="9.875" bestFit="1" customWidth="1"/>
    <col min="2331" max="2331" width="7.625" bestFit="1" customWidth="1"/>
    <col min="2561" max="2561" width="13.375" customWidth="1"/>
    <col min="2563" max="2563" width="9.875" bestFit="1" customWidth="1"/>
    <col min="2564" max="2564" width="9" customWidth="1"/>
    <col min="2569" max="2569" width="7.625" bestFit="1" customWidth="1"/>
    <col min="2570" max="2570" width="7.75" bestFit="1" customWidth="1"/>
    <col min="2571" max="2571" width="8" bestFit="1" customWidth="1"/>
    <col min="2572" max="2572" width="9.875" bestFit="1" customWidth="1"/>
    <col min="2573" max="2573" width="9" customWidth="1"/>
    <col min="2578" max="2578" width="7.625" bestFit="1" customWidth="1"/>
    <col min="2579" max="2579" width="7.75" bestFit="1" customWidth="1"/>
    <col min="2580" max="2580" width="8" bestFit="1" customWidth="1"/>
    <col min="2581" max="2581" width="9.875" bestFit="1" customWidth="1"/>
    <col min="2587" max="2587" width="7.625" bestFit="1" customWidth="1"/>
    <col min="2817" max="2817" width="13.375" customWidth="1"/>
    <col min="2819" max="2819" width="9.875" bestFit="1" customWidth="1"/>
    <col min="2820" max="2820" width="9" customWidth="1"/>
    <col min="2825" max="2825" width="7.625" bestFit="1" customWidth="1"/>
    <col min="2826" max="2826" width="7.75" bestFit="1" customWidth="1"/>
    <col min="2827" max="2827" width="8" bestFit="1" customWidth="1"/>
    <col min="2828" max="2828" width="9.875" bestFit="1" customWidth="1"/>
    <col min="2829" max="2829" width="9" customWidth="1"/>
    <col min="2834" max="2834" width="7.625" bestFit="1" customWidth="1"/>
    <col min="2835" max="2835" width="7.75" bestFit="1" customWidth="1"/>
    <col min="2836" max="2836" width="8" bestFit="1" customWidth="1"/>
    <col min="2837" max="2837" width="9.875" bestFit="1" customWidth="1"/>
    <col min="2843" max="2843" width="7.625" bestFit="1" customWidth="1"/>
    <col min="3073" max="3073" width="13.375" customWidth="1"/>
    <col min="3075" max="3075" width="9.875" bestFit="1" customWidth="1"/>
    <col min="3076" max="3076" width="9" customWidth="1"/>
    <col min="3081" max="3081" width="7.625" bestFit="1" customWidth="1"/>
    <col min="3082" max="3082" width="7.75" bestFit="1" customWidth="1"/>
    <col min="3083" max="3083" width="8" bestFit="1" customWidth="1"/>
    <col min="3084" max="3084" width="9.875" bestFit="1" customWidth="1"/>
    <col min="3085" max="3085" width="9" customWidth="1"/>
    <col min="3090" max="3090" width="7.625" bestFit="1" customWidth="1"/>
    <col min="3091" max="3091" width="7.75" bestFit="1" customWidth="1"/>
    <col min="3092" max="3092" width="8" bestFit="1" customWidth="1"/>
    <col min="3093" max="3093" width="9.875" bestFit="1" customWidth="1"/>
    <col min="3099" max="3099" width="7.625" bestFit="1" customWidth="1"/>
    <col min="3329" max="3329" width="13.375" customWidth="1"/>
    <col min="3331" max="3331" width="9.875" bestFit="1" customWidth="1"/>
    <col min="3332" max="3332" width="9" customWidth="1"/>
    <col min="3337" max="3337" width="7.625" bestFit="1" customWidth="1"/>
    <col min="3338" max="3338" width="7.75" bestFit="1" customWidth="1"/>
    <col min="3339" max="3339" width="8" bestFit="1" customWidth="1"/>
    <col min="3340" max="3340" width="9.875" bestFit="1" customWidth="1"/>
    <col min="3341" max="3341" width="9" customWidth="1"/>
    <col min="3346" max="3346" width="7.625" bestFit="1" customWidth="1"/>
    <col min="3347" max="3347" width="7.75" bestFit="1" customWidth="1"/>
    <col min="3348" max="3348" width="8" bestFit="1" customWidth="1"/>
    <col min="3349" max="3349" width="9.875" bestFit="1" customWidth="1"/>
    <col min="3355" max="3355" width="7.625" bestFit="1" customWidth="1"/>
    <col min="3585" max="3585" width="13.375" customWidth="1"/>
    <col min="3587" max="3587" width="9.875" bestFit="1" customWidth="1"/>
    <col min="3588" max="3588" width="9" customWidth="1"/>
    <col min="3593" max="3593" width="7.625" bestFit="1" customWidth="1"/>
    <col min="3594" max="3594" width="7.75" bestFit="1" customWidth="1"/>
    <col min="3595" max="3595" width="8" bestFit="1" customWidth="1"/>
    <col min="3596" max="3596" width="9.875" bestFit="1" customWidth="1"/>
    <col min="3597" max="3597" width="9" customWidth="1"/>
    <col min="3602" max="3602" width="7.625" bestFit="1" customWidth="1"/>
    <col min="3603" max="3603" width="7.75" bestFit="1" customWidth="1"/>
    <col min="3604" max="3604" width="8" bestFit="1" customWidth="1"/>
    <col min="3605" max="3605" width="9.875" bestFit="1" customWidth="1"/>
    <col min="3611" max="3611" width="7.625" bestFit="1" customWidth="1"/>
    <col min="3841" max="3841" width="13.375" customWidth="1"/>
    <col min="3843" max="3843" width="9.875" bestFit="1" customWidth="1"/>
    <col min="3844" max="3844" width="9" customWidth="1"/>
    <col min="3849" max="3849" width="7.625" bestFit="1" customWidth="1"/>
    <col min="3850" max="3850" width="7.75" bestFit="1" customWidth="1"/>
    <col min="3851" max="3851" width="8" bestFit="1" customWidth="1"/>
    <col min="3852" max="3852" width="9.875" bestFit="1" customWidth="1"/>
    <col min="3853" max="3853" width="9" customWidth="1"/>
    <col min="3858" max="3858" width="7.625" bestFit="1" customWidth="1"/>
    <col min="3859" max="3859" width="7.75" bestFit="1" customWidth="1"/>
    <col min="3860" max="3860" width="8" bestFit="1" customWidth="1"/>
    <col min="3861" max="3861" width="9.875" bestFit="1" customWidth="1"/>
    <col min="3867" max="3867" width="7.625" bestFit="1" customWidth="1"/>
    <col min="4097" max="4097" width="13.375" customWidth="1"/>
    <col min="4099" max="4099" width="9.875" bestFit="1" customWidth="1"/>
    <col min="4100" max="4100" width="9" customWidth="1"/>
    <col min="4105" max="4105" width="7.625" bestFit="1" customWidth="1"/>
    <col min="4106" max="4106" width="7.75" bestFit="1" customWidth="1"/>
    <col min="4107" max="4107" width="8" bestFit="1" customWidth="1"/>
    <col min="4108" max="4108" width="9.875" bestFit="1" customWidth="1"/>
    <col min="4109" max="4109" width="9" customWidth="1"/>
    <col min="4114" max="4114" width="7.625" bestFit="1" customWidth="1"/>
    <col min="4115" max="4115" width="7.75" bestFit="1" customWidth="1"/>
    <col min="4116" max="4116" width="8" bestFit="1" customWidth="1"/>
    <col min="4117" max="4117" width="9.875" bestFit="1" customWidth="1"/>
    <col min="4123" max="4123" width="7.625" bestFit="1" customWidth="1"/>
    <col min="4353" max="4353" width="13.375" customWidth="1"/>
    <col min="4355" max="4355" width="9.875" bestFit="1" customWidth="1"/>
    <col min="4356" max="4356" width="9" customWidth="1"/>
    <col min="4361" max="4361" width="7.625" bestFit="1" customWidth="1"/>
    <col min="4362" max="4362" width="7.75" bestFit="1" customWidth="1"/>
    <col min="4363" max="4363" width="8" bestFit="1" customWidth="1"/>
    <col min="4364" max="4364" width="9.875" bestFit="1" customWidth="1"/>
    <col min="4365" max="4365" width="9" customWidth="1"/>
    <col min="4370" max="4370" width="7.625" bestFit="1" customWidth="1"/>
    <col min="4371" max="4371" width="7.75" bestFit="1" customWidth="1"/>
    <col min="4372" max="4372" width="8" bestFit="1" customWidth="1"/>
    <col min="4373" max="4373" width="9.875" bestFit="1" customWidth="1"/>
    <col min="4379" max="4379" width="7.625" bestFit="1" customWidth="1"/>
    <col min="4609" max="4609" width="13.375" customWidth="1"/>
    <col min="4611" max="4611" width="9.875" bestFit="1" customWidth="1"/>
    <col min="4612" max="4612" width="9" customWidth="1"/>
    <col min="4617" max="4617" width="7.625" bestFit="1" customWidth="1"/>
    <col min="4618" max="4618" width="7.75" bestFit="1" customWidth="1"/>
    <col min="4619" max="4619" width="8" bestFit="1" customWidth="1"/>
    <col min="4620" max="4620" width="9.875" bestFit="1" customWidth="1"/>
    <col min="4621" max="4621" width="9" customWidth="1"/>
    <col min="4626" max="4626" width="7.625" bestFit="1" customWidth="1"/>
    <col min="4627" max="4627" width="7.75" bestFit="1" customWidth="1"/>
    <col min="4628" max="4628" width="8" bestFit="1" customWidth="1"/>
    <col min="4629" max="4629" width="9.875" bestFit="1" customWidth="1"/>
    <col min="4635" max="4635" width="7.625" bestFit="1" customWidth="1"/>
    <col min="4865" max="4865" width="13.375" customWidth="1"/>
    <col min="4867" max="4867" width="9.875" bestFit="1" customWidth="1"/>
    <col min="4868" max="4868" width="9" customWidth="1"/>
    <col min="4873" max="4873" width="7.625" bestFit="1" customWidth="1"/>
    <col min="4874" max="4874" width="7.75" bestFit="1" customWidth="1"/>
    <col min="4875" max="4875" width="8" bestFit="1" customWidth="1"/>
    <col min="4876" max="4876" width="9.875" bestFit="1" customWidth="1"/>
    <col min="4877" max="4877" width="9" customWidth="1"/>
    <col min="4882" max="4882" width="7.625" bestFit="1" customWidth="1"/>
    <col min="4883" max="4883" width="7.75" bestFit="1" customWidth="1"/>
    <col min="4884" max="4884" width="8" bestFit="1" customWidth="1"/>
    <col min="4885" max="4885" width="9.875" bestFit="1" customWidth="1"/>
    <col min="4891" max="4891" width="7.625" bestFit="1" customWidth="1"/>
    <col min="5121" max="5121" width="13.375" customWidth="1"/>
    <col min="5123" max="5123" width="9.875" bestFit="1" customWidth="1"/>
    <col min="5124" max="5124" width="9" customWidth="1"/>
    <col min="5129" max="5129" width="7.625" bestFit="1" customWidth="1"/>
    <col min="5130" max="5130" width="7.75" bestFit="1" customWidth="1"/>
    <col min="5131" max="5131" width="8" bestFit="1" customWidth="1"/>
    <col min="5132" max="5132" width="9.875" bestFit="1" customWidth="1"/>
    <col min="5133" max="5133" width="9" customWidth="1"/>
    <col min="5138" max="5138" width="7.625" bestFit="1" customWidth="1"/>
    <col min="5139" max="5139" width="7.75" bestFit="1" customWidth="1"/>
    <col min="5140" max="5140" width="8" bestFit="1" customWidth="1"/>
    <col min="5141" max="5141" width="9.875" bestFit="1" customWidth="1"/>
    <col min="5147" max="5147" width="7.625" bestFit="1" customWidth="1"/>
    <col min="5377" max="5377" width="13.375" customWidth="1"/>
    <col min="5379" max="5379" width="9.875" bestFit="1" customWidth="1"/>
    <col min="5380" max="5380" width="9" customWidth="1"/>
    <col min="5385" max="5385" width="7.625" bestFit="1" customWidth="1"/>
    <col min="5386" max="5386" width="7.75" bestFit="1" customWidth="1"/>
    <col min="5387" max="5387" width="8" bestFit="1" customWidth="1"/>
    <col min="5388" max="5388" width="9.875" bestFit="1" customWidth="1"/>
    <col min="5389" max="5389" width="9" customWidth="1"/>
    <col min="5394" max="5394" width="7.625" bestFit="1" customWidth="1"/>
    <col min="5395" max="5395" width="7.75" bestFit="1" customWidth="1"/>
    <col min="5396" max="5396" width="8" bestFit="1" customWidth="1"/>
    <col min="5397" max="5397" width="9.875" bestFit="1" customWidth="1"/>
    <col min="5403" max="5403" width="7.625" bestFit="1" customWidth="1"/>
    <col min="5633" max="5633" width="13.375" customWidth="1"/>
    <col min="5635" max="5635" width="9.875" bestFit="1" customWidth="1"/>
    <col min="5636" max="5636" width="9" customWidth="1"/>
    <col min="5641" max="5641" width="7.625" bestFit="1" customWidth="1"/>
    <col min="5642" max="5642" width="7.75" bestFit="1" customWidth="1"/>
    <col min="5643" max="5643" width="8" bestFit="1" customWidth="1"/>
    <col min="5644" max="5644" width="9.875" bestFit="1" customWidth="1"/>
    <col min="5645" max="5645" width="9" customWidth="1"/>
    <col min="5650" max="5650" width="7.625" bestFit="1" customWidth="1"/>
    <col min="5651" max="5651" width="7.75" bestFit="1" customWidth="1"/>
    <col min="5652" max="5652" width="8" bestFit="1" customWidth="1"/>
    <col min="5653" max="5653" width="9.875" bestFit="1" customWidth="1"/>
    <col min="5659" max="5659" width="7.625" bestFit="1" customWidth="1"/>
    <col min="5889" max="5889" width="13.375" customWidth="1"/>
    <col min="5891" max="5891" width="9.875" bestFit="1" customWidth="1"/>
    <col min="5892" max="5892" width="9" customWidth="1"/>
    <col min="5897" max="5897" width="7.625" bestFit="1" customWidth="1"/>
    <col min="5898" max="5898" width="7.75" bestFit="1" customWidth="1"/>
    <col min="5899" max="5899" width="8" bestFit="1" customWidth="1"/>
    <col min="5900" max="5900" width="9.875" bestFit="1" customWidth="1"/>
    <col min="5901" max="5901" width="9" customWidth="1"/>
    <col min="5906" max="5906" width="7.625" bestFit="1" customWidth="1"/>
    <col min="5907" max="5907" width="7.75" bestFit="1" customWidth="1"/>
    <col min="5908" max="5908" width="8" bestFit="1" customWidth="1"/>
    <col min="5909" max="5909" width="9.875" bestFit="1" customWidth="1"/>
    <col min="5915" max="5915" width="7.625" bestFit="1" customWidth="1"/>
    <col min="6145" max="6145" width="13.375" customWidth="1"/>
    <col min="6147" max="6147" width="9.875" bestFit="1" customWidth="1"/>
    <col min="6148" max="6148" width="9" customWidth="1"/>
    <col min="6153" max="6153" width="7.625" bestFit="1" customWidth="1"/>
    <col min="6154" max="6154" width="7.75" bestFit="1" customWidth="1"/>
    <col min="6155" max="6155" width="8" bestFit="1" customWidth="1"/>
    <col min="6156" max="6156" width="9.875" bestFit="1" customWidth="1"/>
    <col min="6157" max="6157" width="9" customWidth="1"/>
    <col min="6162" max="6162" width="7.625" bestFit="1" customWidth="1"/>
    <col min="6163" max="6163" width="7.75" bestFit="1" customWidth="1"/>
    <col min="6164" max="6164" width="8" bestFit="1" customWidth="1"/>
    <col min="6165" max="6165" width="9.875" bestFit="1" customWidth="1"/>
    <col min="6171" max="6171" width="7.625" bestFit="1" customWidth="1"/>
    <col min="6401" max="6401" width="13.375" customWidth="1"/>
    <col min="6403" max="6403" width="9.875" bestFit="1" customWidth="1"/>
    <col min="6404" max="6404" width="9" customWidth="1"/>
    <col min="6409" max="6409" width="7.625" bestFit="1" customWidth="1"/>
    <col min="6410" max="6410" width="7.75" bestFit="1" customWidth="1"/>
    <col min="6411" max="6411" width="8" bestFit="1" customWidth="1"/>
    <col min="6412" max="6412" width="9.875" bestFit="1" customWidth="1"/>
    <col min="6413" max="6413" width="9" customWidth="1"/>
    <col min="6418" max="6418" width="7.625" bestFit="1" customWidth="1"/>
    <col min="6419" max="6419" width="7.75" bestFit="1" customWidth="1"/>
    <col min="6420" max="6420" width="8" bestFit="1" customWidth="1"/>
    <col min="6421" max="6421" width="9.875" bestFit="1" customWidth="1"/>
    <col min="6427" max="6427" width="7.625" bestFit="1" customWidth="1"/>
    <col min="6657" max="6657" width="13.375" customWidth="1"/>
    <col min="6659" max="6659" width="9.875" bestFit="1" customWidth="1"/>
    <col min="6660" max="6660" width="9" customWidth="1"/>
    <col min="6665" max="6665" width="7.625" bestFit="1" customWidth="1"/>
    <col min="6666" max="6666" width="7.75" bestFit="1" customWidth="1"/>
    <col min="6667" max="6667" width="8" bestFit="1" customWidth="1"/>
    <col min="6668" max="6668" width="9.875" bestFit="1" customWidth="1"/>
    <col min="6669" max="6669" width="9" customWidth="1"/>
    <col min="6674" max="6674" width="7.625" bestFit="1" customWidth="1"/>
    <col min="6675" max="6675" width="7.75" bestFit="1" customWidth="1"/>
    <col min="6676" max="6676" width="8" bestFit="1" customWidth="1"/>
    <col min="6677" max="6677" width="9.875" bestFit="1" customWidth="1"/>
    <col min="6683" max="6683" width="7.625" bestFit="1" customWidth="1"/>
    <col min="6913" max="6913" width="13.375" customWidth="1"/>
    <col min="6915" max="6915" width="9.875" bestFit="1" customWidth="1"/>
    <col min="6916" max="6916" width="9" customWidth="1"/>
    <col min="6921" max="6921" width="7.625" bestFit="1" customWidth="1"/>
    <col min="6922" max="6922" width="7.75" bestFit="1" customWidth="1"/>
    <col min="6923" max="6923" width="8" bestFit="1" customWidth="1"/>
    <col min="6924" max="6924" width="9.875" bestFit="1" customWidth="1"/>
    <col min="6925" max="6925" width="9" customWidth="1"/>
    <col min="6930" max="6930" width="7.625" bestFit="1" customWidth="1"/>
    <col min="6931" max="6931" width="7.75" bestFit="1" customWidth="1"/>
    <col min="6932" max="6932" width="8" bestFit="1" customWidth="1"/>
    <col min="6933" max="6933" width="9.875" bestFit="1" customWidth="1"/>
    <col min="6939" max="6939" width="7.625" bestFit="1" customWidth="1"/>
    <col min="7169" max="7169" width="13.375" customWidth="1"/>
    <col min="7171" max="7171" width="9.875" bestFit="1" customWidth="1"/>
    <col min="7172" max="7172" width="9" customWidth="1"/>
    <col min="7177" max="7177" width="7.625" bestFit="1" customWidth="1"/>
    <col min="7178" max="7178" width="7.75" bestFit="1" customWidth="1"/>
    <col min="7179" max="7179" width="8" bestFit="1" customWidth="1"/>
    <col min="7180" max="7180" width="9.875" bestFit="1" customWidth="1"/>
    <col min="7181" max="7181" width="9" customWidth="1"/>
    <col min="7186" max="7186" width="7.625" bestFit="1" customWidth="1"/>
    <col min="7187" max="7187" width="7.75" bestFit="1" customWidth="1"/>
    <col min="7188" max="7188" width="8" bestFit="1" customWidth="1"/>
    <col min="7189" max="7189" width="9.875" bestFit="1" customWidth="1"/>
    <col min="7195" max="7195" width="7.625" bestFit="1" customWidth="1"/>
    <col min="7425" max="7425" width="13.375" customWidth="1"/>
    <col min="7427" max="7427" width="9.875" bestFit="1" customWidth="1"/>
    <col min="7428" max="7428" width="9" customWidth="1"/>
    <col min="7433" max="7433" width="7.625" bestFit="1" customWidth="1"/>
    <col min="7434" max="7434" width="7.75" bestFit="1" customWidth="1"/>
    <col min="7435" max="7435" width="8" bestFit="1" customWidth="1"/>
    <col min="7436" max="7436" width="9.875" bestFit="1" customWidth="1"/>
    <col min="7437" max="7437" width="9" customWidth="1"/>
    <col min="7442" max="7442" width="7.625" bestFit="1" customWidth="1"/>
    <col min="7443" max="7443" width="7.75" bestFit="1" customWidth="1"/>
    <col min="7444" max="7444" width="8" bestFit="1" customWidth="1"/>
    <col min="7445" max="7445" width="9.875" bestFit="1" customWidth="1"/>
    <col min="7451" max="7451" width="7.625" bestFit="1" customWidth="1"/>
    <col min="7681" max="7681" width="13.375" customWidth="1"/>
    <col min="7683" max="7683" width="9.875" bestFit="1" customWidth="1"/>
    <col min="7684" max="7684" width="9" customWidth="1"/>
    <col min="7689" max="7689" width="7.625" bestFit="1" customWidth="1"/>
    <col min="7690" max="7690" width="7.75" bestFit="1" customWidth="1"/>
    <col min="7691" max="7691" width="8" bestFit="1" customWidth="1"/>
    <col min="7692" max="7692" width="9.875" bestFit="1" customWidth="1"/>
    <col min="7693" max="7693" width="9" customWidth="1"/>
    <col min="7698" max="7698" width="7.625" bestFit="1" customWidth="1"/>
    <col min="7699" max="7699" width="7.75" bestFit="1" customWidth="1"/>
    <col min="7700" max="7700" width="8" bestFit="1" customWidth="1"/>
    <col min="7701" max="7701" width="9.875" bestFit="1" customWidth="1"/>
    <col min="7707" max="7707" width="7.625" bestFit="1" customWidth="1"/>
    <col min="7937" max="7937" width="13.375" customWidth="1"/>
    <col min="7939" max="7939" width="9.875" bestFit="1" customWidth="1"/>
    <col min="7940" max="7940" width="9" customWidth="1"/>
    <col min="7945" max="7945" width="7.625" bestFit="1" customWidth="1"/>
    <col min="7946" max="7946" width="7.75" bestFit="1" customWidth="1"/>
    <col min="7947" max="7947" width="8" bestFit="1" customWidth="1"/>
    <col min="7948" max="7948" width="9.875" bestFit="1" customWidth="1"/>
    <col min="7949" max="7949" width="9" customWidth="1"/>
    <col min="7954" max="7954" width="7.625" bestFit="1" customWidth="1"/>
    <col min="7955" max="7955" width="7.75" bestFit="1" customWidth="1"/>
    <col min="7956" max="7956" width="8" bestFit="1" customWidth="1"/>
    <col min="7957" max="7957" width="9.875" bestFit="1" customWidth="1"/>
    <col min="7963" max="7963" width="7.625" bestFit="1" customWidth="1"/>
    <col min="8193" max="8193" width="13.375" customWidth="1"/>
    <col min="8195" max="8195" width="9.875" bestFit="1" customWidth="1"/>
    <col min="8196" max="8196" width="9" customWidth="1"/>
    <col min="8201" max="8201" width="7.625" bestFit="1" customWidth="1"/>
    <col min="8202" max="8202" width="7.75" bestFit="1" customWidth="1"/>
    <col min="8203" max="8203" width="8" bestFit="1" customWidth="1"/>
    <col min="8204" max="8204" width="9.875" bestFit="1" customWidth="1"/>
    <col min="8205" max="8205" width="9" customWidth="1"/>
    <col min="8210" max="8210" width="7.625" bestFit="1" customWidth="1"/>
    <col min="8211" max="8211" width="7.75" bestFit="1" customWidth="1"/>
    <col min="8212" max="8212" width="8" bestFit="1" customWidth="1"/>
    <col min="8213" max="8213" width="9.875" bestFit="1" customWidth="1"/>
    <col min="8219" max="8219" width="7.625" bestFit="1" customWidth="1"/>
    <col min="8449" max="8449" width="13.375" customWidth="1"/>
    <col min="8451" max="8451" width="9.875" bestFit="1" customWidth="1"/>
    <col min="8452" max="8452" width="9" customWidth="1"/>
    <col min="8457" max="8457" width="7.625" bestFit="1" customWidth="1"/>
    <col min="8458" max="8458" width="7.75" bestFit="1" customWidth="1"/>
    <col min="8459" max="8459" width="8" bestFit="1" customWidth="1"/>
    <col min="8460" max="8460" width="9.875" bestFit="1" customWidth="1"/>
    <col min="8461" max="8461" width="9" customWidth="1"/>
    <col min="8466" max="8466" width="7.625" bestFit="1" customWidth="1"/>
    <col min="8467" max="8467" width="7.75" bestFit="1" customWidth="1"/>
    <col min="8468" max="8468" width="8" bestFit="1" customWidth="1"/>
    <col min="8469" max="8469" width="9.875" bestFit="1" customWidth="1"/>
    <col min="8475" max="8475" width="7.625" bestFit="1" customWidth="1"/>
    <col min="8705" max="8705" width="13.375" customWidth="1"/>
    <col min="8707" max="8707" width="9.875" bestFit="1" customWidth="1"/>
    <col min="8708" max="8708" width="9" customWidth="1"/>
    <col min="8713" max="8713" width="7.625" bestFit="1" customWidth="1"/>
    <col min="8714" max="8714" width="7.75" bestFit="1" customWidth="1"/>
    <col min="8715" max="8715" width="8" bestFit="1" customWidth="1"/>
    <col min="8716" max="8716" width="9.875" bestFit="1" customWidth="1"/>
    <col min="8717" max="8717" width="9" customWidth="1"/>
    <col min="8722" max="8722" width="7.625" bestFit="1" customWidth="1"/>
    <col min="8723" max="8723" width="7.75" bestFit="1" customWidth="1"/>
    <col min="8724" max="8724" width="8" bestFit="1" customWidth="1"/>
    <col min="8725" max="8725" width="9.875" bestFit="1" customWidth="1"/>
    <col min="8731" max="8731" width="7.625" bestFit="1" customWidth="1"/>
    <col min="8961" max="8961" width="13.375" customWidth="1"/>
    <col min="8963" max="8963" width="9.875" bestFit="1" customWidth="1"/>
    <col min="8964" max="8964" width="9" customWidth="1"/>
    <col min="8969" max="8969" width="7.625" bestFit="1" customWidth="1"/>
    <col min="8970" max="8970" width="7.75" bestFit="1" customWidth="1"/>
    <col min="8971" max="8971" width="8" bestFit="1" customWidth="1"/>
    <col min="8972" max="8972" width="9.875" bestFit="1" customWidth="1"/>
    <col min="8973" max="8973" width="9" customWidth="1"/>
    <col min="8978" max="8978" width="7.625" bestFit="1" customWidth="1"/>
    <col min="8979" max="8979" width="7.75" bestFit="1" customWidth="1"/>
    <col min="8980" max="8980" width="8" bestFit="1" customWidth="1"/>
    <col min="8981" max="8981" width="9.875" bestFit="1" customWidth="1"/>
    <col min="8987" max="8987" width="7.625" bestFit="1" customWidth="1"/>
    <col min="9217" max="9217" width="13.375" customWidth="1"/>
    <col min="9219" max="9219" width="9.875" bestFit="1" customWidth="1"/>
    <col min="9220" max="9220" width="9" customWidth="1"/>
    <col min="9225" max="9225" width="7.625" bestFit="1" customWidth="1"/>
    <col min="9226" max="9226" width="7.75" bestFit="1" customWidth="1"/>
    <col min="9227" max="9227" width="8" bestFit="1" customWidth="1"/>
    <col min="9228" max="9228" width="9.875" bestFit="1" customWidth="1"/>
    <col min="9229" max="9229" width="9" customWidth="1"/>
    <col min="9234" max="9234" width="7.625" bestFit="1" customWidth="1"/>
    <col min="9235" max="9235" width="7.75" bestFit="1" customWidth="1"/>
    <col min="9236" max="9236" width="8" bestFit="1" customWidth="1"/>
    <col min="9237" max="9237" width="9.875" bestFit="1" customWidth="1"/>
    <col min="9243" max="9243" width="7.625" bestFit="1" customWidth="1"/>
    <col min="9473" max="9473" width="13.375" customWidth="1"/>
    <col min="9475" max="9475" width="9.875" bestFit="1" customWidth="1"/>
    <col min="9476" max="9476" width="9" customWidth="1"/>
    <col min="9481" max="9481" width="7.625" bestFit="1" customWidth="1"/>
    <col min="9482" max="9482" width="7.75" bestFit="1" customWidth="1"/>
    <col min="9483" max="9483" width="8" bestFit="1" customWidth="1"/>
    <col min="9484" max="9484" width="9.875" bestFit="1" customWidth="1"/>
    <col min="9485" max="9485" width="9" customWidth="1"/>
    <col min="9490" max="9490" width="7.625" bestFit="1" customWidth="1"/>
    <col min="9491" max="9491" width="7.75" bestFit="1" customWidth="1"/>
    <col min="9492" max="9492" width="8" bestFit="1" customWidth="1"/>
    <col min="9493" max="9493" width="9.875" bestFit="1" customWidth="1"/>
    <col min="9499" max="9499" width="7.625" bestFit="1" customWidth="1"/>
    <col min="9729" max="9729" width="13.375" customWidth="1"/>
    <col min="9731" max="9731" width="9.875" bestFit="1" customWidth="1"/>
    <col min="9732" max="9732" width="9" customWidth="1"/>
    <col min="9737" max="9737" width="7.625" bestFit="1" customWidth="1"/>
    <col min="9738" max="9738" width="7.75" bestFit="1" customWidth="1"/>
    <col min="9739" max="9739" width="8" bestFit="1" customWidth="1"/>
    <col min="9740" max="9740" width="9.875" bestFit="1" customWidth="1"/>
    <col min="9741" max="9741" width="9" customWidth="1"/>
    <col min="9746" max="9746" width="7.625" bestFit="1" customWidth="1"/>
    <col min="9747" max="9747" width="7.75" bestFit="1" customWidth="1"/>
    <col min="9748" max="9748" width="8" bestFit="1" customWidth="1"/>
    <col min="9749" max="9749" width="9.875" bestFit="1" customWidth="1"/>
    <col min="9755" max="9755" width="7.625" bestFit="1" customWidth="1"/>
    <col min="9985" max="9985" width="13.375" customWidth="1"/>
    <col min="9987" max="9987" width="9.875" bestFit="1" customWidth="1"/>
    <col min="9988" max="9988" width="9" customWidth="1"/>
    <col min="9993" max="9993" width="7.625" bestFit="1" customWidth="1"/>
    <col min="9994" max="9994" width="7.75" bestFit="1" customWidth="1"/>
    <col min="9995" max="9995" width="8" bestFit="1" customWidth="1"/>
    <col min="9996" max="9996" width="9.875" bestFit="1" customWidth="1"/>
    <col min="9997" max="9997" width="9" customWidth="1"/>
    <col min="10002" max="10002" width="7.625" bestFit="1" customWidth="1"/>
    <col min="10003" max="10003" width="7.75" bestFit="1" customWidth="1"/>
    <col min="10004" max="10004" width="8" bestFit="1" customWidth="1"/>
    <col min="10005" max="10005" width="9.875" bestFit="1" customWidth="1"/>
    <col min="10011" max="10011" width="7.625" bestFit="1" customWidth="1"/>
    <col min="10241" max="10241" width="13.375" customWidth="1"/>
    <col min="10243" max="10243" width="9.875" bestFit="1" customWidth="1"/>
    <col min="10244" max="10244" width="9" customWidth="1"/>
    <col min="10249" max="10249" width="7.625" bestFit="1" customWidth="1"/>
    <col min="10250" max="10250" width="7.75" bestFit="1" customWidth="1"/>
    <col min="10251" max="10251" width="8" bestFit="1" customWidth="1"/>
    <col min="10252" max="10252" width="9.875" bestFit="1" customWidth="1"/>
    <col min="10253" max="10253" width="9" customWidth="1"/>
    <col min="10258" max="10258" width="7.625" bestFit="1" customWidth="1"/>
    <col min="10259" max="10259" width="7.75" bestFit="1" customWidth="1"/>
    <col min="10260" max="10260" width="8" bestFit="1" customWidth="1"/>
    <col min="10261" max="10261" width="9.875" bestFit="1" customWidth="1"/>
    <col min="10267" max="10267" width="7.625" bestFit="1" customWidth="1"/>
    <col min="10497" max="10497" width="13.375" customWidth="1"/>
    <col min="10499" max="10499" width="9.875" bestFit="1" customWidth="1"/>
    <col min="10500" max="10500" width="9" customWidth="1"/>
    <col min="10505" max="10505" width="7.625" bestFit="1" customWidth="1"/>
    <col min="10506" max="10506" width="7.75" bestFit="1" customWidth="1"/>
    <col min="10507" max="10507" width="8" bestFit="1" customWidth="1"/>
    <col min="10508" max="10508" width="9.875" bestFit="1" customWidth="1"/>
    <col min="10509" max="10509" width="9" customWidth="1"/>
    <col min="10514" max="10514" width="7.625" bestFit="1" customWidth="1"/>
    <col min="10515" max="10515" width="7.75" bestFit="1" customWidth="1"/>
    <col min="10516" max="10516" width="8" bestFit="1" customWidth="1"/>
    <col min="10517" max="10517" width="9.875" bestFit="1" customWidth="1"/>
    <col min="10523" max="10523" width="7.625" bestFit="1" customWidth="1"/>
    <col min="10753" max="10753" width="13.375" customWidth="1"/>
    <col min="10755" max="10755" width="9.875" bestFit="1" customWidth="1"/>
    <col min="10756" max="10756" width="9" customWidth="1"/>
    <col min="10761" max="10761" width="7.625" bestFit="1" customWidth="1"/>
    <col min="10762" max="10762" width="7.75" bestFit="1" customWidth="1"/>
    <col min="10763" max="10763" width="8" bestFit="1" customWidth="1"/>
    <col min="10764" max="10764" width="9.875" bestFit="1" customWidth="1"/>
    <col min="10765" max="10765" width="9" customWidth="1"/>
    <col min="10770" max="10770" width="7.625" bestFit="1" customWidth="1"/>
    <col min="10771" max="10771" width="7.75" bestFit="1" customWidth="1"/>
    <col min="10772" max="10772" width="8" bestFit="1" customWidth="1"/>
    <col min="10773" max="10773" width="9.875" bestFit="1" customWidth="1"/>
    <col min="10779" max="10779" width="7.625" bestFit="1" customWidth="1"/>
    <col min="11009" max="11009" width="13.375" customWidth="1"/>
    <col min="11011" max="11011" width="9.875" bestFit="1" customWidth="1"/>
    <col min="11012" max="11012" width="9" customWidth="1"/>
    <col min="11017" max="11017" width="7.625" bestFit="1" customWidth="1"/>
    <col min="11018" max="11018" width="7.75" bestFit="1" customWidth="1"/>
    <col min="11019" max="11019" width="8" bestFit="1" customWidth="1"/>
    <col min="11020" max="11020" width="9.875" bestFit="1" customWidth="1"/>
    <col min="11021" max="11021" width="9" customWidth="1"/>
    <col min="11026" max="11026" width="7.625" bestFit="1" customWidth="1"/>
    <col min="11027" max="11027" width="7.75" bestFit="1" customWidth="1"/>
    <col min="11028" max="11028" width="8" bestFit="1" customWidth="1"/>
    <col min="11029" max="11029" width="9.875" bestFit="1" customWidth="1"/>
    <col min="11035" max="11035" width="7.625" bestFit="1" customWidth="1"/>
    <col min="11265" max="11265" width="13.375" customWidth="1"/>
    <col min="11267" max="11267" width="9.875" bestFit="1" customWidth="1"/>
    <col min="11268" max="11268" width="9" customWidth="1"/>
    <col min="11273" max="11273" width="7.625" bestFit="1" customWidth="1"/>
    <col min="11274" max="11274" width="7.75" bestFit="1" customWidth="1"/>
    <col min="11275" max="11275" width="8" bestFit="1" customWidth="1"/>
    <col min="11276" max="11276" width="9.875" bestFit="1" customWidth="1"/>
    <col min="11277" max="11277" width="9" customWidth="1"/>
    <col min="11282" max="11282" width="7.625" bestFit="1" customWidth="1"/>
    <col min="11283" max="11283" width="7.75" bestFit="1" customWidth="1"/>
    <col min="11284" max="11284" width="8" bestFit="1" customWidth="1"/>
    <col min="11285" max="11285" width="9.875" bestFit="1" customWidth="1"/>
    <col min="11291" max="11291" width="7.625" bestFit="1" customWidth="1"/>
    <col min="11521" max="11521" width="13.375" customWidth="1"/>
    <col min="11523" max="11523" width="9.875" bestFit="1" customWidth="1"/>
    <col min="11524" max="11524" width="9" customWidth="1"/>
    <col min="11529" max="11529" width="7.625" bestFit="1" customWidth="1"/>
    <col min="11530" max="11530" width="7.75" bestFit="1" customWidth="1"/>
    <col min="11531" max="11531" width="8" bestFit="1" customWidth="1"/>
    <col min="11532" max="11532" width="9.875" bestFit="1" customWidth="1"/>
    <col min="11533" max="11533" width="9" customWidth="1"/>
    <col min="11538" max="11538" width="7.625" bestFit="1" customWidth="1"/>
    <col min="11539" max="11539" width="7.75" bestFit="1" customWidth="1"/>
    <col min="11540" max="11540" width="8" bestFit="1" customWidth="1"/>
    <col min="11541" max="11541" width="9.875" bestFit="1" customWidth="1"/>
    <col min="11547" max="11547" width="7.625" bestFit="1" customWidth="1"/>
    <col min="11777" max="11777" width="13.375" customWidth="1"/>
    <col min="11779" max="11779" width="9.875" bestFit="1" customWidth="1"/>
    <col min="11780" max="11780" width="9" customWidth="1"/>
    <col min="11785" max="11785" width="7.625" bestFit="1" customWidth="1"/>
    <col min="11786" max="11786" width="7.75" bestFit="1" customWidth="1"/>
    <col min="11787" max="11787" width="8" bestFit="1" customWidth="1"/>
    <col min="11788" max="11788" width="9.875" bestFit="1" customWidth="1"/>
    <col min="11789" max="11789" width="9" customWidth="1"/>
    <col min="11794" max="11794" width="7.625" bestFit="1" customWidth="1"/>
    <col min="11795" max="11795" width="7.75" bestFit="1" customWidth="1"/>
    <col min="11796" max="11796" width="8" bestFit="1" customWidth="1"/>
    <col min="11797" max="11797" width="9.875" bestFit="1" customWidth="1"/>
    <col min="11803" max="11803" width="7.625" bestFit="1" customWidth="1"/>
    <col min="12033" max="12033" width="13.375" customWidth="1"/>
    <col min="12035" max="12035" width="9.875" bestFit="1" customWidth="1"/>
    <col min="12036" max="12036" width="9" customWidth="1"/>
    <col min="12041" max="12041" width="7.625" bestFit="1" customWidth="1"/>
    <col min="12042" max="12042" width="7.75" bestFit="1" customWidth="1"/>
    <col min="12043" max="12043" width="8" bestFit="1" customWidth="1"/>
    <col min="12044" max="12044" width="9.875" bestFit="1" customWidth="1"/>
    <col min="12045" max="12045" width="9" customWidth="1"/>
    <col min="12050" max="12050" width="7.625" bestFit="1" customWidth="1"/>
    <col min="12051" max="12051" width="7.75" bestFit="1" customWidth="1"/>
    <col min="12052" max="12052" width="8" bestFit="1" customWidth="1"/>
    <col min="12053" max="12053" width="9.875" bestFit="1" customWidth="1"/>
    <col min="12059" max="12059" width="7.625" bestFit="1" customWidth="1"/>
    <col min="12289" max="12289" width="13.375" customWidth="1"/>
    <col min="12291" max="12291" width="9.875" bestFit="1" customWidth="1"/>
    <col min="12292" max="12292" width="9" customWidth="1"/>
    <col min="12297" max="12297" width="7.625" bestFit="1" customWidth="1"/>
    <col min="12298" max="12298" width="7.75" bestFit="1" customWidth="1"/>
    <col min="12299" max="12299" width="8" bestFit="1" customWidth="1"/>
    <col min="12300" max="12300" width="9.875" bestFit="1" customWidth="1"/>
    <col min="12301" max="12301" width="9" customWidth="1"/>
    <col min="12306" max="12306" width="7.625" bestFit="1" customWidth="1"/>
    <col min="12307" max="12307" width="7.75" bestFit="1" customWidth="1"/>
    <col min="12308" max="12308" width="8" bestFit="1" customWidth="1"/>
    <col min="12309" max="12309" width="9.875" bestFit="1" customWidth="1"/>
    <col min="12315" max="12315" width="7.625" bestFit="1" customWidth="1"/>
    <col min="12545" max="12545" width="13.375" customWidth="1"/>
    <col min="12547" max="12547" width="9.875" bestFit="1" customWidth="1"/>
    <col min="12548" max="12548" width="9" customWidth="1"/>
    <col min="12553" max="12553" width="7.625" bestFit="1" customWidth="1"/>
    <col min="12554" max="12554" width="7.75" bestFit="1" customWidth="1"/>
    <col min="12555" max="12555" width="8" bestFit="1" customWidth="1"/>
    <col min="12556" max="12556" width="9.875" bestFit="1" customWidth="1"/>
    <col min="12557" max="12557" width="9" customWidth="1"/>
    <col min="12562" max="12562" width="7.625" bestFit="1" customWidth="1"/>
    <col min="12563" max="12563" width="7.75" bestFit="1" customWidth="1"/>
    <col min="12564" max="12564" width="8" bestFit="1" customWidth="1"/>
    <col min="12565" max="12565" width="9.875" bestFit="1" customWidth="1"/>
    <col min="12571" max="12571" width="7.625" bestFit="1" customWidth="1"/>
    <col min="12801" max="12801" width="13.375" customWidth="1"/>
    <col min="12803" max="12803" width="9.875" bestFit="1" customWidth="1"/>
    <col min="12804" max="12804" width="9" customWidth="1"/>
    <col min="12809" max="12809" width="7.625" bestFit="1" customWidth="1"/>
    <col min="12810" max="12810" width="7.75" bestFit="1" customWidth="1"/>
    <col min="12811" max="12811" width="8" bestFit="1" customWidth="1"/>
    <col min="12812" max="12812" width="9.875" bestFit="1" customWidth="1"/>
    <col min="12813" max="12813" width="9" customWidth="1"/>
    <col min="12818" max="12818" width="7.625" bestFit="1" customWidth="1"/>
    <col min="12819" max="12819" width="7.75" bestFit="1" customWidth="1"/>
    <col min="12820" max="12820" width="8" bestFit="1" customWidth="1"/>
    <col min="12821" max="12821" width="9.875" bestFit="1" customWidth="1"/>
    <col min="12827" max="12827" width="7.625" bestFit="1" customWidth="1"/>
    <col min="13057" max="13057" width="13.375" customWidth="1"/>
    <col min="13059" max="13059" width="9.875" bestFit="1" customWidth="1"/>
    <col min="13060" max="13060" width="9" customWidth="1"/>
    <col min="13065" max="13065" width="7.625" bestFit="1" customWidth="1"/>
    <col min="13066" max="13066" width="7.75" bestFit="1" customWidth="1"/>
    <col min="13067" max="13067" width="8" bestFit="1" customWidth="1"/>
    <col min="13068" max="13068" width="9.875" bestFit="1" customWidth="1"/>
    <col min="13069" max="13069" width="9" customWidth="1"/>
    <col min="13074" max="13074" width="7.625" bestFit="1" customWidth="1"/>
    <col min="13075" max="13075" width="7.75" bestFit="1" customWidth="1"/>
    <col min="13076" max="13076" width="8" bestFit="1" customWidth="1"/>
    <col min="13077" max="13077" width="9.875" bestFit="1" customWidth="1"/>
    <col min="13083" max="13083" width="7.625" bestFit="1" customWidth="1"/>
    <col min="13313" max="13313" width="13.375" customWidth="1"/>
    <col min="13315" max="13315" width="9.875" bestFit="1" customWidth="1"/>
    <col min="13316" max="13316" width="9" customWidth="1"/>
    <col min="13321" max="13321" width="7.625" bestFit="1" customWidth="1"/>
    <col min="13322" max="13322" width="7.75" bestFit="1" customWidth="1"/>
    <col min="13323" max="13323" width="8" bestFit="1" customWidth="1"/>
    <col min="13324" max="13324" width="9.875" bestFit="1" customWidth="1"/>
    <col min="13325" max="13325" width="9" customWidth="1"/>
    <col min="13330" max="13330" width="7.625" bestFit="1" customWidth="1"/>
    <col min="13331" max="13331" width="7.75" bestFit="1" customWidth="1"/>
    <col min="13332" max="13332" width="8" bestFit="1" customWidth="1"/>
    <col min="13333" max="13333" width="9.875" bestFit="1" customWidth="1"/>
    <col min="13339" max="13339" width="7.625" bestFit="1" customWidth="1"/>
    <col min="13569" max="13569" width="13.375" customWidth="1"/>
    <col min="13571" max="13571" width="9.875" bestFit="1" customWidth="1"/>
    <col min="13572" max="13572" width="9" customWidth="1"/>
    <col min="13577" max="13577" width="7.625" bestFit="1" customWidth="1"/>
    <col min="13578" max="13578" width="7.75" bestFit="1" customWidth="1"/>
    <col min="13579" max="13579" width="8" bestFit="1" customWidth="1"/>
    <col min="13580" max="13580" width="9.875" bestFit="1" customWidth="1"/>
    <col min="13581" max="13581" width="9" customWidth="1"/>
    <col min="13586" max="13586" width="7.625" bestFit="1" customWidth="1"/>
    <col min="13587" max="13587" width="7.75" bestFit="1" customWidth="1"/>
    <col min="13588" max="13588" width="8" bestFit="1" customWidth="1"/>
    <col min="13589" max="13589" width="9.875" bestFit="1" customWidth="1"/>
    <col min="13595" max="13595" width="7.625" bestFit="1" customWidth="1"/>
    <col min="13825" max="13825" width="13.375" customWidth="1"/>
    <col min="13827" max="13827" width="9.875" bestFit="1" customWidth="1"/>
    <col min="13828" max="13828" width="9" customWidth="1"/>
    <col min="13833" max="13833" width="7.625" bestFit="1" customWidth="1"/>
    <col min="13834" max="13834" width="7.75" bestFit="1" customWidth="1"/>
    <col min="13835" max="13835" width="8" bestFit="1" customWidth="1"/>
    <col min="13836" max="13836" width="9.875" bestFit="1" customWidth="1"/>
    <col min="13837" max="13837" width="9" customWidth="1"/>
    <col min="13842" max="13842" width="7.625" bestFit="1" customWidth="1"/>
    <col min="13843" max="13843" width="7.75" bestFit="1" customWidth="1"/>
    <col min="13844" max="13844" width="8" bestFit="1" customWidth="1"/>
    <col min="13845" max="13845" width="9.875" bestFit="1" customWidth="1"/>
    <col min="13851" max="13851" width="7.625" bestFit="1" customWidth="1"/>
    <col min="14081" max="14081" width="13.375" customWidth="1"/>
    <col min="14083" max="14083" width="9.875" bestFit="1" customWidth="1"/>
    <col min="14084" max="14084" width="9" customWidth="1"/>
    <col min="14089" max="14089" width="7.625" bestFit="1" customWidth="1"/>
    <col min="14090" max="14090" width="7.75" bestFit="1" customWidth="1"/>
    <col min="14091" max="14091" width="8" bestFit="1" customWidth="1"/>
    <col min="14092" max="14092" width="9.875" bestFit="1" customWidth="1"/>
    <col min="14093" max="14093" width="9" customWidth="1"/>
    <col min="14098" max="14098" width="7.625" bestFit="1" customWidth="1"/>
    <col min="14099" max="14099" width="7.75" bestFit="1" customWidth="1"/>
    <col min="14100" max="14100" width="8" bestFit="1" customWidth="1"/>
    <col min="14101" max="14101" width="9.875" bestFit="1" customWidth="1"/>
    <col min="14107" max="14107" width="7.625" bestFit="1" customWidth="1"/>
    <col min="14337" max="14337" width="13.375" customWidth="1"/>
    <col min="14339" max="14339" width="9.875" bestFit="1" customWidth="1"/>
    <col min="14340" max="14340" width="9" customWidth="1"/>
    <col min="14345" max="14345" width="7.625" bestFit="1" customWidth="1"/>
    <col min="14346" max="14346" width="7.75" bestFit="1" customWidth="1"/>
    <col min="14347" max="14347" width="8" bestFit="1" customWidth="1"/>
    <col min="14348" max="14348" width="9.875" bestFit="1" customWidth="1"/>
    <col min="14349" max="14349" width="9" customWidth="1"/>
    <col min="14354" max="14354" width="7.625" bestFit="1" customWidth="1"/>
    <col min="14355" max="14355" width="7.75" bestFit="1" customWidth="1"/>
    <col min="14356" max="14356" width="8" bestFit="1" customWidth="1"/>
    <col min="14357" max="14357" width="9.875" bestFit="1" customWidth="1"/>
    <col min="14363" max="14363" width="7.625" bestFit="1" customWidth="1"/>
    <col min="14593" max="14593" width="13.375" customWidth="1"/>
    <col min="14595" max="14595" width="9.875" bestFit="1" customWidth="1"/>
    <col min="14596" max="14596" width="9" customWidth="1"/>
    <col min="14601" max="14601" width="7.625" bestFit="1" customWidth="1"/>
    <col min="14602" max="14602" width="7.75" bestFit="1" customWidth="1"/>
    <col min="14603" max="14603" width="8" bestFit="1" customWidth="1"/>
    <col min="14604" max="14604" width="9.875" bestFit="1" customWidth="1"/>
    <col min="14605" max="14605" width="9" customWidth="1"/>
    <col min="14610" max="14610" width="7.625" bestFit="1" customWidth="1"/>
    <col min="14611" max="14611" width="7.75" bestFit="1" customWidth="1"/>
    <col min="14612" max="14612" width="8" bestFit="1" customWidth="1"/>
    <col min="14613" max="14613" width="9.875" bestFit="1" customWidth="1"/>
    <col min="14619" max="14619" width="7.625" bestFit="1" customWidth="1"/>
    <col min="14849" max="14849" width="13.375" customWidth="1"/>
    <col min="14851" max="14851" width="9.875" bestFit="1" customWidth="1"/>
    <col min="14852" max="14852" width="9" customWidth="1"/>
    <col min="14857" max="14857" width="7.625" bestFit="1" customWidth="1"/>
    <col min="14858" max="14858" width="7.75" bestFit="1" customWidth="1"/>
    <col min="14859" max="14859" width="8" bestFit="1" customWidth="1"/>
    <col min="14860" max="14860" width="9.875" bestFit="1" customWidth="1"/>
    <col min="14861" max="14861" width="9" customWidth="1"/>
    <col min="14866" max="14866" width="7.625" bestFit="1" customWidth="1"/>
    <col min="14867" max="14867" width="7.75" bestFit="1" customWidth="1"/>
    <col min="14868" max="14868" width="8" bestFit="1" customWidth="1"/>
    <col min="14869" max="14869" width="9.875" bestFit="1" customWidth="1"/>
    <col min="14875" max="14875" width="7.625" bestFit="1" customWidth="1"/>
    <col min="15105" max="15105" width="13.375" customWidth="1"/>
    <col min="15107" max="15107" width="9.875" bestFit="1" customWidth="1"/>
    <col min="15108" max="15108" width="9" customWidth="1"/>
    <col min="15113" max="15113" width="7.625" bestFit="1" customWidth="1"/>
    <col min="15114" max="15114" width="7.75" bestFit="1" customWidth="1"/>
    <col min="15115" max="15115" width="8" bestFit="1" customWidth="1"/>
    <col min="15116" max="15116" width="9.875" bestFit="1" customWidth="1"/>
    <col min="15117" max="15117" width="9" customWidth="1"/>
    <col min="15122" max="15122" width="7.625" bestFit="1" customWidth="1"/>
    <col min="15123" max="15123" width="7.75" bestFit="1" customWidth="1"/>
    <col min="15124" max="15124" width="8" bestFit="1" customWidth="1"/>
    <col min="15125" max="15125" width="9.875" bestFit="1" customWidth="1"/>
    <col min="15131" max="15131" width="7.625" bestFit="1" customWidth="1"/>
    <col min="15361" max="15361" width="13.375" customWidth="1"/>
    <col min="15363" max="15363" width="9.875" bestFit="1" customWidth="1"/>
    <col min="15364" max="15364" width="9" customWidth="1"/>
    <col min="15369" max="15369" width="7.625" bestFit="1" customWidth="1"/>
    <col min="15370" max="15370" width="7.75" bestFit="1" customWidth="1"/>
    <col min="15371" max="15371" width="8" bestFit="1" customWidth="1"/>
    <col min="15372" max="15372" width="9.875" bestFit="1" customWidth="1"/>
    <col min="15373" max="15373" width="9" customWidth="1"/>
    <col min="15378" max="15378" width="7.625" bestFit="1" customWidth="1"/>
    <col min="15379" max="15379" width="7.75" bestFit="1" customWidth="1"/>
    <col min="15380" max="15380" width="8" bestFit="1" customWidth="1"/>
    <col min="15381" max="15381" width="9.875" bestFit="1" customWidth="1"/>
    <col min="15387" max="15387" width="7.625" bestFit="1" customWidth="1"/>
    <col min="15617" max="15617" width="13.375" customWidth="1"/>
    <col min="15619" max="15619" width="9.875" bestFit="1" customWidth="1"/>
    <col min="15620" max="15620" width="9" customWidth="1"/>
    <col min="15625" max="15625" width="7.625" bestFit="1" customWidth="1"/>
    <col min="15626" max="15626" width="7.75" bestFit="1" customWidth="1"/>
    <col min="15627" max="15627" width="8" bestFit="1" customWidth="1"/>
    <col min="15628" max="15628" width="9.875" bestFit="1" customWidth="1"/>
    <col min="15629" max="15629" width="9" customWidth="1"/>
    <col min="15634" max="15634" width="7.625" bestFit="1" customWidth="1"/>
    <col min="15635" max="15635" width="7.75" bestFit="1" customWidth="1"/>
    <col min="15636" max="15636" width="8" bestFit="1" customWidth="1"/>
    <col min="15637" max="15637" width="9.875" bestFit="1" customWidth="1"/>
    <col min="15643" max="15643" width="7.625" bestFit="1" customWidth="1"/>
    <col min="15873" max="15873" width="13.375" customWidth="1"/>
    <col min="15875" max="15875" width="9.875" bestFit="1" customWidth="1"/>
    <col min="15876" max="15876" width="9" customWidth="1"/>
    <col min="15881" max="15881" width="7.625" bestFit="1" customWidth="1"/>
    <col min="15882" max="15882" width="7.75" bestFit="1" customWidth="1"/>
    <col min="15883" max="15883" width="8" bestFit="1" customWidth="1"/>
    <col min="15884" max="15884" width="9.875" bestFit="1" customWidth="1"/>
    <col min="15885" max="15885" width="9" customWidth="1"/>
    <col min="15890" max="15890" width="7.625" bestFit="1" customWidth="1"/>
    <col min="15891" max="15891" width="7.75" bestFit="1" customWidth="1"/>
    <col min="15892" max="15892" width="8" bestFit="1" customWidth="1"/>
    <col min="15893" max="15893" width="9.875" bestFit="1" customWidth="1"/>
    <col min="15899" max="15899" width="7.625" bestFit="1" customWidth="1"/>
    <col min="16129" max="16129" width="13.375" customWidth="1"/>
    <col min="16131" max="16131" width="9.875" bestFit="1" customWidth="1"/>
    <col min="16132" max="16132" width="9" customWidth="1"/>
    <col min="16137" max="16137" width="7.625" bestFit="1" customWidth="1"/>
    <col min="16138" max="16138" width="7.75" bestFit="1" customWidth="1"/>
    <col min="16139" max="16139" width="8" bestFit="1" customWidth="1"/>
    <col min="16140" max="16140" width="9.875" bestFit="1" customWidth="1"/>
    <col min="16141" max="16141" width="9" customWidth="1"/>
    <col min="16146" max="16146" width="7.625" bestFit="1" customWidth="1"/>
    <col min="16147" max="16147" width="7.75" bestFit="1" customWidth="1"/>
    <col min="16148" max="16148" width="8" bestFit="1" customWidth="1"/>
    <col min="16149" max="16149" width="9.875" bestFit="1" customWidth="1"/>
    <col min="16155" max="16155" width="7.625" bestFit="1" customWidth="1"/>
  </cols>
  <sheetData>
    <row r="1" spans="1:99" s="2" customFormat="1" ht="35.25">
      <c r="A1" s="1" t="s">
        <v>116</v>
      </c>
      <c r="B1" s="94" t="s">
        <v>111</v>
      </c>
      <c r="C1" s="94"/>
      <c r="D1" s="94"/>
      <c r="E1" s="94"/>
      <c r="F1" s="94"/>
      <c r="G1" s="94"/>
      <c r="H1" s="94"/>
      <c r="I1" s="94"/>
      <c r="J1" s="94"/>
      <c r="K1" s="94"/>
    </row>
    <row r="2" spans="1:99" ht="14.25">
      <c r="A2" s="3" t="s">
        <v>23</v>
      </c>
      <c r="B2" s="79" t="s">
        <v>24</v>
      </c>
      <c r="C2" s="80"/>
      <c r="D2" s="80"/>
      <c r="E2" s="80"/>
      <c r="F2" s="80"/>
      <c r="G2" s="80"/>
      <c r="H2" s="80"/>
      <c r="I2" s="80"/>
      <c r="J2" s="80"/>
      <c r="K2" s="1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99" ht="14.25">
      <c r="A3" s="3" t="s">
        <v>0</v>
      </c>
      <c r="B3" s="79" t="s">
        <v>25</v>
      </c>
      <c r="C3" s="80"/>
      <c r="D3" s="80"/>
      <c r="E3" s="80"/>
      <c r="F3" s="80"/>
      <c r="G3" s="80"/>
      <c r="H3" s="80"/>
      <c r="I3" s="80"/>
      <c r="J3" s="80"/>
      <c r="K3" s="1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99" ht="14.25" customHeight="1">
      <c r="A4" s="19" t="s">
        <v>167</v>
      </c>
      <c r="B4" s="5" t="s">
        <v>26</v>
      </c>
      <c r="C4" s="5" t="s">
        <v>27</v>
      </c>
      <c r="D4" s="5" t="s">
        <v>28</v>
      </c>
      <c r="E4" s="5" t="s">
        <v>56</v>
      </c>
      <c r="F4" s="5" t="s">
        <v>57</v>
      </c>
      <c r="G4" s="21" t="s">
        <v>3</v>
      </c>
      <c r="H4" s="41" t="s">
        <v>4</v>
      </c>
      <c r="I4" s="81" t="s">
        <v>29</v>
      </c>
      <c r="J4" s="19" t="s">
        <v>167</v>
      </c>
      <c r="K4" s="5" t="s">
        <v>26</v>
      </c>
      <c r="L4" s="5" t="s">
        <v>27</v>
      </c>
      <c r="M4" s="5" t="s">
        <v>28</v>
      </c>
      <c r="N4" s="5" t="s">
        <v>56</v>
      </c>
      <c r="O4" s="5" t="s">
        <v>57</v>
      </c>
      <c r="P4" s="21" t="s">
        <v>3</v>
      </c>
      <c r="Q4" s="41" t="s">
        <v>4</v>
      </c>
      <c r="R4" s="81" t="s">
        <v>29</v>
      </c>
      <c r="S4" s="19" t="s">
        <v>167</v>
      </c>
      <c r="T4" s="5" t="s">
        <v>26</v>
      </c>
      <c r="U4" s="5" t="s">
        <v>27</v>
      </c>
      <c r="V4" s="5" t="s">
        <v>28</v>
      </c>
      <c r="W4" s="5" t="s">
        <v>56</v>
      </c>
      <c r="X4" s="5" t="s">
        <v>57</v>
      </c>
      <c r="Y4" s="21" t="s">
        <v>3</v>
      </c>
      <c r="Z4" s="41" t="s">
        <v>4</v>
      </c>
      <c r="AA4" s="81" t="s">
        <v>29</v>
      </c>
      <c r="AB4" s="19" t="s">
        <v>167</v>
      </c>
      <c r="AC4" s="20" t="s">
        <v>26</v>
      </c>
      <c r="AD4" s="20" t="s">
        <v>27</v>
      </c>
      <c r="AE4" s="20" t="s">
        <v>28</v>
      </c>
      <c r="AF4" s="20" t="s">
        <v>56</v>
      </c>
      <c r="AG4" s="20" t="s">
        <v>57</v>
      </c>
      <c r="AH4" s="21" t="s">
        <v>3</v>
      </c>
      <c r="AI4" s="41" t="s">
        <v>4</v>
      </c>
      <c r="AJ4" s="81" t="s">
        <v>29</v>
      </c>
      <c r="AK4" s="19" t="s">
        <v>167</v>
      </c>
      <c r="AL4" s="20" t="s">
        <v>26</v>
      </c>
      <c r="AM4" s="20" t="s">
        <v>27</v>
      </c>
      <c r="AN4" s="20" t="s">
        <v>28</v>
      </c>
      <c r="AO4" s="20" t="s">
        <v>56</v>
      </c>
      <c r="AP4" s="20" t="s">
        <v>57</v>
      </c>
      <c r="AQ4" s="21" t="s">
        <v>3</v>
      </c>
      <c r="AR4" s="41" t="s">
        <v>4</v>
      </c>
      <c r="AS4" s="86" t="s">
        <v>29</v>
      </c>
      <c r="AT4" s="19" t="s">
        <v>167</v>
      </c>
      <c r="AU4" s="20" t="s">
        <v>26</v>
      </c>
      <c r="AV4" s="20" t="s">
        <v>27</v>
      </c>
      <c r="AW4" s="20" t="s">
        <v>28</v>
      </c>
      <c r="AX4" s="20" t="s">
        <v>56</v>
      </c>
      <c r="AY4" s="20" t="s">
        <v>57</v>
      </c>
      <c r="AZ4" s="21" t="s">
        <v>3</v>
      </c>
      <c r="BA4" s="41" t="s">
        <v>4</v>
      </c>
      <c r="BB4" s="81" t="s">
        <v>29</v>
      </c>
      <c r="BC4" s="19" t="s">
        <v>167</v>
      </c>
      <c r="BD4" s="20" t="s">
        <v>26</v>
      </c>
      <c r="BE4" s="20" t="s">
        <v>27</v>
      </c>
      <c r="BF4" s="20" t="s">
        <v>28</v>
      </c>
      <c r="BG4" s="20" t="s">
        <v>56</v>
      </c>
      <c r="BH4" s="20" t="s">
        <v>57</v>
      </c>
      <c r="BI4" s="21" t="s">
        <v>3</v>
      </c>
      <c r="BJ4" s="41" t="s">
        <v>4</v>
      </c>
      <c r="BK4" s="86" t="s">
        <v>29</v>
      </c>
      <c r="BL4" s="19" t="s">
        <v>167</v>
      </c>
      <c r="BM4" s="5" t="s">
        <v>26</v>
      </c>
      <c r="BN4" s="5" t="s">
        <v>27</v>
      </c>
      <c r="BO4" s="5" t="s">
        <v>28</v>
      </c>
      <c r="BP4" s="5" t="s">
        <v>56</v>
      </c>
      <c r="BQ4" s="5" t="s">
        <v>57</v>
      </c>
      <c r="BR4" s="21" t="s">
        <v>3</v>
      </c>
      <c r="BS4" s="41" t="s">
        <v>4</v>
      </c>
      <c r="BT4" s="81" t="s">
        <v>29</v>
      </c>
      <c r="BU4" s="19" t="s">
        <v>167</v>
      </c>
      <c r="BV4" s="20" t="s">
        <v>26</v>
      </c>
      <c r="BW4" s="20" t="s">
        <v>27</v>
      </c>
      <c r="BX4" s="20" t="s">
        <v>28</v>
      </c>
      <c r="BY4" s="20" t="s">
        <v>56</v>
      </c>
      <c r="BZ4" s="20" t="s">
        <v>57</v>
      </c>
      <c r="CA4" s="21" t="s">
        <v>3</v>
      </c>
      <c r="CB4" s="41" t="s">
        <v>4</v>
      </c>
      <c r="CC4" s="86" t="s">
        <v>29</v>
      </c>
      <c r="CD4" s="19" t="s">
        <v>167</v>
      </c>
      <c r="CE4" s="5" t="s">
        <v>26</v>
      </c>
      <c r="CF4" s="5" t="s">
        <v>27</v>
      </c>
      <c r="CG4" s="5" t="s">
        <v>28</v>
      </c>
      <c r="CH4" s="5" t="s">
        <v>56</v>
      </c>
      <c r="CI4" s="5" t="s">
        <v>57</v>
      </c>
      <c r="CJ4" s="21" t="s">
        <v>3</v>
      </c>
      <c r="CK4" s="41" t="s">
        <v>4</v>
      </c>
      <c r="CL4" s="81" t="s">
        <v>29</v>
      </c>
      <c r="CM4" s="19" t="s">
        <v>167</v>
      </c>
      <c r="CN4" s="20" t="s">
        <v>26</v>
      </c>
      <c r="CO4" s="20" t="s">
        <v>27</v>
      </c>
      <c r="CP4" s="20" t="s">
        <v>28</v>
      </c>
      <c r="CQ4" s="20" t="s">
        <v>56</v>
      </c>
      <c r="CR4" s="20" t="s">
        <v>57</v>
      </c>
      <c r="CS4" s="21" t="s">
        <v>3</v>
      </c>
      <c r="CT4" s="41" t="s">
        <v>4</v>
      </c>
      <c r="CU4" s="86" t="s">
        <v>29</v>
      </c>
    </row>
    <row r="5" spans="1:99" ht="15">
      <c r="A5" s="7" t="s">
        <v>30</v>
      </c>
      <c r="B5" s="8">
        <v>27375</v>
      </c>
      <c r="C5" s="8">
        <v>719.5</v>
      </c>
      <c r="D5" s="4">
        <v>3</v>
      </c>
      <c r="E5" s="8" t="s">
        <v>10</v>
      </c>
      <c r="F5" s="50">
        <v>1</v>
      </c>
      <c r="G5" s="24" t="s">
        <v>15</v>
      </c>
      <c r="H5" s="25" t="s">
        <v>6</v>
      </c>
      <c r="I5" s="82"/>
      <c r="J5" s="7" t="s">
        <v>117</v>
      </c>
      <c r="K5" s="8">
        <v>27645</v>
      </c>
      <c r="L5" s="8">
        <v>746.5</v>
      </c>
      <c r="M5" s="4">
        <v>3</v>
      </c>
      <c r="N5" s="8" t="s">
        <v>10</v>
      </c>
      <c r="O5" s="50">
        <v>1</v>
      </c>
      <c r="P5" s="24" t="s">
        <v>117</v>
      </c>
      <c r="Q5" s="25" t="s">
        <v>6</v>
      </c>
      <c r="R5" s="82"/>
      <c r="S5" s="7" t="s">
        <v>30</v>
      </c>
      <c r="T5" s="8">
        <v>27385</v>
      </c>
      <c r="U5" s="8">
        <v>720.5</v>
      </c>
      <c r="V5" s="4">
        <v>5</v>
      </c>
      <c r="W5" s="8" t="s">
        <v>10</v>
      </c>
      <c r="X5" s="50">
        <v>1</v>
      </c>
      <c r="Y5" s="24" t="s">
        <v>15</v>
      </c>
      <c r="Z5" s="25" t="s">
        <v>6</v>
      </c>
      <c r="AA5" s="82"/>
      <c r="AB5" s="22" t="s">
        <v>32</v>
      </c>
      <c r="AC5" s="28">
        <v>27510</v>
      </c>
      <c r="AD5" s="28">
        <v>733</v>
      </c>
      <c r="AE5" s="23">
        <v>5</v>
      </c>
      <c r="AF5" s="28" t="s">
        <v>10</v>
      </c>
      <c r="AG5" s="29">
        <v>1</v>
      </c>
      <c r="AH5" s="24" t="s">
        <v>15</v>
      </c>
      <c r="AI5" s="25" t="s">
        <v>7</v>
      </c>
      <c r="AJ5" s="82"/>
      <c r="AK5" s="27" t="s">
        <v>31</v>
      </c>
      <c r="AL5" s="28">
        <v>27635</v>
      </c>
      <c r="AM5" s="28">
        <v>745.5</v>
      </c>
      <c r="AN5" s="23">
        <v>5</v>
      </c>
      <c r="AO5" s="28" t="s">
        <v>10</v>
      </c>
      <c r="AP5" s="29">
        <v>1</v>
      </c>
      <c r="AQ5" s="24" t="s">
        <v>31</v>
      </c>
      <c r="AR5" s="25" t="s">
        <v>7</v>
      </c>
      <c r="AS5" s="86"/>
      <c r="AT5" s="27" t="s">
        <v>30</v>
      </c>
      <c r="AU5" s="28">
        <v>27385</v>
      </c>
      <c r="AV5" s="28">
        <v>720.5</v>
      </c>
      <c r="AW5" s="23">
        <v>5</v>
      </c>
      <c r="AX5" s="28" t="s">
        <v>10</v>
      </c>
      <c r="AY5" s="29">
        <v>25</v>
      </c>
      <c r="AZ5" s="24" t="s">
        <v>30</v>
      </c>
      <c r="BA5" s="25" t="s">
        <v>6</v>
      </c>
      <c r="BB5" s="82"/>
      <c r="BC5" s="27" t="s">
        <v>31</v>
      </c>
      <c r="BD5" s="28">
        <v>27635</v>
      </c>
      <c r="BE5" s="28">
        <v>745.5</v>
      </c>
      <c r="BF5" s="23">
        <v>5</v>
      </c>
      <c r="BG5" s="28" t="s">
        <v>10</v>
      </c>
      <c r="BH5" s="29">
        <v>25</v>
      </c>
      <c r="BI5" s="24" t="s">
        <v>31</v>
      </c>
      <c r="BJ5" s="25" t="s">
        <v>7</v>
      </c>
      <c r="BK5" s="86"/>
      <c r="BL5" s="7" t="s">
        <v>30</v>
      </c>
      <c r="BM5" s="8">
        <v>27460</v>
      </c>
      <c r="BN5" s="8">
        <v>728</v>
      </c>
      <c r="BO5" s="4">
        <v>20</v>
      </c>
      <c r="BP5" s="8" t="s">
        <v>10</v>
      </c>
      <c r="BQ5" s="50">
        <v>1</v>
      </c>
      <c r="BR5" s="24" t="s">
        <v>15</v>
      </c>
      <c r="BS5" s="25" t="s">
        <v>6</v>
      </c>
      <c r="BT5" s="82"/>
      <c r="BU5" s="27" t="s">
        <v>31</v>
      </c>
      <c r="BV5" s="28">
        <v>27560</v>
      </c>
      <c r="BW5" s="28">
        <v>738</v>
      </c>
      <c r="BX5" s="23">
        <v>20</v>
      </c>
      <c r="BY5" s="28" t="s">
        <v>10</v>
      </c>
      <c r="BZ5" s="29">
        <v>1</v>
      </c>
      <c r="CA5" s="24" t="s">
        <v>31</v>
      </c>
      <c r="CB5" s="25" t="s">
        <v>7</v>
      </c>
      <c r="CC5" s="86"/>
      <c r="CD5" s="7" t="s">
        <v>30</v>
      </c>
      <c r="CE5" s="8">
        <v>27460</v>
      </c>
      <c r="CF5" s="8">
        <v>728</v>
      </c>
      <c r="CG5" s="4">
        <v>20</v>
      </c>
      <c r="CH5" s="8" t="s">
        <v>10</v>
      </c>
      <c r="CI5" s="50">
        <v>100</v>
      </c>
      <c r="CJ5" s="24" t="s">
        <v>30</v>
      </c>
      <c r="CK5" s="25" t="s">
        <v>6</v>
      </c>
      <c r="CL5" s="82"/>
      <c r="CM5" s="27" t="s">
        <v>31</v>
      </c>
      <c r="CN5" s="28">
        <v>27560</v>
      </c>
      <c r="CO5" s="28">
        <v>738</v>
      </c>
      <c r="CP5" s="23">
        <v>20</v>
      </c>
      <c r="CQ5" s="28" t="s">
        <v>10</v>
      </c>
      <c r="CR5" s="29">
        <v>100</v>
      </c>
      <c r="CS5" s="24" t="s">
        <v>30</v>
      </c>
      <c r="CT5" s="25" t="s">
        <v>7</v>
      </c>
      <c r="CU5" s="86"/>
    </row>
    <row r="6" spans="1:99" ht="14.25">
      <c r="A6" s="83" t="s">
        <v>16</v>
      </c>
      <c r="B6" s="84"/>
      <c r="C6" s="6" t="s">
        <v>17</v>
      </c>
      <c r="D6" s="6" t="s">
        <v>33</v>
      </c>
      <c r="E6" s="83" t="s">
        <v>34</v>
      </c>
      <c r="F6" s="85"/>
      <c r="G6" s="84"/>
      <c r="H6" s="26" t="s">
        <v>5</v>
      </c>
      <c r="I6" s="2"/>
      <c r="J6" s="83" t="s">
        <v>16</v>
      </c>
      <c r="K6" s="84"/>
      <c r="L6" s="6" t="s">
        <v>17</v>
      </c>
      <c r="M6" s="6" t="s">
        <v>33</v>
      </c>
      <c r="N6" s="83" t="s">
        <v>34</v>
      </c>
      <c r="O6" s="85"/>
      <c r="P6" s="84"/>
      <c r="Q6" s="26" t="s">
        <v>5</v>
      </c>
      <c r="R6" s="2"/>
      <c r="S6" s="83" t="s">
        <v>16</v>
      </c>
      <c r="T6" s="84"/>
      <c r="U6" s="6" t="s">
        <v>17</v>
      </c>
      <c r="V6" s="6" t="s">
        <v>33</v>
      </c>
      <c r="W6" s="83" t="s">
        <v>34</v>
      </c>
      <c r="X6" s="85"/>
      <c r="Y6" s="84"/>
      <c r="Z6" s="26" t="s">
        <v>5</v>
      </c>
      <c r="AA6" s="2"/>
      <c r="AB6" s="83" t="s">
        <v>16</v>
      </c>
      <c r="AC6" s="84"/>
      <c r="AD6" s="18" t="s">
        <v>17</v>
      </c>
      <c r="AE6" s="18" t="s">
        <v>33</v>
      </c>
      <c r="AF6" s="83" t="s">
        <v>34</v>
      </c>
      <c r="AG6" s="85"/>
      <c r="AH6" s="84"/>
      <c r="AI6" s="26" t="s">
        <v>5</v>
      </c>
      <c r="AJ6" s="19"/>
      <c r="AK6" s="83" t="s">
        <v>16</v>
      </c>
      <c r="AL6" s="84"/>
      <c r="AM6" s="18" t="s">
        <v>17</v>
      </c>
      <c r="AN6" s="18" t="s">
        <v>33</v>
      </c>
      <c r="AO6" s="83" t="s">
        <v>34</v>
      </c>
      <c r="AP6" s="85"/>
      <c r="AQ6" s="84"/>
      <c r="AR6" s="26" t="s">
        <v>5</v>
      </c>
      <c r="AS6" s="19"/>
      <c r="AT6" s="83" t="s">
        <v>16</v>
      </c>
      <c r="AU6" s="84"/>
      <c r="AV6" s="18" t="s">
        <v>17</v>
      </c>
      <c r="AW6" s="18" t="s">
        <v>33</v>
      </c>
      <c r="AX6" s="83" t="s">
        <v>34</v>
      </c>
      <c r="AY6" s="85"/>
      <c r="AZ6" s="84"/>
      <c r="BA6" s="26" t="s">
        <v>5</v>
      </c>
      <c r="BB6" s="19"/>
      <c r="BC6" s="83" t="s">
        <v>16</v>
      </c>
      <c r="BD6" s="84"/>
      <c r="BE6" s="18" t="s">
        <v>17</v>
      </c>
      <c r="BF6" s="18" t="s">
        <v>33</v>
      </c>
      <c r="BG6" s="83" t="s">
        <v>34</v>
      </c>
      <c r="BH6" s="85"/>
      <c r="BI6" s="84"/>
      <c r="BJ6" s="26" t="s">
        <v>5</v>
      </c>
      <c r="BK6" s="19"/>
      <c r="BL6" s="83" t="s">
        <v>16</v>
      </c>
      <c r="BM6" s="84"/>
      <c r="BN6" s="6" t="s">
        <v>17</v>
      </c>
      <c r="BO6" s="6" t="s">
        <v>33</v>
      </c>
      <c r="BP6" s="83" t="s">
        <v>34</v>
      </c>
      <c r="BQ6" s="85"/>
      <c r="BR6" s="84"/>
      <c r="BS6" s="26" t="s">
        <v>5</v>
      </c>
      <c r="BT6" s="2"/>
      <c r="BU6" s="83" t="s">
        <v>16</v>
      </c>
      <c r="BV6" s="84"/>
      <c r="BW6" s="18" t="s">
        <v>17</v>
      </c>
      <c r="BX6" s="18" t="s">
        <v>33</v>
      </c>
      <c r="BY6" s="83" t="s">
        <v>34</v>
      </c>
      <c r="BZ6" s="85"/>
      <c r="CA6" s="84"/>
      <c r="CB6" s="26" t="s">
        <v>5</v>
      </c>
      <c r="CC6" s="19"/>
      <c r="CD6" s="83" t="s">
        <v>16</v>
      </c>
      <c r="CE6" s="84"/>
      <c r="CF6" s="6" t="s">
        <v>17</v>
      </c>
      <c r="CG6" s="6" t="s">
        <v>33</v>
      </c>
      <c r="CH6" s="83" t="s">
        <v>34</v>
      </c>
      <c r="CI6" s="85"/>
      <c r="CJ6" s="84"/>
      <c r="CK6" s="26" t="s">
        <v>5</v>
      </c>
      <c r="CL6" s="2"/>
      <c r="CM6" s="83" t="s">
        <v>16</v>
      </c>
      <c r="CN6" s="84"/>
      <c r="CO6" s="18" t="s">
        <v>17</v>
      </c>
      <c r="CP6" s="18" t="s">
        <v>33</v>
      </c>
      <c r="CQ6" s="83" t="s">
        <v>34</v>
      </c>
      <c r="CR6" s="85"/>
      <c r="CS6" s="84"/>
      <c r="CT6" s="26" t="s">
        <v>5</v>
      </c>
      <c r="CU6" s="19"/>
    </row>
    <row r="7" spans="1:99" ht="15">
      <c r="A7" s="54">
        <f>((C5-INT((D5*5)/2)*0.18)-0.2)*2</f>
        <v>1436.08</v>
      </c>
      <c r="B7" s="54">
        <f>((C5-INT((D5*5)/2)*0.18)+0.2)*2</f>
        <v>1436.88</v>
      </c>
      <c r="C7" s="10" t="s">
        <v>9</v>
      </c>
      <c r="D7" s="10" t="s">
        <v>9</v>
      </c>
      <c r="E7" s="87" t="s">
        <v>35</v>
      </c>
      <c r="F7" s="88"/>
      <c r="G7" s="89"/>
      <c r="H7" s="75"/>
      <c r="I7" s="55" t="s">
        <v>36</v>
      </c>
      <c r="J7" s="54">
        <f>((L5+INT((M5*5)/2)*0.18)-0.2)*2</f>
        <v>1495.12</v>
      </c>
      <c r="K7" s="54">
        <f>((L5+INT((M5*5)/2)*0.18)+0.2)*2</f>
        <v>1495.92</v>
      </c>
      <c r="L7" s="10" t="s">
        <v>9</v>
      </c>
      <c r="M7" s="10" t="s">
        <v>9</v>
      </c>
      <c r="N7" s="87" t="s">
        <v>35</v>
      </c>
      <c r="O7" s="88"/>
      <c r="P7" s="89"/>
      <c r="Q7" s="75"/>
      <c r="R7" s="55" t="s">
        <v>36</v>
      </c>
      <c r="S7" s="54">
        <f>((U5-INT((V5*5)/2)*0.18)-0.2)*2</f>
        <v>1436.28</v>
      </c>
      <c r="T7" s="54">
        <f>((U5-INT((V5*5)/2)*0.18)+0.2)*2</f>
        <v>1437.0800000000002</v>
      </c>
      <c r="U7" s="10" t="s">
        <v>9</v>
      </c>
      <c r="V7" s="10" t="s">
        <v>9</v>
      </c>
      <c r="W7" s="87" t="s">
        <v>35</v>
      </c>
      <c r="X7" s="88"/>
      <c r="Y7" s="89"/>
      <c r="Z7" s="75"/>
      <c r="AA7" s="55" t="s">
        <v>36</v>
      </c>
      <c r="AB7" s="54">
        <f>((AD5-INT((AE5*5)/2)*0.18)-0.2)*2</f>
        <v>1461.28</v>
      </c>
      <c r="AC7" s="54">
        <f>((AD5-INT((AE5*5)/2)*0.18)+0.2)*2</f>
        <v>1462.0800000000002</v>
      </c>
      <c r="AD7" s="10" t="s">
        <v>9</v>
      </c>
      <c r="AE7" s="10" t="s">
        <v>9</v>
      </c>
      <c r="AF7" s="87" t="s">
        <v>35</v>
      </c>
      <c r="AG7" s="88"/>
      <c r="AH7" s="89"/>
      <c r="AI7" s="75"/>
      <c r="AJ7" s="55" t="s">
        <v>36</v>
      </c>
      <c r="AK7" s="54">
        <f>((AM5+INT((AN5*5)/2)*0.18)-0.2)*2</f>
        <v>1494.9199999999998</v>
      </c>
      <c r="AL7" s="54">
        <f>((AM5+INT((AN5*5)/2)*0.18)+0.2)*2</f>
        <v>1495.72</v>
      </c>
      <c r="AM7" s="10" t="s">
        <v>9</v>
      </c>
      <c r="AN7" s="10" t="s">
        <v>9</v>
      </c>
      <c r="AO7" s="87" t="s">
        <v>35</v>
      </c>
      <c r="AP7" s="88"/>
      <c r="AQ7" s="89"/>
      <c r="AR7" s="75"/>
      <c r="AS7" s="55" t="s">
        <v>36</v>
      </c>
      <c r="AT7" s="54">
        <f>(AV5-AW5/2)*2</f>
        <v>1436</v>
      </c>
      <c r="AU7" s="54">
        <f>(AV5+AW5/2)*2</f>
        <v>1446</v>
      </c>
      <c r="AV7" s="10" t="s">
        <v>9</v>
      </c>
      <c r="AW7" s="10" t="s">
        <v>9</v>
      </c>
      <c r="AX7" s="87" t="s">
        <v>35</v>
      </c>
      <c r="AY7" s="88"/>
      <c r="AZ7" s="89"/>
      <c r="BA7" s="75"/>
      <c r="BB7" s="55" t="s">
        <v>36</v>
      </c>
      <c r="BC7" s="54">
        <f>(BE5-BF5/2)*2</f>
        <v>1486</v>
      </c>
      <c r="BD7" s="54">
        <f>(BE5+BF5/2)*2</f>
        <v>1496</v>
      </c>
      <c r="BE7" s="10" t="s">
        <v>9</v>
      </c>
      <c r="BF7" s="10" t="s">
        <v>9</v>
      </c>
      <c r="BG7" s="87" t="s">
        <v>35</v>
      </c>
      <c r="BH7" s="88"/>
      <c r="BI7" s="89"/>
      <c r="BJ7" s="75"/>
      <c r="BK7" s="55" t="s">
        <v>36</v>
      </c>
      <c r="BL7" s="54">
        <f>((BN5-(INT((BO5*5)/2)-0.5)*0.18)-0.2)*2</f>
        <v>1437.78</v>
      </c>
      <c r="BM7" s="54">
        <f>((BN5-(INT((BO5*5)/2)-0.5)*0.18)+0.2)*2</f>
        <v>1438.5800000000002</v>
      </c>
      <c r="BN7" s="10" t="s">
        <v>9</v>
      </c>
      <c r="BO7" s="10" t="s">
        <v>9</v>
      </c>
      <c r="BP7" s="87" t="s">
        <v>35</v>
      </c>
      <c r="BQ7" s="88"/>
      <c r="BR7" s="89"/>
      <c r="BS7" s="75"/>
      <c r="BT7" s="55" t="s">
        <v>36</v>
      </c>
      <c r="BU7" s="54">
        <f>((BW5+(INT((BX5*5)/2)-0.5)*0.18)-0.2)*2</f>
        <v>1493.4199999999998</v>
      </c>
      <c r="BV7" s="54">
        <f>((BW5+(INT((BX5*5)/2)-0.5)*0.18)+0.2)*2</f>
        <v>1494.22</v>
      </c>
      <c r="BW7" s="10" t="s">
        <v>9</v>
      </c>
      <c r="BX7" s="10" t="s">
        <v>9</v>
      </c>
      <c r="BY7" s="87" t="s">
        <v>35</v>
      </c>
      <c r="BZ7" s="88"/>
      <c r="CA7" s="89"/>
      <c r="CB7" s="75"/>
      <c r="CC7" s="55" t="s">
        <v>36</v>
      </c>
      <c r="CD7" s="54">
        <f>(CF5-CG5/2)*2</f>
        <v>1436</v>
      </c>
      <c r="CE7" s="54">
        <f>(CF5+CG5/2)*2</f>
        <v>1476</v>
      </c>
      <c r="CF7" s="10" t="s">
        <v>9</v>
      </c>
      <c r="CG7" s="10" t="s">
        <v>9</v>
      </c>
      <c r="CH7" s="87" t="s">
        <v>35</v>
      </c>
      <c r="CI7" s="88"/>
      <c r="CJ7" s="89"/>
      <c r="CK7" s="75"/>
      <c r="CL7" s="55" t="s">
        <v>36</v>
      </c>
      <c r="CM7" s="54">
        <f>(CO5-CP5/2)*2</f>
        <v>1456</v>
      </c>
      <c r="CN7" s="54">
        <f>(CO5+CP5/2)*2</f>
        <v>1496</v>
      </c>
      <c r="CO7" s="10" t="s">
        <v>9</v>
      </c>
      <c r="CP7" s="10" t="s">
        <v>9</v>
      </c>
      <c r="CQ7" s="87" t="s">
        <v>35</v>
      </c>
      <c r="CR7" s="88"/>
      <c r="CS7" s="89"/>
      <c r="CT7" s="75"/>
      <c r="CU7" s="55" t="s">
        <v>36</v>
      </c>
    </row>
    <row r="8" spans="1:99" ht="15">
      <c r="A8" s="54">
        <f>((C5-INT((D5*5)/2)*0.18)-0.2)*3</f>
        <v>2154.12</v>
      </c>
      <c r="B8" s="54">
        <f>((C5-INT((D5*5)/2)*0.18)+0.2)*3</f>
        <v>2155.3200000000002</v>
      </c>
      <c r="C8" s="10" t="s">
        <v>9</v>
      </c>
      <c r="D8" s="10" t="s">
        <v>9</v>
      </c>
      <c r="E8" s="87" t="s">
        <v>35</v>
      </c>
      <c r="F8" s="88"/>
      <c r="G8" s="89"/>
      <c r="H8" s="75"/>
      <c r="I8" s="55" t="s">
        <v>37</v>
      </c>
      <c r="J8" s="54">
        <f>((L5+INT((M5*5)/2)*0.18)-0.2)*3</f>
        <v>2242.6799999999998</v>
      </c>
      <c r="K8" s="54">
        <f>((L5+INT((M5*5)/2)*0.18)+0.2)*3</f>
        <v>2243.88</v>
      </c>
      <c r="L8" s="10" t="s">
        <v>9</v>
      </c>
      <c r="M8" s="10" t="s">
        <v>9</v>
      </c>
      <c r="N8" s="87" t="s">
        <v>35</v>
      </c>
      <c r="O8" s="88"/>
      <c r="P8" s="89"/>
      <c r="Q8" s="75"/>
      <c r="R8" s="55" t="s">
        <v>37</v>
      </c>
      <c r="S8" s="54">
        <f>((U5-INT((V5*5)/2)*0.18)-0.2)*3</f>
        <v>2154.42</v>
      </c>
      <c r="T8" s="54">
        <f>((U5-INT((V5*5)/2)*0.18)+0.2)*3</f>
        <v>2155.6200000000003</v>
      </c>
      <c r="U8" s="10" t="s">
        <v>9</v>
      </c>
      <c r="V8" s="10" t="s">
        <v>9</v>
      </c>
      <c r="W8" s="87" t="s">
        <v>35</v>
      </c>
      <c r="X8" s="88"/>
      <c r="Y8" s="89"/>
      <c r="Z8" s="75"/>
      <c r="AA8" s="55" t="s">
        <v>37</v>
      </c>
      <c r="AB8" s="54">
        <f>((AD5-INT((AE5*5)/2)*0.18)-0.2)*3</f>
        <v>2191.92</v>
      </c>
      <c r="AC8" s="54">
        <f>((AD5-INT((AE5*5)/2)*0.18)+0.2)*3</f>
        <v>2193.1200000000003</v>
      </c>
      <c r="AD8" s="10" t="s">
        <v>9</v>
      </c>
      <c r="AE8" s="10" t="s">
        <v>9</v>
      </c>
      <c r="AF8" s="87" t="s">
        <v>35</v>
      </c>
      <c r="AG8" s="88"/>
      <c r="AH8" s="89"/>
      <c r="AI8" s="75"/>
      <c r="AJ8" s="55" t="s">
        <v>37</v>
      </c>
      <c r="AK8" s="54">
        <f>((AM5+INT((AN5*5)/2)*0.18)-0.2)*3</f>
        <v>2242.3799999999997</v>
      </c>
      <c r="AL8" s="54">
        <f>((AM5+INT((AN5*5)/2)*0.18)+0.2)*3</f>
        <v>2243.58</v>
      </c>
      <c r="AM8" s="10" t="s">
        <v>9</v>
      </c>
      <c r="AN8" s="10" t="s">
        <v>9</v>
      </c>
      <c r="AO8" s="87" t="s">
        <v>35</v>
      </c>
      <c r="AP8" s="88"/>
      <c r="AQ8" s="89"/>
      <c r="AR8" s="75"/>
      <c r="AS8" s="55" t="s">
        <v>37</v>
      </c>
      <c r="AT8" s="54">
        <f>(AV5-AW5/2)*3</f>
        <v>2154</v>
      </c>
      <c r="AU8" s="54">
        <f>(AV5+AW5/2)*3</f>
        <v>2169</v>
      </c>
      <c r="AV8" s="10" t="s">
        <v>9</v>
      </c>
      <c r="AW8" s="10" t="s">
        <v>9</v>
      </c>
      <c r="AX8" s="87" t="s">
        <v>35</v>
      </c>
      <c r="AY8" s="88"/>
      <c r="AZ8" s="89"/>
      <c r="BA8" s="75"/>
      <c r="BB8" s="55" t="s">
        <v>37</v>
      </c>
      <c r="BC8" s="54">
        <f>(BE5-BF5/2)*3</f>
        <v>2229</v>
      </c>
      <c r="BD8" s="54">
        <f>(BE5+BF5/2)*3</f>
        <v>2244</v>
      </c>
      <c r="BE8" s="10" t="s">
        <v>9</v>
      </c>
      <c r="BF8" s="10" t="s">
        <v>9</v>
      </c>
      <c r="BG8" s="87" t="s">
        <v>35</v>
      </c>
      <c r="BH8" s="88"/>
      <c r="BI8" s="89"/>
      <c r="BJ8" s="75"/>
      <c r="BK8" s="55" t="s">
        <v>37</v>
      </c>
      <c r="BL8" s="54">
        <f>((BN5-(INT((BO5*5)/2)-0.5)*0.18)-0.2)*3</f>
        <v>2156.67</v>
      </c>
      <c r="BM8" s="54">
        <f>((BN5-(INT((BO5*5)/2)-0.5)*0.18)+0.2)*3</f>
        <v>2157.8700000000003</v>
      </c>
      <c r="BN8" s="10" t="s">
        <v>9</v>
      </c>
      <c r="BO8" s="10" t="s">
        <v>9</v>
      </c>
      <c r="BP8" s="87" t="s">
        <v>35</v>
      </c>
      <c r="BQ8" s="88"/>
      <c r="BR8" s="89"/>
      <c r="BS8" s="75"/>
      <c r="BT8" s="55" t="s">
        <v>37</v>
      </c>
      <c r="BU8" s="54">
        <f>((BW5+(INT((BX5*5)/2)-0.5)*0.18)-0.2)*3</f>
        <v>2240.1299999999997</v>
      </c>
      <c r="BV8" s="54">
        <f>((BW5+(INT((BX5*5)/2)-0.5)*0.18)+0.2)*3</f>
        <v>2241.33</v>
      </c>
      <c r="BW8" s="10" t="s">
        <v>9</v>
      </c>
      <c r="BX8" s="10" t="s">
        <v>9</v>
      </c>
      <c r="BY8" s="87" t="s">
        <v>35</v>
      </c>
      <c r="BZ8" s="88"/>
      <c r="CA8" s="89"/>
      <c r="CB8" s="75"/>
      <c r="CC8" s="55" t="s">
        <v>37</v>
      </c>
      <c r="CD8" s="54">
        <f>(CF5-CG5/2)*3</f>
        <v>2154</v>
      </c>
      <c r="CE8" s="54">
        <f>(CF5+CG5/2)*3</f>
        <v>2214</v>
      </c>
      <c r="CF8" s="10" t="s">
        <v>9</v>
      </c>
      <c r="CG8" s="10" t="s">
        <v>9</v>
      </c>
      <c r="CH8" s="87" t="s">
        <v>35</v>
      </c>
      <c r="CI8" s="88"/>
      <c r="CJ8" s="89"/>
      <c r="CK8" s="75"/>
      <c r="CL8" s="55" t="s">
        <v>37</v>
      </c>
      <c r="CM8" s="54">
        <f>(CO5-CP5/2)*3</f>
        <v>2184</v>
      </c>
      <c r="CN8" s="54">
        <f>(CO5+CP5/2)*3</f>
        <v>2244</v>
      </c>
      <c r="CO8" s="10" t="s">
        <v>9</v>
      </c>
      <c r="CP8" s="10" t="s">
        <v>9</v>
      </c>
      <c r="CQ8" s="87" t="s">
        <v>35</v>
      </c>
      <c r="CR8" s="88"/>
      <c r="CS8" s="89"/>
      <c r="CT8" s="75"/>
      <c r="CU8" s="55" t="s">
        <v>37</v>
      </c>
    </row>
    <row r="9" spans="1:99" ht="15">
      <c r="A9" s="54">
        <f>((C5-INT((D5*5)/2)*0.18)-0.2)*4</f>
        <v>2872.16</v>
      </c>
      <c r="B9" s="54">
        <f>((C5-INT((D5*5)/2)*0.18)+0.2)*4</f>
        <v>2873.76</v>
      </c>
      <c r="C9" s="10" t="s">
        <v>9</v>
      </c>
      <c r="D9" s="10" t="s">
        <v>9</v>
      </c>
      <c r="E9" s="90" t="s">
        <v>35</v>
      </c>
      <c r="F9" s="90"/>
      <c r="G9" s="90"/>
      <c r="H9" s="75"/>
      <c r="I9" s="55" t="s">
        <v>38</v>
      </c>
      <c r="J9" s="54">
        <f>((L5+INT((M5*5)/2)*0.18)-0.2)*4</f>
        <v>2990.24</v>
      </c>
      <c r="K9" s="54">
        <f>((L5+INT((M5*5)/2)*0.18)+0.2)*4</f>
        <v>2991.84</v>
      </c>
      <c r="L9" s="10" t="s">
        <v>9</v>
      </c>
      <c r="M9" s="10" t="s">
        <v>9</v>
      </c>
      <c r="N9" s="90" t="s">
        <v>35</v>
      </c>
      <c r="O9" s="90"/>
      <c r="P9" s="90"/>
      <c r="Q9" s="75"/>
      <c r="R9" s="55" t="s">
        <v>38</v>
      </c>
      <c r="S9" s="54">
        <f>((U5-INT((V5*5)/2)*0.18)-0.2)*4</f>
        <v>2872.56</v>
      </c>
      <c r="T9" s="54">
        <f>((U5-INT((V5*5)/2)*0.18)+0.2)*4</f>
        <v>2874.1600000000003</v>
      </c>
      <c r="U9" s="10" t="s">
        <v>9</v>
      </c>
      <c r="V9" s="10" t="s">
        <v>9</v>
      </c>
      <c r="W9" s="90" t="s">
        <v>35</v>
      </c>
      <c r="X9" s="90"/>
      <c r="Y9" s="90"/>
      <c r="Z9" s="75"/>
      <c r="AA9" s="55" t="s">
        <v>38</v>
      </c>
      <c r="AB9" s="54">
        <f>((AD5-INT((AE5*5)/2)*0.18)-0.2)*4</f>
        <v>2922.56</v>
      </c>
      <c r="AC9" s="54">
        <f>((AD5-INT((AE5*5)/2)*0.18)+0.2)*4</f>
        <v>2924.1600000000003</v>
      </c>
      <c r="AD9" s="10" t="s">
        <v>9</v>
      </c>
      <c r="AE9" s="10" t="s">
        <v>9</v>
      </c>
      <c r="AF9" s="87" t="s">
        <v>35</v>
      </c>
      <c r="AG9" s="88"/>
      <c r="AH9" s="89"/>
      <c r="AI9" s="75"/>
      <c r="AJ9" s="55" t="s">
        <v>38</v>
      </c>
      <c r="AK9" s="54">
        <f>((AM5+INT((AN5*5)/2)*0.18)-0.2)*4</f>
        <v>2989.8399999999997</v>
      </c>
      <c r="AL9" s="54">
        <f>((AM5+INT((AN5*5)/2)*0.18)+0.2)*4</f>
        <v>2991.44</v>
      </c>
      <c r="AM9" s="10" t="s">
        <v>9</v>
      </c>
      <c r="AN9" s="10" t="s">
        <v>9</v>
      </c>
      <c r="AO9" s="90" t="s">
        <v>35</v>
      </c>
      <c r="AP9" s="90"/>
      <c r="AQ9" s="90"/>
      <c r="AR9" s="75"/>
      <c r="AS9" s="55" t="s">
        <v>38</v>
      </c>
      <c r="AT9" s="54">
        <f>(AV5-AW5/2)*4</f>
        <v>2872</v>
      </c>
      <c r="AU9" s="54">
        <f>(AV5+AW5/2)*4</f>
        <v>2892</v>
      </c>
      <c r="AV9" s="10" t="s">
        <v>9</v>
      </c>
      <c r="AW9" s="10" t="s">
        <v>9</v>
      </c>
      <c r="AX9" s="90" t="s">
        <v>35</v>
      </c>
      <c r="AY9" s="90"/>
      <c r="AZ9" s="90"/>
      <c r="BA9" s="75"/>
      <c r="BB9" s="55" t="s">
        <v>38</v>
      </c>
      <c r="BC9" s="54">
        <f>(BE5-BF5/2)*4</f>
        <v>2972</v>
      </c>
      <c r="BD9" s="54">
        <f>(BE5+BF5/2)*4</f>
        <v>2992</v>
      </c>
      <c r="BE9" s="10" t="s">
        <v>9</v>
      </c>
      <c r="BF9" s="10" t="s">
        <v>9</v>
      </c>
      <c r="BG9" s="90" t="s">
        <v>35</v>
      </c>
      <c r="BH9" s="90"/>
      <c r="BI9" s="90"/>
      <c r="BJ9" s="75"/>
      <c r="BK9" s="55" t="s">
        <v>38</v>
      </c>
      <c r="BL9" s="54">
        <f>((BN5-(INT((BO5*5)/2)-0.5)*0.18)-0.2)*4</f>
        <v>2875.56</v>
      </c>
      <c r="BM9" s="54">
        <f>((BN5-(INT((BO5*5)/2)-0.5)*0.18)+0.2)*4</f>
        <v>2877.1600000000003</v>
      </c>
      <c r="BN9" s="10" t="s">
        <v>9</v>
      </c>
      <c r="BO9" s="10" t="s">
        <v>9</v>
      </c>
      <c r="BP9" s="90" t="s">
        <v>35</v>
      </c>
      <c r="BQ9" s="90"/>
      <c r="BR9" s="90"/>
      <c r="BS9" s="75"/>
      <c r="BT9" s="55" t="s">
        <v>38</v>
      </c>
      <c r="BU9" s="54">
        <f>((BW5+(INT((BX5*5)/2)-0.5)*0.18)-0.2)*4</f>
        <v>2986.8399999999997</v>
      </c>
      <c r="BV9" s="54">
        <f>((BW5+(INT((BX5*5)/2)-0.5)*0.18)+0.2)*4</f>
        <v>2988.44</v>
      </c>
      <c r="BW9" s="10" t="s">
        <v>9</v>
      </c>
      <c r="BX9" s="10" t="s">
        <v>9</v>
      </c>
      <c r="BY9" s="90" t="s">
        <v>35</v>
      </c>
      <c r="BZ9" s="90"/>
      <c r="CA9" s="90"/>
      <c r="CB9" s="75"/>
      <c r="CC9" s="55" t="s">
        <v>38</v>
      </c>
      <c r="CD9" s="54">
        <f>(CF5-CG5/2)*4</f>
        <v>2872</v>
      </c>
      <c r="CE9" s="54">
        <f>(CF5+CG5/2)*4</f>
        <v>2952</v>
      </c>
      <c r="CF9" s="10" t="s">
        <v>9</v>
      </c>
      <c r="CG9" s="10" t="s">
        <v>9</v>
      </c>
      <c r="CH9" s="90" t="s">
        <v>35</v>
      </c>
      <c r="CI9" s="90"/>
      <c r="CJ9" s="90"/>
      <c r="CK9" s="75"/>
      <c r="CL9" s="55" t="s">
        <v>38</v>
      </c>
      <c r="CM9" s="54">
        <f>(CO5-CP5/2)*4</f>
        <v>2912</v>
      </c>
      <c r="CN9" s="54">
        <f>(CO5+CP5/2)*4</f>
        <v>2992</v>
      </c>
      <c r="CO9" s="10" t="s">
        <v>9</v>
      </c>
      <c r="CP9" s="10" t="s">
        <v>9</v>
      </c>
      <c r="CQ9" s="90" t="s">
        <v>35</v>
      </c>
      <c r="CR9" s="90"/>
      <c r="CS9" s="90"/>
      <c r="CT9" s="75"/>
      <c r="CU9" s="55" t="s">
        <v>38</v>
      </c>
    </row>
    <row r="10" spans="1:99" ht="15">
      <c r="A10" s="54">
        <f>((C5-INT((D5*5)/2)*0.18)-0.2)*5</f>
        <v>3590.2</v>
      </c>
      <c r="B10" s="54">
        <f>((C5-INT((D5*5)/2)*0.18)+0.2)*5</f>
        <v>3592.2000000000003</v>
      </c>
      <c r="C10" s="10" t="s">
        <v>9</v>
      </c>
      <c r="D10" s="10" t="s">
        <v>9</v>
      </c>
      <c r="E10" s="90" t="s">
        <v>35</v>
      </c>
      <c r="F10" s="90"/>
      <c r="G10" s="90"/>
      <c r="H10" s="75"/>
      <c r="I10" s="55" t="s">
        <v>40</v>
      </c>
      <c r="J10" s="54">
        <f>((L5+INT((M5*5)/2)*0.18)-0.2)*5</f>
        <v>3737.7999999999997</v>
      </c>
      <c r="K10" s="54">
        <f>((L5+INT((M5*5)/2)*0.18)+0.2)*5</f>
        <v>3739.8</v>
      </c>
      <c r="L10" s="10" t="s">
        <v>9</v>
      </c>
      <c r="M10" s="10" t="s">
        <v>9</v>
      </c>
      <c r="N10" s="90" t="s">
        <v>35</v>
      </c>
      <c r="O10" s="90"/>
      <c r="P10" s="90"/>
      <c r="Q10" s="75"/>
      <c r="R10" s="55" t="s">
        <v>40</v>
      </c>
      <c r="S10" s="54">
        <f>((U5-INT((V5*5)/2)*0.18)-0.2)*5</f>
        <v>3590.7</v>
      </c>
      <c r="T10" s="54">
        <f>((U5-INT((V5*5)/2)*0.18)+0.2)*5</f>
        <v>3592.7000000000003</v>
      </c>
      <c r="U10" s="10" t="s">
        <v>9</v>
      </c>
      <c r="V10" s="10" t="s">
        <v>9</v>
      </c>
      <c r="W10" s="90" t="s">
        <v>35</v>
      </c>
      <c r="X10" s="90"/>
      <c r="Y10" s="90"/>
      <c r="Z10" s="75"/>
      <c r="AA10" s="55" t="s">
        <v>40</v>
      </c>
      <c r="AB10" s="54">
        <f>((AD5-INT((AE5*5)/2)*0.18)-0.2)*5</f>
        <v>3653.2</v>
      </c>
      <c r="AC10" s="54">
        <f>((AD5-INT((AE5*5)/2)*0.18)+0.2)*5</f>
        <v>3655.2000000000003</v>
      </c>
      <c r="AD10" s="10" t="s">
        <v>9</v>
      </c>
      <c r="AE10" s="10" t="s">
        <v>9</v>
      </c>
      <c r="AF10" s="87" t="s">
        <v>35</v>
      </c>
      <c r="AG10" s="88"/>
      <c r="AH10" s="89"/>
      <c r="AI10" s="75"/>
      <c r="AJ10" s="55" t="s">
        <v>40</v>
      </c>
      <c r="AK10" s="54">
        <f>((AM5+INT((AN5*5)/2)*0.18)-0.2)*5</f>
        <v>3737.2999999999997</v>
      </c>
      <c r="AL10" s="54">
        <f>((AM5+INT((AN5*5)/2)*0.18)+0.2)*5</f>
        <v>3739.3</v>
      </c>
      <c r="AM10" s="10" t="s">
        <v>9</v>
      </c>
      <c r="AN10" s="10" t="s">
        <v>9</v>
      </c>
      <c r="AO10" s="90" t="s">
        <v>35</v>
      </c>
      <c r="AP10" s="90"/>
      <c r="AQ10" s="90"/>
      <c r="AR10" s="75"/>
      <c r="AS10" s="55" t="s">
        <v>40</v>
      </c>
      <c r="AT10" s="54">
        <f>(AV5-AW5/2)*5</f>
        <v>3590</v>
      </c>
      <c r="AU10" s="54">
        <f>(AV5+AW5/2)*5</f>
        <v>3615</v>
      </c>
      <c r="AV10" s="10" t="s">
        <v>9</v>
      </c>
      <c r="AW10" s="10" t="s">
        <v>9</v>
      </c>
      <c r="AX10" s="90" t="s">
        <v>35</v>
      </c>
      <c r="AY10" s="90"/>
      <c r="AZ10" s="90"/>
      <c r="BA10" s="75"/>
      <c r="BB10" s="55" t="s">
        <v>40</v>
      </c>
      <c r="BC10" s="54">
        <f>(BE5-BF5/2)*5</f>
        <v>3715</v>
      </c>
      <c r="BD10" s="54">
        <f>(BE5+BF5/2)*5</f>
        <v>3740</v>
      </c>
      <c r="BE10" s="10" t="s">
        <v>9</v>
      </c>
      <c r="BF10" s="10" t="s">
        <v>9</v>
      </c>
      <c r="BG10" s="90" t="s">
        <v>35</v>
      </c>
      <c r="BH10" s="90"/>
      <c r="BI10" s="90"/>
      <c r="BJ10" s="75"/>
      <c r="BK10" s="55" t="s">
        <v>40</v>
      </c>
      <c r="BL10" s="54">
        <f>((BN5-(INT((BO5*5)/2)-0.5)*0.18)-0.2)*5</f>
        <v>3594.45</v>
      </c>
      <c r="BM10" s="54">
        <f>((BN5-(INT((BO5*5)/2)-0.5)*0.18)+0.2)*5</f>
        <v>3596.4500000000003</v>
      </c>
      <c r="BN10" s="10" t="s">
        <v>9</v>
      </c>
      <c r="BO10" s="10" t="s">
        <v>9</v>
      </c>
      <c r="BP10" s="90" t="s">
        <v>35</v>
      </c>
      <c r="BQ10" s="90"/>
      <c r="BR10" s="90"/>
      <c r="BS10" s="75"/>
      <c r="BT10" s="55" t="s">
        <v>40</v>
      </c>
      <c r="BU10" s="54">
        <f>((BW5+(INT((BX5*5)/2)-0.5)*0.18)-0.2)*5</f>
        <v>3733.5499999999997</v>
      </c>
      <c r="BV10" s="54">
        <f>((BW5+(INT((BX5*5)/2)-0.5)*0.18)+0.2)*5</f>
        <v>3735.55</v>
      </c>
      <c r="BW10" s="10" t="s">
        <v>9</v>
      </c>
      <c r="BX10" s="10" t="s">
        <v>9</v>
      </c>
      <c r="BY10" s="90" t="s">
        <v>35</v>
      </c>
      <c r="BZ10" s="90"/>
      <c r="CA10" s="90"/>
      <c r="CB10" s="75"/>
      <c r="CC10" s="55" t="s">
        <v>40</v>
      </c>
      <c r="CD10" s="54">
        <f>(CF5-CG5/2)*5</f>
        <v>3590</v>
      </c>
      <c r="CE10" s="54">
        <f>(CF5+CG5/2)*5</f>
        <v>3690</v>
      </c>
      <c r="CF10" s="10" t="s">
        <v>9</v>
      </c>
      <c r="CG10" s="10" t="s">
        <v>9</v>
      </c>
      <c r="CH10" s="90" t="s">
        <v>35</v>
      </c>
      <c r="CI10" s="90"/>
      <c r="CJ10" s="90"/>
      <c r="CK10" s="75"/>
      <c r="CL10" s="55" t="s">
        <v>40</v>
      </c>
      <c r="CM10" s="54">
        <f>(CO5-CP5/2)*5</f>
        <v>3640</v>
      </c>
      <c r="CN10" s="54">
        <f>(CO5+CP5/2)*5</f>
        <v>3740</v>
      </c>
      <c r="CO10" s="10" t="s">
        <v>9</v>
      </c>
      <c r="CP10" s="10" t="s">
        <v>9</v>
      </c>
      <c r="CQ10" s="90" t="s">
        <v>35</v>
      </c>
      <c r="CR10" s="90"/>
      <c r="CS10" s="90"/>
      <c r="CT10" s="75"/>
      <c r="CU10" s="55" t="s">
        <v>40</v>
      </c>
    </row>
    <row r="11" spans="1:99" ht="15">
      <c r="A11" s="54">
        <f>((C5-INT((D5*5)/2)*0.18)-0.2)*6</f>
        <v>4308.24</v>
      </c>
      <c r="B11" s="54">
        <f>((C5-INT((D5*5)/2)*0.18)+0.2)*6</f>
        <v>4310.6400000000003</v>
      </c>
      <c r="C11" s="10" t="s">
        <v>9</v>
      </c>
      <c r="D11" s="10" t="s">
        <v>9</v>
      </c>
      <c r="E11" s="90" t="s">
        <v>35</v>
      </c>
      <c r="F11" s="90"/>
      <c r="G11" s="90"/>
      <c r="H11" s="75"/>
      <c r="I11" s="55" t="s">
        <v>41</v>
      </c>
      <c r="J11" s="54">
        <f>((L5+INT((M5*5)/2)*0.18)-0.2)*6</f>
        <v>4485.3599999999997</v>
      </c>
      <c r="K11" s="54">
        <f>((L5+INT((M5*5)/2)*0.18)+0.2)*6</f>
        <v>4487.76</v>
      </c>
      <c r="L11" s="10" t="s">
        <v>9</v>
      </c>
      <c r="M11" s="10" t="s">
        <v>9</v>
      </c>
      <c r="N11" s="90" t="s">
        <v>35</v>
      </c>
      <c r="O11" s="90"/>
      <c r="P11" s="90"/>
      <c r="Q11" s="75"/>
      <c r="R11" s="55" t="s">
        <v>41</v>
      </c>
      <c r="S11" s="54">
        <f>((U5-INT((V5*5)/2)*0.18)-0.2)*6</f>
        <v>4308.84</v>
      </c>
      <c r="T11" s="54">
        <f>((U5-INT((V5*5)/2)*0.18)+0.2)*6</f>
        <v>4311.2400000000007</v>
      </c>
      <c r="U11" s="10" t="s">
        <v>9</v>
      </c>
      <c r="V11" s="10" t="s">
        <v>9</v>
      </c>
      <c r="W11" s="90" t="s">
        <v>35</v>
      </c>
      <c r="X11" s="90"/>
      <c r="Y11" s="90"/>
      <c r="Z11" s="75"/>
      <c r="AA11" s="55" t="s">
        <v>41</v>
      </c>
      <c r="AB11" s="54">
        <f>((AD5-INT((AE5*5)/2)*0.18)-0.2)*6</f>
        <v>4383.84</v>
      </c>
      <c r="AC11" s="54">
        <f>((AD5-INT((AE5*5)/2)*0.18)+0.2)*6</f>
        <v>4386.2400000000007</v>
      </c>
      <c r="AD11" s="10" t="s">
        <v>9</v>
      </c>
      <c r="AE11" s="10" t="s">
        <v>9</v>
      </c>
      <c r="AF11" s="87" t="s">
        <v>35</v>
      </c>
      <c r="AG11" s="88"/>
      <c r="AH11" s="89"/>
      <c r="AI11" s="75"/>
      <c r="AJ11" s="55" t="s">
        <v>41</v>
      </c>
      <c r="AK11" s="54">
        <f>((AM5+INT((AN5*5)/2)*0.18)-0.2)*6</f>
        <v>4484.7599999999993</v>
      </c>
      <c r="AL11" s="54">
        <f>((AM5+INT((AN5*5)/2)*0.18)+0.2)*6</f>
        <v>4487.16</v>
      </c>
      <c r="AM11" s="10" t="s">
        <v>9</v>
      </c>
      <c r="AN11" s="10" t="s">
        <v>9</v>
      </c>
      <c r="AO11" s="90" t="s">
        <v>35</v>
      </c>
      <c r="AP11" s="90"/>
      <c r="AQ11" s="90"/>
      <c r="AR11" s="75"/>
      <c r="AS11" s="55" t="s">
        <v>41</v>
      </c>
      <c r="AT11" s="54">
        <f>(AV5-AW5/2)*6</f>
        <v>4308</v>
      </c>
      <c r="AU11" s="54">
        <f>(AV5+AW5/2)*6</f>
        <v>4338</v>
      </c>
      <c r="AV11" s="10" t="s">
        <v>9</v>
      </c>
      <c r="AW11" s="10" t="s">
        <v>9</v>
      </c>
      <c r="AX11" s="90" t="s">
        <v>35</v>
      </c>
      <c r="AY11" s="90"/>
      <c r="AZ11" s="90"/>
      <c r="BA11" s="75"/>
      <c r="BB11" s="55" t="s">
        <v>41</v>
      </c>
      <c r="BC11" s="54">
        <f>(BE5-BF5/2)*6</f>
        <v>4458</v>
      </c>
      <c r="BD11" s="54">
        <f>(BE5+BF5/2)*6</f>
        <v>4488</v>
      </c>
      <c r="BE11" s="10" t="s">
        <v>9</v>
      </c>
      <c r="BF11" s="10" t="s">
        <v>9</v>
      </c>
      <c r="BG11" s="90" t="s">
        <v>35</v>
      </c>
      <c r="BH11" s="90"/>
      <c r="BI11" s="90"/>
      <c r="BJ11" s="75"/>
      <c r="BK11" s="55" t="s">
        <v>41</v>
      </c>
      <c r="BL11" s="54">
        <f>((BN5-(INT((BO5*5)/2)-0.5)*0.18)-0.2)*6</f>
        <v>4313.34</v>
      </c>
      <c r="BM11" s="54">
        <f>((BN5-(INT((BO5*5)/2)-0.5)*0.18)+0.2)*6</f>
        <v>4315.7400000000007</v>
      </c>
      <c r="BN11" s="10" t="s">
        <v>9</v>
      </c>
      <c r="BO11" s="10" t="s">
        <v>9</v>
      </c>
      <c r="BP11" s="90" t="s">
        <v>35</v>
      </c>
      <c r="BQ11" s="90"/>
      <c r="BR11" s="90"/>
      <c r="BS11" s="75"/>
      <c r="BT11" s="55" t="s">
        <v>41</v>
      </c>
      <c r="BU11" s="54">
        <f>((BW5+(INT((BX5*5)/2)-0.5)*0.18)-0.2)*6</f>
        <v>4480.2599999999993</v>
      </c>
      <c r="BV11" s="54">
        <f>((BW5+(INT((BX5*5)/2)-0.5)*0.18)+0.2)*6</f>
        <v>4482.66</v>
      </c>
      <c r="BW11" s="10" t="s">
        <v>9</v>
      </c>
      <c r="BX11" s="10" t="s">
        <v>9</v>
      </c>
      <c r="BY11" s="90" t="s">
        <v>35</v>
      </c>
      <c r="BZ11" s="90"/>
      <c r="CA11" s="90"/>
      <c r="CB11" s="75"/>
      <c r="CC11" s="55" t="s">
        <v>41</v>
      </c>
      <c r="CD11" s="54">
        <f>(CF5-CG5/2)*6</f>
        <v>4308</v>
      </c>
      <c r="CE11" s="54">
        <f>(CF5+CG5/2)*6</f>
        <v>4428</v>
      </c>
      <c r="CF11" s="10" t="s">
        <v>9</v>
      </c>
      <c r="CG11" s="10" t="s">
        <v>9</v>
      </c>
      <c r="CH11" s="90" t="s">
        <v>35</v>
      </c>
      <c r="CI11" s="90"/>
      <c r="CJ11" s="90"/>
      <c r="CK11" s="75"/>
      <c r="CL11" s="55" t="s">
        <v>41</v>
      </c>
      <c r="CM11" s="54">
        <f>(CO5-CP5/2)*6</f>
        <v>4368</v>
      </c>
      <c r="CN11" s="54">
        <f>(CO5+CP5/2)*6</f>
        <v>4488</v>
      </c>
      <c r="CO11" s="10" t="s">
        <v>9</v>
      </c>
      <c r="CP11" s="10" t="s">
        <v>9</v>
      </c>
      <c r="CQ11" s="90" t="s">
        <v>35</v>
      </c>
      <c r="CR11" s="90"/>
      <c r="CS11" s="90"/>
      <c r="CT11" s="75"/>
      <c r="CU11" s="55" t="s">
        <v>41</v>
      </c>
    </row>
    <row r="12" spans="1:99" ht="15">
      <c r="A12" s="54">
        <f>((C5-INT((D5*5)/2)*0.18)-0.2)*7</f>
        <v>5026.28</v>
      </c>
      <c r="B12" s="54">
        <f>((C5-INT((D5*5)/2)*0.18)+0.2)*7</f>
        <v>5029.08</v>
      </c>
      <c r="C12" s="10" t="s">
        <v>9</v>
      </c>
      <c r="D12" s="10" t="s">
        <v>9</v>
      </c>
      <c r="E12" s="90" t="s">
        <v>35</v>
      </c>
      <c r="F12" s="90"/>
      <c r="G12" s="90"/>
      <c r="H12" s="75"/>
      <c r="I12" s="55" t="s">
        <v>65</v>
      </c>
      <c r="J12" s="54">
        <f>((L5+INT((M5*5)/2)*0.18)-0.2)*7</f>
        <v>5232.92</v>
      </c>
      <c r="K12" s="54">
        <f>((L5+INT((M5*5)/2)*0.18)+0.2)*7</f>
        <v>5235.72</v>
      </c>
      <c r="L12" s="10" t="s">
        <v>9</v>
      </c>
      <c r="M12" s="10" t="s">
        <v>9</v>
      </c>
      <c r="N12" s="90" t="s">
        <v>35</v>
      </c>
      <c r="O12" s="90"/>
      <c r="P12" s="90"/>
      <c r="Q12" s="75"/>
      <c r="R12" s="55" t="s">
        <v>65</v>
      </c>
      <c r="S12" s="54">
        <f>((U5-INT((V5*5)/2)*0.18)-0.2)*7</f>
        <v>5026.9799999999996</v>
      </c>
      <c r="T12" s="54">
        <f>((U5-INT((V5*5)/2)*0.18)+0.2)*7</f>
        <v>5029.7800000000007</v>
      </c>
      <c r="U12" s="10" t="s">
        <v>9</v>
      </c>
      <c r="V12" s="10" t="s">
        <v>9</v>
      </c>
      <c r="W12" s="90" t="s">
        <v>35</v>
      </c>
      <c r="X12" s="90"/>
      <c r="Y12" s="90"/>
      <c r="Z12" s="75"/>
      <c r="AA12" s="55" t="s">
        <v>65</v>
      </c>
      <c r="AB12" s="54">
        <f>((AD5-INT((AE5*5)/2)*0.18)-0.2)*7</f>
        <v>5114.4799999999996</v>
      </c>
      <c r="AC12" s="54">
        <f>((AD5-INT((AE5*5)/2)*0.18)+0.2)*7</f>
        <v>5117.2800000000007</v>
      </c>
      <c r="AD12" s="10" t="s">
        <v>9</v>
      </c>
      <c r="AE12" s="10" t="s">
        <v>9</v>
      </c>
      <c r="AF12" s="87" t="s">
        <v>35</v>
      </c>
      <c r="AG12" s="88"/>
      <c r="AH12" s="89"/>
      <c r="AI12" s="75"/>
      <c r="AJ12" s="55" t="s">
        <v>65</v>
      </c>
      <c r="AK12" s="54">
        <f>((AM5+INT((AN5*5)/2)*0.18)-0.2)*7</f>
        <v>5232.2199999999993</v>
      </c>
      <c r="AL12" s="54">
        <f>((AM5+INT((AN5*5)/2)*0.18)+0.2)*7</f>
        <v>5235.0200000000004</v>
      </c>
      <c r="AM12" s="10" t="s">
        <v>9</v>
      </c>
      <c r="AN12" s="10" t="s">
        <v>9</v>
      </c>
      <c r="AO12" s="90" t="s">
        <v>35</v>
      </c>
      <c r="AP12" s="90"/>
      <c r="AQ12" s="90"/>
      <c r="AR12" s="75"/>
      <c r="AS12" s="55" t="s">
        <v>65</v>
      </c>
      <c r="AT12" s="54">
        <f>(AV5-AW5/2)*7</f>
        <v>5026</v>
      </c>
      <c r="AU12" s="54">
        <f>(AV5+AW5/2)*7</f>
        <v>5061</v>
      </c>
      <c r="AV12" s="10" t="s">
        <v>9</v>
      </c>
      <c r="AW12" s="10" t="s">
        <v>9</v>
      </c>
      <c r="AX12" s="90" t="s">
        <v>35</v>
      </c>
      <c r="AY12" s="90"/>
      <c r="AZ12" s="90"/>
      <c r="BA12" s="75"/>
      <c r="BB12" s="55" t="s">
        <v>65</v>
      </c>
      <c r="BC12" s="54">
        <f>(BE5-BF5/2)*7</f>
        <v>5201</v>
      </c>
      <c r="BD12" s="54">
        <f>(BE5+BF5/2)*7</f>
        <v>5236</v>
      </c>
      <c r="BE12" s="10" t="s">
        <v>9</v>
      </c>
      <c r="BF12" s="10" t="s">
        <v>9</v>
      </c>
      <c r="BG12" s="90" t="s">
        <v>35</v>
      </c>
      <c r="BH12" s="90"/>
      <c r="BI12" s="90"/>
      <c r="BJ12" s="75"/>
      <c r="BK12" s="55" t="s">
        <v>65</v>
      </c>
      <c r="BL12" s="54">
        <f>((BN5-(INT((BO5*5)/2)-0.5)*0.18)-0.2)*7</f>
        <v>5032.2299999999996</v>
      </c>
      <c r="BM12" s="54">
        <f>((BN5-(INT((BO5*5)/2)-0.5)*0.18)+0.2)*7</f>
        <v>5035.0300000000007</v>
      </c>
      <c r="BN12" s="10" t="s">
        <v>9</v>
      </c>
      <c r="BO12" s="10" t="s">
        <v>9</v>
      </c>
      <c r="BP12" s="90" t="s">
        <v>35</v>
      </c>
      <c r="BQ12" s="90"/>
      <c r="BR12" s="90"/>
      <c r="BS12" s="75"/>
      <c r="BT12" s="55" t="s">
        <v>65</v>
      </c>
      <c r="BU12" s="54">
        <f>((BW5+(INT((BX5*5)/2)-0.5)*0.18)-0.2)*7</f>
        <v>5226.9699999999993</v>
      </c>
      <c r="BV12" s="54">
        <f>((BW5+(INT((BX5*5)/2)-0.5)*0.18)+0.2)*7</f>
        <v>5229.7700000000004</v>
      </c>
      <c r="BW12" s="10" t="s">
        <v>9</v>
      </c>
      <c r="BX12" s="10" t="s">
        <v>9</v>
      </c>
      <c r="BY12" s="90" t="s">
        <v>35</v>
      </c>
      <c r="BZ12" s="90"/>
      <c r="CA12" s="90"/>
      <c r="CB12" s="75"/>
      <c r="CC12" s="55" t="s">
        <v>65</v>
      </c>
      <c r="CD12" s="54">
        <f>(CF5-CG5/2)*7</f>
        <v>5026</v>
      </c>
      <c r="CE12" s="54">
        <f>(CF5+CG5/2)*7</f>
        <v>5166</v>
      </c>
      <c r="CF12" s="10" t="s">
        <v>9</v>
      </c>
      <c r="CG12" s="10" t="s">
        <v>9</v>
      </c>
      <c r="CH12" s="90" t="s">
        <v>35</v>
      </c>
      <c r="CI12" s="90"/>
      <c r="CJ12" s="90"/>
      <c r="CK12" s="75"/>
      <c r="CL12" s="55" t="s">
        <v>65</v>
      </c>
      <c r="CM12" s="54">
        <f>(CO5-CP5/2)*7</f>
        <v>5096</v>
      </c>
      <c r="CN12" s="54">
        <f>(CO5+CP5/2)*7</f>
        <v>5236</v>
      </c>
      <c r="CO12" s="10" t="s">
        <v>9</v>
      </c>
      <c r="CP12" s="10" t="s">
        <v>9</v>
      </c>
      <c r="CQ12" s="90" t="s">
        <v>35</v>
      </c>
      <c r="CR12" s="90"/>
      <c r="CS12" s="90"/>
      <c r="CT12" s="75"/>
      <c r="CU12" s="55" t="s">
        <v>65</v>
      </c>
    </row>
    <row r="13" spans="1:99" ht="15">
      <c r="A13" s="54">
        <f>((C5-INT((D5*5)/2)*0.18)-0.2)*8</f>
        <v>5744.32</v>
      </c>
      <c r="B13" s="54">
        <f>((C5-INT((D5*5)/2)*0.18)+0.2)*8</f>
        <v>5747.52</v>
      </c>
      <c r="C13" s="10" t="s">
        <v>9</v>
      </c>
      <c r="D13" s="10" t="s">
        <v>9</v>
      </c>
      <c r="E13" s="90" t="s">
        <v>35</v>
      </c>
      <c r="F13" s="90"/>
      <c r="G13" s="90"/>
      <c r="H13" s="75"/>
      <c r="I13" s="55" t="s">
        <v>68</v>
      </c>
      <c r="J13" s="54">
        <f>((L5+INT((M5*5)/2)*0.18)-0.2)*8</f>
        <v>5980.48</v>
      </c>
      <c r="K13" s="54">
        <f>((L5+INT((M5*5)/2)*0.18)+0.2)*8</f>
        <v>5983.68</v>
      </c>
      <c r="L13" s="10" t="s">
        <v>9</v>
      </c>
      <c r="M13" s="10" t="s">
        <v>9</v>
      </c>
      <c r="N13" s="90" t="s">
        <v>35</v>
      </c>
      <c r="O13" s="90"/>
      <c r="P13" s="90"/>
      <c r="Q13" s="75"/>
      <c r="R13" s="55" t="s">
        <v>68</v>
      </c>
      <c r="S13" s="54">
        <f>((U5-INT((V5*5)/2)*0.18)-0.2)*8</f>
        <v>5745.12</v>
      </c>
      <c r="T13" s="54">
        <f>((U5-INT((V5*5)/2)*0.18)+0.2)*8</f>
        <v>5748.3200000000006</v>
      </c>
      <c r="U13" s="10" t="s">
        <v>9</v>
      </c>
      <c r="V13" s="10" t="s">
        <v>9</v>
      </c>
      <c r="W13" s="90" t="s">
        <v>35</v>
      </c>
      <c r="X13" s="90"/>
      <c r="Y13" s="90"/>
      <c r="Z13" s="75"/>
      <c r="AA13" s="55" t="s">
        <v>68</v>
      </c>
      <c r="AB13" s="54">
        <f>((AD5-INT((AE5*5)/2)*0.18)-0.2)*8</f>
        <v>5845.12</v>
      </c>
      <c r="AC13" s="54">
        <f>((AD5-INT((AE5*5)/2)*0.18)+0.2)*8</f>
        <v>5848.3200000000006</v>
      </c>
      <c r="AD13" s="10" t="s">
        <v>9</v>
      </c>
      <c r="AE13" s="10" t="s">
        <v>9</v>
      </c>
      <c r="AF13" s="87" t="s">
        <v>35</v>
      </c>
      <c r="AG13" s="88"/>
      <c r="AH13" s="89"/>
      <c r="AI13" s="75"/>
      <c r="AJ13" s="55" t="s">
        <v>68</v>
      </c>
      <c r="AK13" s="54">
        <f>((AM5+INT((AN5*5)/2)*0.18)-0.2)*8</f>
        <v>5979.6799999999994</v>
      </c>
      <c r="AL13" s="54">
        <f>((AM5+INT((AN5*5)/2)*0.18)+0.2)*8</f>
        <v>5982.88</v>
      </c>
      <c r="AM13" s="10" t="s">
        <v>9</v>
      </c>
      <c r="AN13" s="10" t="s">
        <v>9</v>
      </c>
      <c r="AO13" s="90" t="s">
        <v>35</v>
      </c>
      <c r="AP13" s="90"/>
      <c r="AQ13" s="90"/>
      <c r="AR13" s="75"/>
      <c r="AS13" s="55" t="s">
        <v>68</v>
      </c>
      <c r="AT13" s="54">
        <f>(AV5-AW5/2)*8</f>
        <v>5744</v>
      </c>
      <c r="AU13" s="54">
        <f>(AV5+AW5/2)*8</f>
        <v>5784</v>
      </c>
      <c r="AV13" s="10" t="s">
        <v>9</v>
      </c>
      <c r="AW13" s="10" t="s">
        <v>9</v>
      </c>
      <c r="AX13" s="90" t="s">
        <v>35</v>
      </c>
      <c r="AY13" s="90"/>
      <c r="AZ13" s="90"/>
      <c r="BA13" s="75"/>
      <c r="BB13" s="55" t="s">
        <v>68</v>
      </c>
      <c r="BC13" s="54">
        <f>(BE5-BF5/2)*8</f>
        <v>5944</v>
      </c>
      <c r="BD13" s="54">
        <f>(BE5+BF5/2)*8</f>
        <v>5984</v>
      </c>
      <c r="BE13" s="10" t="s">
        <v>9</v>
      </c>
      <c r="BF13" s="10" t="s">
        <v>9</v>
      </c>
      <c r="BG13" s="90" t="s">
        <v>35</v>
      </c>
      <c r="BH13" s="90"/>
      <c r="BI13" s="90"/>
      <c r="BJ13" s="75"/>
      <c r="BK13" s="55" t="s">
        <v>68</v>
      </c>
      <c r="BL13" s="54">
        <f>((BN5-(INT((BO5*5)/2)-0.5)*0.18)-0.2)*8</f>
        <v>5751.12</v>
      </c>
      <c r="BM13" s="54">
        <f>((BN5-(INT((BO5*5)/2)-0.5)*0.18)+0.2)*8</f>
        <v>5754.3200000000006</v>
      </c>
      <c r="BN13" s="10" t="s">
        <v>9</v>
      </c>
      <c r="BO13" s="10" t="s">
        <v>9</v>
      </c>
      <c r="BP13" s="90" t="s">
        <v>35</v>
      </c>
      <c r="BQ13" s="90"/>
      <c r="BR13" s="90"/>
      <c r="BS13" s="75"/>
      <c r="BT13" s="55" t="s">
        <v>68</v>
      </c>
      <c r="BU13" s="54">
        <f>((BW5+(INT((BX5*5)/2)-0.5)*0.18)-0.2)*8</f>
        <v>5973.6799999999994</v>
      </c>
      <c r="BV13" s="54">
        <f>((BW5+(INT((BX5*5)/2)-0.5)*0.18)+0.2)*8</f>
        <v>5976.88</v>
      </c>
      <c r="BW13" s="10" t="s">
        <v>9</v>
      </c>
      <c r="BX13" s="10" t="s">
        <v>9</v>
      </c>
      <c r="BY13" s="90" t="s">
        <v>35</v>
      </c>
      <c r="BZ13" s="90"/>
      <c r="CA13" s="90"/>
      <c r="CB13" s="75"/>
      <c r="CC13" s="55" t="s">
        <v>68</v>
      </c>
      <c r="CD13" s="54">
        <f>(CF5-CG5/2)*8</f>
        <v>5744</v>
      </c>
      <c r="CE13" s="54">
        <f>(CF5+CG5/2)*8</f>
        <v>5904</v>
      </c>
      <c r="CF13" s="10" t="s">
        <v>9</v>
      </c>
      <c r="CG13" s="10" t="s">
        <v>9</v>
      </c>
      <c r="CH13" s="90" t="s">
        <v>35</v>
      </c>
      <c r="CI13" s="90"/>
      <c r="CJ13" s="90"/>
      <c r="CK13" s="75"/>
      <c r="CL13" s="55" t="s">
        <v>68</v>
      </c>
      <c r="CM13" s="54">
        <f>(CO5-CP5/2)*8</f>
        <v>5824</v>
      </c>
      <c r="CN13" s="54">
        <f>(CO5+CP5/2)*8</f>
        <v>5984</v>
      </c>
      <c r="CO13" s="10" t="s">
        <v>9</v>
      </c>
      <c r="CP13" s="10" t="s">
        <v>9</v>
      </c>
      <c r="CQ13" s="90" t="s">
        <v>35</v>
      </c>
      <c r="CR13" s="90"/>
      <c r="CS13" s="90"/>
      <c r="CT13" s="75"/>
      <c r="CU13" s="55" t="s">
        <v>68</v>
      </c>
    </row>
    <row r="14" spans="1:99" ht="15">
      <c r="A14" s="54">
        <f>((C5-INT((D5*5)/2)*0.18)-0.2)*9</f>
        <v>6462.36</v>
      </c>
      <c r="B14" s="54">
        <f>((C5-INT((D5*5)/2)*0.18)+0.2)*9</f>
        <v>6465.9600000000009</v>
      </c>
      <c r="C14" s="10" t="s">
        <v>9</v>
      </c>
      <c r="D14" s="10" t="s">
        <v>9</v>
      </c>
      <c r="E14" s="90" t="s">
        <v>35</v>
      </c>
      <c r="F14" s="90"/>
      <c r="G14" s="90"/>
      <c r="H14" s="75"/>
      <c r="I14" s="55" t="s">
        <v>71</v>
      </c>
      <c r="J14" s="54">
        <f>((L5+INT((M5*5)/2)*0.18)-0.2)*9</f>
        <v>6728.0399999999991</v>
      </c>
      <c r="K14" s="54">
        <f>((L5+INT((M5*5)/2)*0.18)+0.2)*9</f>
        <v>6731.64</v>
      </c>
      <c r="L14" s="10" t="s">
        <v>9</v>
      </c>
      <c r="M14" s="10" t="s">
        <v>9</v>
      </c>
      <c r="N14" s="90" t="s">
        <v>35</v>
      </c>
      <c r="O14" s="90"/>
      <c r="P14" s="90"/>
      <c r="Q14" s="75"/>
      <c r="R14" s="55" t="s">
        <v>71</v>
      </c>
      <c r="S14" s="54">
        <f>((U5-INT((V5*5)/2)*0.18)-0.2)*9</f>
        <v>6463.26</v>
      </c>
      <c r="T14" s="54">
        <f>((U5-INT((V5*5)/2)*0.18)+0.2)*9</f>
        <v>6466.8600000000006</v>
      </c>
      <c r="U14" s="10" t="s">
        <v>9</v>
      </c>
      <c r="V14" s="10" t="s">
        <v>9</v>
      </c>
      <c r="W14" s="90" t="s">
        <v>35</v>
      </c>
      <c r="X14" s="90"/>
      <c r="Y14" s="90"/>
      <c r="Z14" s="75"/>
      <c r="AA14" s="55" t="s">
        <v>71</v>
      </c>
      <c r="AB14" s="54">
        <f>((AD5-INT((AE5*5)/2)*0.18)-0.2)*9</f>
        <v>6575.76</v>
      </c>
      <c r="AC14" s="54">
        <f>((AD5-INT((AE5*5)/2)*0.18)+0.2)*9</f>
        <v>6579.3600000000006</v>
      </c>
      <c r="AD14" s="10" t="s">
        <v>9</v>
      </c>
      <c r="AE14" s="10" t="s">
        <v>9</v>
      </c>
      <c r="AF14" s="87" t="s">
        <v>35</v>
      </c>
      <c r="AG14" s="88"/>
      <c r="AH14" s="89"/>
      <c r="AI14" s="75"/>
      <c r="AJ14" s="55" t="s">
        <v>71</v>
      </c>
      <c r="AK14" s="54">
        <f>((AM5+INT((AN5*5)/2)*0.18)-0.2)*9</f>
        <v>6727.1399999999994</v>
      </c>
      <c r="AL14" s="54">
        <f>((AM5+INT((AN5*5)/2)*0.18)+0.2)*9</f>
        <v>6730.74</v>
      </c>
      <c r="AM14" s="10" t="s">
        <v>9</v>
      </c>
      <c r="AN14" s="10" t="s">
        <v>9</v>
      </c>
      <c r="AO14" s="90" t="s">
        <v>35</v>
      </c>
      <c r="AP14" s="90"/>
      <c r="AQ14" s="90"/>
      <c r="AR14" s="75"/>
      <c r="AS14" s="55" t="s">
        <v>71</v>
      </c>
      <c r="AT14" s="54">
        <f>(AV5-AW5/2)*9</f>
        <v>6462</v>
      </c>
      <c r="AU14" s="54">
        <f>(AV5+AW5/2)*9</f>
        <v>6507</v>
      </c>
      <c r="AV14" s="10" t="s">
        <v>9</v>
      </c>
      <c r="AW14" s="10" t="s">
        <v>9</v>
      </c>
      <c r="AX14" s="90" t="s">
        <v>35</v>
      </c>
      <c r="AY14" s="90"/>
      <c r="AZ14" s="90"/>
      <c r="BA14" s="75"/>
      <c r="BB14" s="55" t="s">
        <v>71</v>
      </c>
      <c r="BC14" s="54">
        <f>(BE5-BF5/2)*9</f>
        <v>6687</v>
      </c>
      <c r="BD14" s="54">
        <f>(BE5+BF5/2)*9</f>
        <v>6732</v>
      </c>
      <c r="BE14" s="10" t="s">
        <v>9</v>
      </c>
      <c r="BF14" s="10" t="s">
        <v>9</v>
      </c>
      <c r="BG14" s="90" t="s">
        <v>35</v>
      </c>
      <c r="BH14" s="90"/>
      <c r="BI14" s="90"/>
      <c r="BJ14" s="75"/>
      <c r="BK14" s="55" t="s">
        <v>71</v>
      </c>
      <c r="BL14" s="54">
        <f>((BN5-(INT((BO5*5)/2)-0.5)*0.18)-0.2)*9</f>
        <v>6470.01</v>
      </c>
      <c r="BM14" s="54">
        <f>((BN5-(INT((BO5*5)/2)-0.5)*0.18)+0.2)*9</f>
        <v>6473.6100000000006</v>
      </c>
      <c r="BN14" s="10" t="s">
        <v>9</v>
      </c>
      <c r="BO14" s="10" t="s">
        <v>9</v>
      </c>
      <c r="BP14" s="90" t="s">
        <v>35</v>
      </c>
      <c r="BQ14" s="90"/>
      <c r="BR14" s="90"/>
      <c r="BS14" s="75"/>
      <c r="BT14" s="55" t="s">
        <v>71</v>
      </c>
      <c r="BU14" s="54">
        <f>((BW5+(INT((BX5*5)/2)-0.5)*0.18)-0.2)*9</f>
        <v>6720.3899999999994</v>
      </c>
      <c r="BV14" s="54">
        <f>((BW5+(INT((BX5*5)/2)-0.5)*0.18)+0.2)*9</f>
        <v>6723.99</v>
      </c>
      <c r="BW14" s="10" t="s">
        <v>9</v>
      </c>
      <c r="BX14" s="10" t="s">
        <v>9</v>
      </c>
      <c r="BY14" s="90" t="s">
        <v>35</v>
      </c>
      <c r="BZ14" s="90"/>
      <c r="CA14" s="90"/>
      <c r="CB14" s="75"/>
      <c r="CC14" s="55" t="s">
        <v>71</v>
      </c>
      <c r="CD14" s="54">
        <f>(CF5-CG5/2)*9</f>
        <v>6462</v>
      </c>
      <c r="CE14" s="54">
        <f>(CF5+CG5/2)*9</f>
        <v>6642</v>
      </c>
      <c r="CF14" s="10" t="s">
        <v>9</v>
      </c>
      <c r="CG14" s="10" t="s">
        <v>9</v>
      </c>
      <c r="CH14" s="90" t="s">
        <v>35</v>
      </c>
      <c r="CI14" s="90"/>
      <c r="CJ14" s="90"/>
      <c r="CK14" s="75"/>
      <c r="CL14" s="55" t="s">
        <v>71</v>
      </c>
      <c r="CM14" s="54">
        <f>(CO5-CP5/2)*9</f>
        <v>6552</v>
      </c>
      <c r="CN14" s="54">
        <f>(CO5+CP5/2)*9</f>
        <v>6732</v>
      </c>
      <c r="CO14" s="10" t="s">
        <v>9</v>
      </c>
      <c r="CP14" s="10" t="s">
        <v>9</v>
      </c>
      <c r="CQ14" s="90" t="s">
        <v>35</v>
      </c>
      <c r="CR14" s="90"/>
      <c r="CS14" s="90"/>
      <c r="CT14" s="75"/>
      <c r="CU14" s="55" t="s">
        <v>71</v>
      </c>
    </row>
    <row r="15" spans="1:99" ht="15">
      <c r="A15" s="54">
        <f>((C5-INT((D5*5)/2)*0.18)-0.2)*10</f>
        <v>7180.4</v>
      </c>
      <c r="B15" s="54">
        <f>((C5-INT((D5*5)/2)*0.18)+0.2)*10</f>
        <v>7184.4000000000005</v>
      </c>
      <c r="C15" s="10" t="s">
        <v>9</v>
      </c>
      <c r="D15" s="10" t="s">
        <v>9</v>
      </c>
      <c r="E15" s="90" t="s">
        <v>35</v>
      </c>
      <c r="F15" s="90"/>
      <c r="G15" s="90"/>
      <c r="H15" s="75"/>
      <c r="I15" s="55" t="s">
        <v>74</v>
      </c>
      <c r="J15" s="54">
        <f>((L5+INT((M5*5)/2)*0.18)-0.2)*10</f>
        <v>7475.5999999999995</v>
      </c>
      <c r="K15" s="54">
        <f>((L5+INT((M5*5)/2)*0.18)+0.2)*10</f>
        <v>7479.6</v>
      </c>
      <c r="L15" s="10" t="s">
        <v>9</v>
      </c>
      <c r="M15" s="10" t="s">
        <v>9</v>
      </c>
      <c r="N15" s="90" t="s">
        <v>35</v>
      </c>
      <c r="O15" s="90"/>
      <c r="P15" s="90"/>
      <c r="Q15" s="75"/>
      <c r="R15" s="55" t="s">
        <v>74</v>
      </c>
      <c r="S15" s="54">
        <f>((U5-INT((V5*5)/2)*0.18)-0.2)*10</f>
        <v>7181.4</v>
      </c>
      <c r="T15" s="54">
        <f>((U5-INT((V5*5)/2)*0.18)+0.2)*10</f>
        <v>7185.4000000000005</v>
      </c>
      <c r="U15" s="10" t="s">
        <v>9</v>
      </c>
      <c r="V15" s="10" t="s">
        <v>9</v>
      </c>
      <c r="W15" s="90" t="s">
        <v>35</v>
      </c>
      <c r="X15" s="90"/>
      <c r="Y15" s="90"/>
      <c r="Z15" s="75"/>
      <c r="AA15" s="55" t="s">
        <v>74</v>
      </c>
      <c r="AB15" s="54">
        <f>((AD5-INT((AE5*5)/2)*0.18)-0.2)*10</f>
        <v>7306.4</v>
      </c>
      <c r="AC15" s="54">
        <f>((AD5-INT((AE5*5)/2)*0.18)+0.2)*10</f>
        <v>7310.4000000000005</v>
      </c>
      <c r="AD15" s="10" t="s">
        <v>9</v>
      </c>
      <c r="AE15" s="10" t="s">
        <v>9</v>
      </c>
      <c r="AF15" s="87" t="s">
        <v>35</v>
      </c>
      <c r="AG15" s="88"/>
      <c r="AH15" s="89"/>
      <c r="AI15" s="75"/>
      <c r="AJ15" s="55" t="s">
        <v>74</v>
      </c>
      <c r="AK15" s="54">
        <f>((AM5+INT((AN5*5)/2)*0.18)-0.2)*10</f>
        <v>7474.5999999999995</v>
      </c>
      <c r="AL15" s="54">
        <f>((AM5+INT((AN5*5)/2)*0.18)+0.2)*10</f>
        <v>7478.6</v>
      </c>
      <c r="AM15" s="10" t="s">
        <v>9</v>
      </c>
      <c r="AN15" s="10" t="s">
        <v>9</v>
      </c>
      <c r="AO15" s="90" t="s">
        <v>35</v>
      </c>
      <c r="AP15" s="90"/>
      <c r="AQ15" s="90"/>
      <c r="AR15" s="75"/>
      <c r="AS15" s="55" t="s">
        <v>74</v>
      </c>
      <c r="AT15" s="54">
        <f>(AV5-AW5/2)*10</f>
        <v>7180</v>
      </c>
      <c r="AU15" s="54">
        <f>(AV5+AW5/2)*10</f>
        <v>7230</v>
      </c>
      <c r="AV15" s="10" t="s">
        <v>9</v>
      </c>
      <c r="AW15" s="10" t="s">
        <v>9</v>
      </c>
      <c r="AX15" s="90" t="s">
        <v>35</v>
      </c>
      <c r="AY15" s="90"/>
      <c r="AZ15" s="90"/>
      <c r="BA15" s="75"/>
      <c r="BB15" s="55" t="s">
        <v>74</v>
      </c>
      <c r="BC15" s="54">
        <f>(BE5-BF5/2)*10</f>
        <v>7430</v>
      </c>
      <c r="BD15" s="54">
        <f>(BE5+BF5/2)*10</f>
        <v>7480</v>
      </c>
      <c r="BE15" s="10" t="s">
        <v>9</v>
      </c>
      <c r="BF15" s="10" t="s">
        <v>9</v>
      </c>
      <c r="BG15" s="90" t="s">
        <v>35</v>
      </c>
      <c r="BH15" s="90"/>
      <c r="BI15" s="90"/>
      <c r="BJ15" s="75"/>
      <c r="BK15" s="55" t="s">
        <v>74</v>
      </c>
      <c r="BL15" s="54">
        <f>((BN5-(INT((BO5*5)/2)-0.5)*0.18)-0.2)*10</f>
        <v>7188.9</v>
      </c>
      <c r="BM15" s="54">
        <f>((BN5-(INT((BO5*5)/2)-0.5)*0.18)+0.2)*10</f>
        <v>7192.9000000000005</v>
      </c>
      <c r="BN15" s="10" t="s">
        <v>9</v>
      </c>
      <c r="BO15" s="10" t="s">
        <v>9</v>
      </c>
      <c r="BP15" s="90" t="s">
        <v>35</v>
      </c>
      <c r="BQ15" s="90"/>
      <c r="BR15" s="90"/>
      <c r="BS15" s="75"/>
      <c r="BT15" s="55" t="s">
        <v>74</v>
      </c>
      <c r="BU15" s="54">
        <f>((BW5+(INT((BX5*5)/2)-0.5)*0.18)-0.2)*10</f>
        <v>7467.0999999999995</v>
      </c>
      <c r="BV15" s="54">
        <f>((BW5+(INT((BX5*5)/2)-0.5)*0.18)+0.2)*10</f>
        <v>7471.1</v>
      </c>
      <c r="BW15" s="10" t="s">
        <v>9</v>
      </c>
      <c r="BX15" s="10" t="s">
        <v>9</v>
      </c>
      <c r="BY15" s="90" t="s">
        <v>35</v>
      </c>
      <c r="BZ15" s="90"/>
      <c r="CA15" s="90"/>
      <c r="CB15" s="75"/>
      <c r="CC15" s="55" t="s">
        <v>74</v>
      </c>
      <c r="CD15" s="54">
        <f>(CF5-CG5/2)*10</f>
        <v>7180</v>
      </c>
      <c r="CE15" s="54">
        <f>(CF5+CG5/2)*10</f>
        <v>7380</v>
      </c>
      <c r="CF15" s="10" t="s">
        <v>9</v>
      </c>
      <c r="CG15" s="10" t="s">
        <v>9</v>
      </c>
      <c r="CH15" s="90" t="s">
        <v>35</v>
      </c>
      <c r="CI15" s="90"/>
      <c r="CJ15" s="90"/>
      <c r="CK15" s="75"/>
      <c r="CL15" s="55" t="s">
        <v>74</v>
      </c>
      <c r="CM15" s="54">
        <f>(CO5-CP5/2)*10</f>
        <v>7280</v>
      </c>
      <c r="CN15" s="54">
        <f>(CO5+CP5/2)*10</f>
        <v>7480</v>
      </c>
      <c r="CO15" s="10" t="s">
        <v>9</v>
      </c>
      <c r="CP15" s="10" t="s">
        <v>9</v>
      </c>
      <c r="CQ15" s="90" t="s">
        <v>35</v>
      </c>
      <c r="CR15" s="90"/>
      <c r="CS15" s="90"/>
      <c r="CT15" s="75"/>
      <c r="CU15" s="55" t="s">
        <v>74</v>
      </c>
    </row>
    <row r="16" spans="1:99" ht="15">
      <c r="A16" s="54">
        <f>((C5-INT((D5*5)/2)*0.18)-0.2)*11</f>
        <v>7898.44</v>
      </c>
      <c r="B16" s="54">
        <f>((C5-INT((D5*5)/2)*0.18)+0.2)*11</f>
        <v>7902.84</v>
      </c>
      <c r="C16" s="10" t="s">
        <v>9</v>
      </c>
      <c r="D16" s="10" t="s">
        <v>9</v>
      </c>
      <c r="E16" s="90" t="s">
        <v>35</v>
      </c>
      <c r="F16" s="90"/>
      <c r="G16" s="90"/>
      <c r="H16" s="75"/>
      <c r="I16" s="55" t="s">
        <v>77</v>
      </c>
      <c r="J16" s="54">
        <f>((L5+INT((M5*5)/2)*0.18)-0.2)*11</f>
        <v>8223.16</v>
      </c>
      <c r="K16" s="54">
        <f>((L5+INT((M5*5)/2)*0.18)+0.2)*11</f>
        <v>8227.5600000000013</v>
      </c>
      <c r="L16" s="10" t="s">
        <v>9</v>
      </c>
      <c r="M16" s="10" t="s">
        <v>9</v>
      </c>
      <c r="N16" s="90" t="s">
        <v>35</v>
      </c>
      <c r="O16" s="90"/>
      <c r="P16" s="90"/>
      <c r="Q16" s="75"/>
      <c r="R16" s="55" t="s">
        <v>77</v>
      </c>
      <c r="S16" s="54">
        <f>((U5-INT((V5*5)/2)*0.18)-0.2)*11</f>
        <v>7899.54</v>
      </c>
      <c r="T16" s="54">
        <f>((U5-INT((V5*5)/2)*0.18)+0.2)*11</f>
        <v>7903.9400000000005</v>
      </c>
      <c r="U16" s="10" t="s">
        <v>9</v>
      </c>
      <c r="V16" s="10" t="s">
        <v>9</v>
      </c>
      <c r="W16" s="90" t="s">
        <v>35</v>
      </c>
      <c r="X16" s="90"/>
      <c r="Y16" s="90"/>
      <c r="Z16" s="75"/>
      <c r="AA16" s="55" t="s">
        <v>77</v>
      </c>
      <c r="AB16" s="54">
        <f>((AD5-INT((AE5*5)/2)*0.18)-0.2)*11</f>
        <v>8037.04</v>
      </c>
      <c r="AC16" s="54">
        <f>((AD5-INT((AE5*5)/2)*0.18)+0.2)*11</f>
        <v>8041.4400000000005</v>
      </c>
      <c r="AD16" s="10" t="s">
        <v>9</v>
      </c>
      <c r="AE16" s="10" t="s">
        <v>9</v>
      </c>
      <c r="AF16" s="87" t="s">
        <v>35</v>
      </c>
      <c r="AG16" s="88"/>
      <c r="AH16" s="89"/>
      <c r="AI16" s="75"/>
      <c r="AJ16" s="55" t="s">
        <v>77</v>
      </c>
      <c r="AK16" s="54">
        <f>((AM5+INT((AN5*5)/2)*0.18)-0.2)*11</f>
        <v>8222.06</v>
      </c>
      <c r="AL16" s="54">
        <f>((AM5+INT((AN5*5)/2)*0.18)+0.2)*11</f>
        <v>8226.4600000000009</v>
      </c>
      <c r="AM16" s="10" t="s">
        <v>9</v>
      </c>
      <c r="AN16" s="10" t="s">
        <v>9</v>
      </c>
      <c r="AO16" s="90" t="s">
        <v>35</v>
      </c>
      <c r="AP16" s="90"/>
      <c r="AQ16" s="90"/>
      <c r="AR16" s="75"/>
      <c r="AS16" s="55" t="s">
        <v>77</v>
      </c>
      <c r="AT16" s="54">
        <f>(AV5-AW5/2)*11</f>
        <v>7898</v>
      </c>
      <c r="AU16" s="54">
        <f>(AV5+AW5/2)*11</f>
        <v>7953</v>
      </c>
      <c r="AV16" s="10" t="s">
        <v>9</v>
      </c>
      <c r="AW16" s="10" t="s">
        <v>9</v>
      </c>
      <c r="AX16" s="90" t="s">
        <v>35</v>
      </c>
      <c r="AY16" s="90"/>
      <c r="AZ16" s="90"/>
      <c r="BA16" s="75"/>
      <c r="BB16" s="55" t="s">
        <v>77</v>
      </c>
      <c r="BC16" s="54">
        <f>(BE5-BF5/2)*11</f>
        <v>8173</v>
      </c>
      <c r="BD16" s="54">
        <f>(BE5+BF5/2)*11</f>
        <v>8228</v>
      </c>
      <c r="BE16" s="10" t="s">
        <v>9</v>
      </c>
      <c r="BF16" s="10" t="s">
        <v>9</v>
      </c>
      <c r="BG16" s="90" t="s">
        <v>35</v>
      </c>
      <c r="BH16" s="90"/>
      <c r="BI16" s="90"/>
      <c r="BJ16" s="75"/>
      <c r="BK16" s="55" t="s">
        <v>77</v>
      </c>
      <c r="BL16" s="54">
        <f>((BN5-(INT((BO5*5)/2)-0.5)*0.18)-0.2)*11</f>
        <v>7907.79</v>
      </c>
      <c r="BM16" s="54">
        <f>((BN5-(INT((BO5*5)/2)-0.5)*0.18)+0.2)*11</f>
        <v>7912.1900000000005</v>
      </c>
      <c r="BN16" s="10" t="s">
        <v>9</v>
      </c>
      <c r="BO16" s="10" t="s">
        <v>9</v>
      </c>
      <c r="BP16" s="90" t="s">
        <v>35</v>
      </c>
      <c r="BQ16" s="90"/>
      <c r="BR16" s="90"/>
      <c r="BS16" s="75"/>
      <c r="BT16" s="55" t="s">
        <v>77</v>
      </c>
      <c r="BU16" s="54">
        <f>((BW5+(INT((BX5*5)/2)-0.5)*0.18)-0.2)*11</f>
        <v>8213.81</v>
      </c>
      <c r="BV16" s="54">
        <f>((BW5+(INT((BX5*5)/2)-0.5)*0.18)+0.2)*11</f>
        <v>8218.2100000000009</v>
      </c>
      <c r="BW16" s="10" t="s">
        <v>9</v>
      </c>
      <c r="BX16" s="10" t="s">
        <v>9</v>
      </c>
      <c r="BY16" s="90" t="s">
        <v>35</v>
      </c>
      <c r="BZ16" s="90"/>
      <c r="CA16" s="90"/>
      <c r="CB16" s="75"/>
      <c r="CC16" s="55" t="s">
        <v>77</v>
      </c>
      <c r="CD16" s="54">
        <f>(CF5-CG5/2)*11</f>
        <v>7898</v>
      </c>
      <c r="CE16" s="54">
        <f>(CF5+CG5/2)*11</f>
        <v>8118</v>
      </c>
      <c r="CF16" s="10" t="s">
        <v>9</v>
      </c>
      <c r="CG16" s="10" t="s">
        <v>9</v>
      </c>
      <c r="CH16" s="90" t="s">
        <v>35</v>
      </c>
      <c r="CI16" s="90"/>
      <c r="CJ16" s="90"/>
      <c r="CK16" s="75"/>
      <c r="CL16" s="55" t="s">
        <v>77</v>
      </c>
      <c r="CM16" s="54">
        <f>(CO5-CP5/2)*11</f>
        <v>8008</v>
      </c>
      <c r="CN16" s="54">
        <f>(CO5+CP5/2)*11</f>
        <v>8228</v>
      </c>
      <c r="CO16" s="10" t="s">
        <v>9</v>
      </c>
      <c r="CP16" s="10" t="s">
        <v>9</v>
      </c>
      <c r="CQ16" s="90" t="s">
        <v>35</v>
      </c>
      <c r="CR16" s="90"/>
      <c r="CS16" s="90"/>
      <c r="CT16" s="75"/>
      <c r="CU16" s="55" t="s">
        <v>77</v>
      </c>
    </row>
    <row r="17" spans="1:99" ht="15">
      <c r="A17" s="54">
        <f>((C5-INT((D5*5)/2)*0.18)-0.2)*12</f>
        <v>8616.48</v>
      </c>
      <c r="B17" s="54">
        <f>((C5-INT((D5*5)/2)*0.18)+0.2)*12</f>
        <v>8621.2800000000007</v>
      </c>
      <c r="C17" s="10" t="s">
        <v>9</v>
      </c>
      <c r="D17" s="10" t="s">
        <v>9</v>
      </c>
      <c r="E17" s="90" t="s">
        <v>35</v>
      </c>
      <c r="F17" s="90"/>
      <c r="G17" s="90"/>
      <c r="H17" s="75"/>
      <c r="I17" s="55" t="s">
        <v>80</v>
      </c>
      <c r="J17" s="54">
        <f>((L5+INT((M5*5)/2)*0.18)-0.2)*12</f>
        <v>8970.7199999999993</v>
      </c>
      <c r="K17" s="54">
        <f>((L5+INT((M5*5)/2)*0.18)+0.2)*12</f>
        <v>8975.52</v>
      </c>
      <c r="L17" s="10" t="s">
        <v>9</v>
      </c>
      <c r="M17" s="10" t="s">
        <v>9</v>
      </c>
      <c r="N17" s="90" t="s">
        <v>35</v>
      </c>
      <c r="O17" s="90"/>
      <c r="P17" s="90"/>
      <c r="Q17" s="75"/>
      <c r="R17" s="55" t="s">
        <v>80</v>
      </c>
      <c r="S17" s="54">
        <f>((U5-INT((V5*5)/2)*0.18)-0.2)*12</f>
        <v>8617.68</v>
      </c>
      <c r="T17" s="54">
        <f>((U5-INT((V5*5)/2)*0.18)+0.2)*12</f>
        <v>8622.4800000000014</v>
      </c>
      <c r="U17" s="10" t="s">
        <v>9</v>
      </c>
      <c r="V17" s="10" t="s">
        <v>9</v>
      </c>
      <c r="W17" s="90" t="s">
        <v>35</v>
      </c>
      <c r="X17" s="90"/>
      <c r="Y17" s="90"/>
      <c r="Z17" s="75"/>
      <c r="AA17" s="55" t="s">
        <v>80</v>
      </c>
      <c r="AB17" s="54">
        <f>((AD5-INT((AE5*5)/2)*0.18)-0.2)*12</f>
        <v>8767.68</v>
      </c>
      <c r="AC17" s="54">
        <f>((AD5-INT((AE5*5)/2)*0.18)+0.2)*12</f>
        <v>8772.4800000000014</v>
      </c>
      <c r="AD17" s="10" t="s">
        <v>9</v>
      </c>
      <c r="AE17" s="10" t="s">
        <v>9</v>
      </c>
      <c r="AF17" s="87" t="s">
        <v>35</v>
      </c>
      <c r="AG17" s="88"/>
      <c r="AH17" s="89"/>
      <c r="AI17" s="75"/>
      <c r="AJ17" s="55" t="s">
        <v>80</v>
      </c>
      <c r="AK17" s="54">
        <f>((AM5+INT((AN5*5)/2)*0.18)-0.2)*12</f>
        <v>8969.5199999999986</v>
      </c>
      <c r="AL17" s="54">
        <f>((AM5+INT((AN5*5)/2)*0.18)+0.2)*12</f>
        <v>8974.32</v>
      </c>
      <c r="AM17" s="10" t="s">
        <v>9</v>
      </c>
      <c r="AN17" s="10" t="s">
        <v>9</v>
      </c>
      <c r="AO17" s="90" t="s">
        <v>35</v>
      </c>
      <c r="AP17" s="90"/>
      <c r="AQ17" s="90"/>
      <c r="AR17" s="75"/>
      <c r="AS17" s="55" t="s">
        <v>80</v>
      </c>
      <c r="AT17" s="54">
        <f>(AV5-AW5/2)*12</f>
        <v>8616</v>
      </c>
      <c r="AU17" s="54">
        <f>(AV5+AW5/2)*12</f>
        <v>8676</v>
      </c>
      <c r="AV17" s="10" t="s">
        <v>9</v>
      </c>
      <c r="AW17" s="10" t="s">
        <v>9</v>
      </c>
      <c r="AX17" s="90" t="s">
        <v>35</v>
      </c>
      <c r="AY17" s="90"/>
      <c r="AZ17" s="90"/>
      <c r="BA17" s="75"/>
      <c r="BB17" s="55" t="s">
        <v>80</v>
      </c>
      <c r="BC17" s="54">
        <f>(BE5-BF5/2)*12</f>
        <v>8916</v>
      </c>
      <c r="BD17" s="54">
        <f>(BE5+BF5/2)*12</f>
        <v>8976</v>
      </c>
      <c r="BE17" s="10" t="s">
        <v>9</v>
      </c>
      <c r="BF17" s="10" t="s">
        <v>9</v>
      </c>
      <c r="BG17" s="90" t="s">
        <v>35</v>
      </c>
      <c r="BH17" s="90"/>
      <c r="BI17" s="90"/>
      <c r="BJ17" s="75"/>
      <c r="BK17" s="55" t="s">
        <v>80</v>
      </c>
      <c r="BL17" s="54">
        <f>((BN5-(INT((BO5*5)/2)-0.5)*0.18)-0.2)*12</f>
        <v>8626.68</v>
      </c>
      <c r="BM17" s="54">
        <f>((BN5-(INT((BO5*5)/2)-0.5)*0.18)+0.2)*12</f>
        <v>8631.4800000000014</v>
      </c>
      <c r="BN17" s="10" t="s">
        <v>9</v>
      </c>
      <c r="BO17" s="10" t="s">
        <v>9</v>
      </c>
      <c r="BP17" s="90" t="s">
        <v>35</v>
      </c>
      <c r="BQ17" s="90"/>
      <c r="BR17" s="90"/>
      <c r="BS17" s="75"/>
      <c r="BT17" s="55" t="s">
        <v>80</v>
      </c>
      <c r="BU17" s="54">
        <f>((BW5+(INT((BX5*5)/2)-0.5)*0.18)-0.2)*12</f>
        <v>8960.5199999999986</v>
      </c>
      <c r="BV17" s="54">
        <f>((BW5+(INT((BX5*5)/2)-0.5)*0.18)+0.2)*12</f>
        <v>8965.32</v>
      </c>
      <c r="BW17" s="10" t="s">
        <v>9</v>
      </c>
      <c r="BX17" s="10" t="s">
        <v>9</v>
      </c>
      <c r="BY17" s="90" t="s">
        <v>35</v>
      </c>
      <c r="BZ17" s="90"/>
      <c r="CA17" s="90"/>
      <c r="CB17" s="75"/>
      <c r="CC17" s="55" t="s">
        <v>80</v>
      </c>
      <c r="CD17" s="54">
        <f>(CF5-CG5/2)*12</f>
        <v>8616</v>
      </c>
      <c r="CE17" s="54">
        <f>(CF5+CG5/2)*12</f>
        <v>8856</v>
      </c>
      <c r="CF17" s="10" t="s">
        <v>9</v>
      </c>
      <c r="CG17" s="10" t="s">
        <v>9</v>
      </c>
      <c r="CH17" s="90" t="s">
        <v>35</v>
      </c>
      <c r="CI17" s="90"/>
      <c r="CJ17" s="90"/>
      <c r="CK17" s="75"/>
      <c r="CL17" s="55" t="s">
        <v>80</v>
      </c>
      <c r="CM17" s="54">
        <f>(CO5-CP5/2)*12</f>
        <v>8736</v>
      </c>
      <c r="CN17" s="54">
        <f>(CO5+CP5/2)*12</f>
        <v>8976</v>
      </c>
      <c r="CO17" s="10" t="s">
        <v>9</v>
      </c>
      <c r="CP17" s="10" t="s">
        <v>9</v>
      </c>
      <c r="CQ17" s="90" t="s">
        <v>35</v>
      </c>
      <c r="CR17" s="90"/>
      <c r="CS17" s="90"/>
      <c r="CT17" s="75"/>
      <c r="CU17" s="55" t="s">
        <v>80</v>
      </c>
    </row>
    <row r="18" spans="1:99" ht="15">
      <c r="A18" s="54">
        <f>((C5-INT((D5*5)/2)*0.18)-0.2)*13</f>
        <v>9334.52</v>
      </c>
      <c r="B18" s="54">
        <f>((C5-INT((D5*5)/2)*0.18)+0.2)*13</f>
        <v>9339.7200000000012</v>
      </c>
      <c r="C18" s="10" t="s">
        <v>9</v>
      </c>
      <c r="D18" s="10" t="s">
        <v>9</v>
      </c>
      <c r="E18" s="90" t="s">
        <v>35</v>
      </c>
      <c r="F18" s="90"/>
      <c r="G18" s="90"/>
      <c r="H18" s="75"/>
      <c r="I18" s="55" t="s">
        <v>83</v>
      </c>
      <c r="J18" s="54">
        <f>((L5+INT((M5*5)/2)*0.18)-0.2)*13</f>
        <v>9718.2799999999988</v>
      </c>
      <c r="K18" s="54">
        <f>((L5+INT((M5*5)/2)*0.18)+0.2)*13</f>
        <v>9723.48</v>
      </c>
      <c r="L18" s="10" t="s">
        <v>9</v>
      </c>
      <c r="M18" s="10" t="s">
        <v>9</v>
      </c>
      <c r="N18" s="90" t="s">
        <v>35</v>
      </c>
      <c r="O18" s="90"/>
      <c r="P18" s="90"/>
      <c r="Q18" s="75"/>
      <c r="R18" s="55" t="s">
        <v>83</v>
      </c>
      <c r="S18" s="54">
        <f>((U5-INT((V5*5)/2)*0.18)-0.2)*13</f>
        <v>9335.82</v>
      </c>
      <c r="T18" s="54">
        <f>((U5-INT((V5*5)/2)*0.18)+0.2)*13</f>
        <v>9341.02</v>
      </c>
      <c r="U18" s="10" t="s">
        <v>9</v>
      </c>
      <c r="V18" s="10" t="s">
        <v>9</v>
      </c>
      <c r="W18" s="90" t="s">
        <v>35</v>
      </c>
      <c r="X18" s="90"/>
      <c r="Y18" s="90"/>
      <c r="Z18" s="75"/>
      <c r="AA18" s="55" t="s">
        <v>83</v>
      </c>
      <c r="AB18" s="54">
        <f>((AD5-INT((AE5*5)/2)*0.18)-0.2)*13</f>
        <v>9498.32</v>
      </c>
      <c r="AC18" s="54">
        <f>((AD5-INT((AE5*5)/2)*0.18)+0.2)*13</f>
        <v>9503.52</v>
      </c>
      <c r="AD18" s="10" t="s">
        <v>9</v>
      </c>
      <c r="AE18" s="10" t="s">
        <v>9</v>
      </c>
      <c r="AF18" s="87" t="s">
        <v>35</v>
      </c>
      <c r="AG18" s="88"/>
      <c r="AH18" s="89"/>
      <c r="AI18" s="75"/>
      <c r="AJ18" s="55" t="s">
        <v>83</v>
      </c>
      <c r="AK18" s="54">
        <f>((AM5+INT((AN5*5)/2)*0.18)-0.2)*13</f>
        <v>9716.98</v>
      </c>
      <c r="AL18" s="54">
        <f>((AM5+INT((AN5*5)/2)*0.18)+0.2)*13</f>
        <v>9722.18</v>
      </c>
      <c r="AM18" s="10" t="s">
        <v>9</v>
      </c>
      <c r="AN18" s="10" t="s">
        <v>9</v>
      </c>
      <c r="AO18" s="90" t="s">
        <v>35</v>
      </c>
      <c r="AP18" s="90"/>
      <c r="AQ18" s="90"/>
      <c r="AR18" s="75"/>
      <c r="AS18" s="55" t="s">
        <v>83</v>
      </c>
      <c r="AT18" s="54">
        <f>(AV5-AW5/2)*13</f>
        <v>9334</v>
      </c>
      <c r="AU18" s="54">
        <f>(AV5+AW5/2)*13</f>
        <v>9399</v>
      </c>
      <c r="AV18" s="10" t="s">
        <v>9</v>
      </c>
      <c r="AW18" s="10" t="s">
        <v>9</v>
      </c>
      <c r="AX18" s="90" t="s">
        <v>35</v>
      </c>
      <c r="AY18" s="90"/>
      <c r="AZ18" s="90"/>
      <c r="BA18" s="75"/>
      <c r="BB18" s="55" t="s">
        <v>83</v>
      </c>
      <c r="BC18" s="54">
        <f>(BE5-BF5/2)*13</f>
        <v>9659</v>
      </c>
      <c r="BD18" s="54">
        <f>(BE5+BF5/2)*13</f>
        <v>9724</v>
      </c>
      <c r="BE18" s="10" t="s">
        <v>9</v>
      </c>
      <c r="BF18" s="10" t="s">
        <v>9</v>
      </c>
      <c r="BG18" s="90" t="s">
        <v>35</v>
      </c>
      <c r="BH18" s="90"/>
      <c r="BI18" s="90"/>
      <c r="BJ18" s="75"/>
      <c r="BK18" s="55" t="s">
        <v>83</v>
      </c>
      <c r="BL18" s="54">
        <f>((BN5-(INT((BO5*5)/2)-0.5)*0.18)-0.2)*13</f>
        <v>9345.57</v>
      </c>
      <c r="BM18" s="54">
        <f>((BN5-(INT((BO5*5)/2)-0.5)*0.18)+0.2)*13</f>
        <v>9350.77</v>
      </c>
      <c r="BN18" s="10" t="s">
        <v>9</v>
      </c>
      <c r="BO18" s="10" t="s">
        <v>9</v>
      </c>
      <c r="BP18" s="90" t="s">
        <v>35</v>
      </c>
      <c r="BQ18" s="90"/>
      <c r="BR18" s="90"/>
      <c r="BS18" s="75"/>
      <c r="BT18" s="55" t="s">
        <v>83</v>
      </c>
      <c r="BU18" s="54">
        <f>((BW5+(INT((BX5*5)/2)-0.5)*0.18)-0.2)*13</f>
        <v>9707.23</v>
      </c>
      <c r="BV18" s="54">
        <f>((BW5+(INT((BX5*5)/2)-0.5)*0.18)+0.2)*13</f>
        <v>9712.43</v>
      </c>
      <c r="BW18" s="10" t="s">
        <v>9</v>
      </c>
      <c r="BX18" s="10" t="s">
        <v>9</v>
      </c>
      <c r="BY18" s="90" t="s">
        <v>35</v>
      </c>
      <c r="BZ18" s="90"/>
      <c r="CA18" s="90"/>
      <c r="CB18" s="75"/>
      <c r="CC18" s="55" t="s">
        <v>83</v>
      </c>
      <c r="CD18" s="54">
        <f>(CF5-CG5/2)*13</f>
        <v>9334</v>
      </c>
      <c r="CE18" s="54">
        <f>(CF5+CG5/2)*13</f>
        <v>9594</v>
      </c>
      <c r="CF18" s="10" t="s">
        <v>9</v>
      </c>
      <c r="CG18" s="10" t="s">
        <v>9</v>
      </c>
      <c r="CH18" s="90" t="s">
        <v>35</v>
      </c>
      <c r="CI18" s="90"/>
      <c r="CJ18" s="90"/>
      <c r="CK18" s="75"/>
      <c r="CL18" s="55" t="s">
        <v>83</v>
      </c>
      <c r="CM18" s="54">
        <f>(CO5-CP5/2)*13</f>
        <v>9464</v>
      </c>
      <c r="CN18" s="54">
        <f>(CO5+CP5/2)*13</f>
        <v>9724</v>
      </c>
      <c r="CO18" s="10" t="s">
        <v>9</v>
      </c>
      <c r="CP18" s="10" t="s">
        <v>9</v>
      </c>
      <c r="CQ18" s="90" t="s">
        <v>35</v>
      </c>
      <c r="CR18" s="90"/>
      <c r="CS18" s="90"/>
      <c r="CT18" s="75"/>
      <c r="CU18" s="55" t="s">
        <v>83</v>
      </c>
    </row>
    <row r="19" spans="1:99" ht="15">
      <c r="A19" s="54">
        <f>((C5-INT((D5*5)/2)*0.18)-0.2)*14</f>
        <v>10052.56</v>
      </c>
      <c r="B19" s="54">
        <f>((C5-INT((D5*5)/2)*0.18)+0.2)*14</f>
        <v>10058.16</v>
      </c>
      <c r="C19" s="10" t="s">
        <v>9</v>
      </c>
      <c r="D19" s="10" t="s">
        <v>9</v>
      </c>
      <c r="E19" s="90" t="s">
        <v>35</v>
      </c>
      <c r="F19" s="90"/>
      <c r="G19" s="90"/>
      <c r="H19" s="75"/>
      <c r="I19" s="55" t="s">
        <v>112</v>
      </c>
      <c r="J19" s="54">
        <f>((L5+INT((M5*5)/2)*0.18)-0.2)*14</f>
        <v>10465.84</v>
      </c>
      <c r="K19" s="54">
        <f>((L5+INT((M5*5)/2)*0.18)+0.2)*14</f>
        <v>10471.44</v>
      </c>
      <c r="L19" s="10" t="s">
        <v>9</v>
      </c>
      <c r="M19" s="10" t="s">
        <v>9</v>
      </c>
      <c r="N19" s="90" t="s">
        <v>35</v>
      </c>
      <c r="O19" s="90"/>
      <c r="P19" s="90"/>
      <c r="Q19" s="75"/>
      <c r="R19" s="55" t="s">
        <v>112</v>
      </c>
      <c r="S19" s="54">
        <f>((U5-INT((V5*5)/2)*0.18)-0.2)*14</f>
        <v>10053.959999999999</v>
      </c>
      <c r="T19" s="54">
        <f>((U5-INT((V5*5)/2)*0.18)+0.2)*14</f>
        <v>10059.560000000001</v>
      </c>
      <c r="U19" s="10" t="s">
        <v>9</v>
      </c>
      <c r="V19" s="10" t="s">
        <v>9</v>
      </c>
      <c r="W19" s="90" t="s">
        <v>35</v>
      </c>
      <c r="X19" s="90"/>
      <c r="Y19" s="90"/>
      <c r="Z19" s="75"/>
      <c r="AA19" s="55" t="s">
        <v>112</v>
      </c>
      <c r="AB19" s="54">
        <f>((AD5-INT((AE5*5)/2)*0.18)-0.2)*14</f>
        <v>10228.959999999999</v>
      </c>
      <c r="AC19" s="54">
        <f>((AD5-INT((AE5*5)/2)*0.18)+0.2)*14</f>
        <v>10234.560000000001</v>
      </c>
      <c r="AD19" s="10" t="s">
        <v>9</v>
      </c>
      <c r="AE19" s="10" t="s">
        <v>9</v>
      </c>
      <c r="AF19" s="87" t="s">
        <v>35</v>
      </c>
      <c r="AG19" s="88"/>
      <c r="AH19" s="89"/>
      <c r="AI19" s="75"/>
      <c r="AJ19" s="55" t="s">
        <v>86</v>
      </c>
      <c r="AK19" s="54">
        <f>((AM5+INT((AN5*5)/2)*0.18)-0.2)*14</f>
        <v>10464.439999999999</v>
      </c>
      <c r="AL19" s="54">
        <f>((AM5+INT((AN5*5)/2)*0.18)+0.2)*14</f>
        <v>10470.040000000001</v>
      </c>
      <c r="AM19" s="10" t="s">
        <v>9</v>
      </c>
      <c r="AN19" s="10" t="s">
        <v>9</v>
      </c>
      <c r="AO19" s="90" t="s">
        <v>35</v>
      </c>
      <c r="AP19" s="90"/>
      <c r="AQ19" s="90"/>
      <c r="AR19" s="75"/>
      <c r="AS19" s="55" t="s">
        <v>86</v>
      </c>
      <c r="AT19" s="54">
        <f>(AV5-AW5/2)*14</f>
        <v>10052</v>
      </c>
      <c r="AU19" s="54">
        <f>(AV5+AW5/2)*14</f>
        <v>10122</v>
      </c>
      <c r="AV19" s="10" t="s">
        <v>9</v>
      </c>
      <c r="AW19" s="10" t="s">
        <v>9</v>
      </c>
      <c r="AX19" s="90" t="s">
        <v>35</v>
      </c>
      <c r="AY19" s="90"/>
      <c r="AZ19" s="90"/>
      <c r="BA19" s="75"/>
      <c r="BB19" s="55" t="s">
        <v>86</v>
      </c>
      <c r="BC19" s="54">
        <f>(BE5-BF5/2)*14</f>
        <v>10402</v>
      </c>
      <c r="BD19" s="54">
        <f>(BE5+BF5/2)*14</f>
        <v>10472</v>
      </c>
      <c r="BE19" s="10" t="s">
        <v>9</v>
      </c>
      <c r="BF19" s="10" t="s">
        <v>9</v>
      </c>
      <c r="BG19" s="90" t="s">
        <v>35</v>
      </c>
      <c r="BH19" s="90"/>
      <c r="BI19" s="90"/>
      <c r="BJ19" s="75"/>
      <c r="BK19" s="55" t="s">
        <v>86</v>
      </c>
      <c r="BL19" s="54">
        <f>((BN5-(INT((BO5*5)/2)-0.5)*0.18)-0.2)*14</f>
        <v>10064.459999999999</v>
      </c>
      <c r="BM19" s="54">
        <f>((BN5-(INT((BO5*5)/2)-0.5)*0.18)+0.2)*14</f>
        <v>10070.060000000001</v>
      </c>
      <c r="BN19" s="10" t="s">
        <v>9</v>
      </c>
      <c r="BO19" s="10" t="s">
        <v>9</v>
      </c>
      <c r="BP19" s="90" t="s">
        <v>35</v>
      </c>
      <c r="BQ19" s="90"/>
      <c r="BR19" s="90"/>
      <c r="BS19" s="75"/>
      <c r="BT19" s="55" t="s">
        <v>86</v>
      </c>
      <c r="BU19" s="54">
        <f>((BW5+(INT((BX5*5)/2)-0.5)*0.18)-0.2)*14</f>
        <v>10453.939999999999</v>
      </c>
      <c r="BV19" s="54">
        <f>((BW5+(INT((BX5*5)/2)-0.5)*0.18)+0.2)*14</f>
        <v>10459.540000000001</v>
      </c>
      <c r="BW19" s="10" t="s">
        <v>9</v>
      </c>
      <c r="BX19" s="10" t="s">
        <v>9</v>
      </c>
      <c r="BY19" s="90" t="s">
        <v>35</v>
      </c>
      <c r="BZ19" s="90"/>
      <c r="CA19" s="90"/>
      <c r="CB19" s="75"/>
      <c r="CC19" s="55" t="s">
        <v>86</v>
      </c>
      <c r="CD19" s="54">
        <f>(CF5-CG5/2)*14</f>
        <v>10052</v>
      </c>
      <c r="CE19" s="54">
        <f>(CF5+CG5/2)*14</f>
        <v>10332</v>
      </c>
      <c r="CF19" s="10" t="s">
        <v>9</v>
      </c>
      <c r="CG19" s="10" t="s">
        <v>9</v>
      </c>
      <c r="CH19" s="90" t="s">
        <v>35</v>
      </c>
      <c r="CI19" s="90"/>
      <c r="CJ19" s="90"/>
      <c r="CK19" s="75"/>
      <c r="CL19" s="55" t="s">
        <v>86</v>
      </c>
      <c r="CM19" s="54">
        <f>(CO5-CP5/2)*14</f>
        <v>10192</v>
      </c>
      <c r="CN19" s="54">
        <f>(CO5+CP5/2)*14</f>
        <v>10472</v>
      </c>
      <c r="CO19" s="10" t="s">
        <v>9</v>
      </c>
      <c r="CP19" s="10" t="s">
        <v>9</v>
      </c>
      <c r="CQ19" s="90" t="s">
        <v>35</v>
      </c>
      <c r="CR19" s="90"/>
      <c r="CS19" s="90"/>
      <c r="CT19" s="75"/>
      <c r="CU19" s="55" t="s">
        <v>86</v>
      </c>
    </row>
    <row r="20" spans="1:99" ht="15">
      <c r="A20" s="54">
        <f>((C5-INT((D5*5)/2)*0.18)-0.2)*15</f>
        <v>10770.599999999999</v>
      </c>
      <c r="B20" s="54">
        <f>((C5-INT((D5*5)/2)*0.18)+0.2)*15</f>
        <v>10776.6</v>
      </c>
      <c r="C20" s="10" t="s">
        <v>9</v>
      </c>
      <c r="D20" s="10" t="s">
        <v>9</v>
      </c>
      <c r="E20" s="90" t="s">
        <v>35</v>
      </c>
      <c r="F20" s="90"/>
      <c r="G20" s="90"/>
      <c r="H20" s="75"/>
      <c r="I20" s="55" t="s">
        <v>113</v>
      </c>
      <c r="J20" s="54">
        <f>((L5+INT((M5*5)/2)*0.18)-0.2)*15</f>
        <v>11213.4</v>
      </c>
      <c r="K20" s="54">
        <f>((L5+INT((M5*5)/2)*0.18)+0.2)*15</f>
        <v>11219.400000000001</v>
      </c>
      <c r="L20" s="10" t="s">
        <v>9</v>
      </c>
      <c r="M20" s="10" t="s">
        <v>9</v>
      </c>
      <c r="N20" s="90" t="s">
        <v>35</v>
      </c>
      <c r="O20" s="90"/>
      <c r="P20" s="90"/>
      <c r="Q20" s="75"/>
      <c r="R20" s="55" t="s">
        <v>113</v>
      </c>
      <c r="S20" s="54">
        <f>((U5-INT((V5*5)/2)*0.18)-0.2)*15</f>
        <v>10772.1</v>
      </c>
      <c r="T20" s="54">
        <f>((U5-INT((V5*5)/2)*0.18)+0.2)*15</f>
        <v>10778.1</v>
      </c>
      <c r="U20" s="10" t="s">
        <v>9</v>
      </c>
      <c r="V20" s="10" t="s">
        <v>9</v>
      </c>
      <c r="W20" s="90" t="s">
        <v>35</v>
      </c>
      <c r="X20" s="90"/>
      <c r="Y20" s="90"/>
      <c r="Z20" s="75"/>
      <c r="AA20" s="55" t="s">
        <v>113</v>
      </c>
      <c r="AB20" s="54">
        <f>((AD5-INT((AE5*5)/2)*0.18)-0.2)*15</f>
        <v>10959.6</v>
      </c>
      <c r="AC20" s="54">
        <f>((AD5-INT((AE5*5)/2)*0.18)+0.2)*15</f>
        <v>10965.6</v>
      </c>
      <c r="AD20" s="10" t="s">
        <v>9</v>
      </c>
      <c r="AE20" s="10" t="s">
        <v>9</v>
      </c>
      <c r="AF20" s="87" t="s">
        <v>35</v>
      </c>
      <c r="AG20" s="88"/>
      <c r="AH20" s="89"/>
      <c r="AI20" s="75"/>
      <c r="AJ20" s="55" t="s">
        <v>90</v>
      </c>
      <c r="AK20" s="54">
        <f>((AM5+INT((AN5*5)/2)*0.18)-0.2)*15</f>
        <v>11211.9</v>
      </c>
      <c r="AL20" s="54">
        <f>((AM5+INT((AN5*5)/2)*0.18)+0.2)*15</f>
        <v>11217.9</v>
      </c>
      <c r="AM20" s="10" t="s">
        <v>9</v>
      </c>
      <c r="AN20" s="10" t="s">
        <v>9</v>
      </c>
      <c r="AO20" s="90" t="s">
        <v>35</v>
      </c>
      <c r="AP20" s="90"/>
      <c r="AQ20" s="90"/>
      <c r="AR20" s="75"/>
      <c r="AS20" s="55" t="s">
        <v>90</v>
      </c>
      <c r="AT20" s="54">
        <f>(AV5-AW5/2)*15</f>
        <v>10770</v>
      </c>
      <c r="AU20" s="54">
        <f>(AV5+AW5/2)*15</f>
        <v>10845</v>
      </c>
      <c r="AV20" s="10" t="s">
        <v>9</v>
      </c>
      <c r="AW20" s="10" t="s">
        <v>9</v>
      </c>
      <c r="AX20" s="90" t="s">
        <v>35</v>
      </c>
      <c r="AY20" s="90"/>
      <c r="AZ20" s="90"/>
      <c r="BA20" s="75"/>
      <c r="BB20" s="55" t="s">
        <v>90</v>
      </c>
      <c r="BC20" s="54">
        <f>(BE5-BF5/2)*15</f>
        <v>11145</v>
      </c>
      <c r="BD20" s="54">
        <f>(BE5+BF5/2)*15</f>
        <v>11220</v>
      </c>
      <c r="BE20" s="10" t="s">
        <v>9</v>
      </c>
      <c r="BF20" s="10" t="s">
        <v>9</v>
      </c>
      <c r="BG20" s="90" t="s">
        <v>35</v>
      </c>
      <c r="BH20" s="90"/>
      <c r="BI20" s="90"/>
      <c r="BJ20" s="75"/>
      <c r="BK20" s="55" t="s">
        <v>90</v>
      </c>
      <c r="BL20" s="54">
        <f>((BN5-(INT((BO5*5)/2)-0.5)*0.18)-0.2)*15</f>
        <v>10783.35</v>
      </c>
      <c r="BM20" s="54">
        <f>((BN5-(INT((BO5*5)/2)-0.5)*0.18)+0.2)*15</f>
        <v>10789.35</v>
      </c>
      <c r="BN20" s="10" t="s">
        <v>9</v>
      </c>
      <c r="BO20" s="10" t="s">
        <v>9</v>
      </c>
      <c r="BP20" s="90" t="s">
        <v>35</v>
      </c>
      <c r="BQ20" s="90"/>
      <c r="BR20" s="90"/>
      <c r="BS20" s="75"/>
      <c r="BT20" s="55" t="s">
        <v>90</v>
      </c>
      <c r="BU20" s="54">
        <f>((BW5+(INT((BX5*5)/2)-0.5)*0.18)-0.2)*15</f>
        <v>11200.65</v>
      </c>
      <c r="BV20" s="54">
        <f>((BW5+(INT((BX5*5)/2)-0.5)*0.18)+0.2)*15</f>
        <v>11206.65</v>
      </c>
      <c r="BW20" s="10" t="s">
        <v>9</v>
      </c>
      <c r="BX20" s="10" t="s">
        <v>9</v>
      </c>
      <c r="BY20" s="90" t="s">
        <v>35</v>
      </c>
      <c r="BZ20" s="90"/>
      <c r="CA20" s="90"/>
      <c r="CB20" s="75"/>
      <c r="CC20" s="55" t="s">
        <v>90</v>
      </c>
      <c r="CD20" s="54">
        <f>(CF5-CG5/2)*15</f>
        <v>10770</v>
      </c>
      <c r="CE20" s="54">
        <f>(CF5+CG5/2)*15</f>
        <v>11070</v>
      </c>
      <c r="CF20" s="10" t="s">
        <v>9</v>
      </c>
      <c r="CG20" s="10" t="s">
        <v>9</v>
      </c>
      <c r="CH20" s="90" t="s">
        <v>35</v>
      </c>
      <c r="CI20" s="90"/>
      <c r="CJ20" s="90"/>
      <c r="CK20" s="75"/>
      <c r="CL20" s="55" t="s">
        <v>90</v>
      </c>
      <c r="CM20" s="54">
        <f>(CO5-CP5/2)*15</f>
        <v>10920</v>
      </c>
      <c r="CN20" s="54">
        <f>(CO5+CP5/2)*15</f>
        <v>11220</v>
      </c>
      <c r="CO20" s="10" t="s">
        <v>9</v>
      </c>
      <c r="CP20" s="10" t="s">
        <v>9</v>
      </c>
      <c r="CQ20" s="90" t="s">
        <v>35</v>
      </c>
      <c r="CR20" s="90"/>
      <c r="CS20" s="90"/>
      <c r="CT20" s="75"/>
      <c r="CU20" s="55" t="s">
        <v>90</v>
      </c>
    </row>
    <row r="21" spans="1:99" ht="15">
      <c r="A21" s="54">
        <f>((C5-INT((D5*5)/2)*0.18)-0.2)*16</f>
        <v>11488.64</v>
      </c>
      <c r="B21" s="54">
        <f>((C5-INT((D5*5)/2)*0.18)+0.2)*16</f>
        <v>11495.04</v>
      </c>
      <c r="C21" s="10" t="s">
        <v>9</v>
      </c>
      <c r="D21" s="10" t="s">
        <v>9</v>
      </c>
      <c r="E21" s="90" t="s">
        <v>35</v>
      </c>
      <c r="F21" s="90"/>
      <c r="G21" s="90"/>
      <c r="H21" s="75"/>
      <c r="I21" s="55" t="s">
        <v>114</v>
      </c>
      <c r="J21" s="54">
        <f>((L5+INT((M5*5)/2)*0.18)-0.2)*16</f>
        <v>11960.96</v>
      </c>
      <c r="K21" s="54">
        <f>((L5+INT((M5*5)/2)*0.18)+0.2)*16</f>
        <v>11967.36</v>
      </c>
      <c r="L21" s="10" t="s">
        <v>9</v>
      </c>
      <c r="M21" s="10" t="s">
        <v>9</v>
      </c>
      <c r="N21" s="90" t="s">
        <v>35</v>
      </c>
      <c r="O21" s="90"/>
      <c r="P21" s="90"/>
      <c r="Q21" s="75"/>
      <c r="R21" s="55" t="s">
        <v>114</v>
      </c>
      <c r="S21" s="54">
        <f>((U5-INT((V5*5)/2)*0.18)-0.2)*16</f>
        <v>11490.24</v>
      </c>
      <c r="T21" s="54">
        <f>((U5-INT((V5*5)/2)*0.18)+0.2)*16</f>
        <v>11496.640000000001</v>
      </c>
      <c r="U21" s="10" t="s">
        <v>9</v>
      </c>
      <c r="V21" s="10" t="s">
        <v>9</v>
      </c>
      <c r="W21" s="90" t="s">
        <v>35</v>
      </c>
      <c r="X21" s="90"/>
      <c r="Y21" s="90"/>
      <c r="Z21" s="75"/>
      <c r="AA21" s="55" t="s">
        <v>114</v>
      </c>
      <c r="AB21" s="54">
        <f>((AD5-INT((AE5*5)/2)*0.18)-0.2)*16</f>
        <v>11690.24</v>
      </c>
      <c r="AC21" s="54">
        <f>((AD5-INT((AE5*5)/2)*0.18)+0.2)*16</f>
        <v>11696.640000000001</v>
      </c>
      <c r="AD21" s="10" t="s">
        <v>9</v>
      </c>
      <c r="AE21" s="10" t="s">
        <v>9</v>
      </c>
      <c r="AF21" s="87" t="s">
        <v>35</v>
      </c>
      <c r="AG21" s="88"/>
      <c r="AH21" s="89"/>
      <c r="AI21" s="75"/>
      <c r="AJ21" s="55" t="s">
        <v>93</v>
      </c>
      <c r="AK21" s="54">
        <f>((AM5+INT((AN5*5)/2)*0.18)-0.2)*16</f>
        <v>11959.359999999999</v>
      </c>
      <c r="AL21" s="54">
        <f>((AM5+INT((AN5*5)/2)*0.18)+0.2)*16</f>
        <v>11965.76</v>
      </c>
      <c r="AM21" s="10" t="s">
        <v>9</v>
      </c>
      <c r="AN21" s="10" t="s">
        <v>9</v>
      </c>
      <c r="AO21" s="90" t="s">
        <v>35</v>
      </c>
      <c r="AP21" s="90"/>
      <c r="AQ21" s="90"/>
      <c r="AR21" s="75"/>
      <c r="AS21" s="55" t="s">
        <v>93</v>
      </c>
      <c r="AT21" s="54">
        <f>(AV5-AW5/2)*16</f>
        <v>11488</v>
      </c>
      <c r="AU21" s="54">
        <f>(AV5+AW5/2)*16</f>
        <v>11568</v>
      </c>
      <c r="AV21" s="10" t="s">
        <v>9</v>
      </c>
      <c r="AW21" s="10" t="s">
        <v>9</v>
      </c>
      <c r="AX21" s="90" t="s">
        <v>35</v>
      </c>
      <c r="AY21" s="90"/>
      <c r="AZ21" s="90"/>
      <c r="BA21" s="75"/>
      <c r="BB21" s="55" t="s">
        <v>93</v>
      </c>
      <c r="BC21" s="54">
        <f>(BE5-BF5/2)*16</f>
        <v>11888</v>
      </c>
      <c r="BD21" s="54">
        <f>(BE5+BF5/2)*16</f>
        <v>11968</v>
      </c>
      <c r="BE21" s="10" t="s">
        <v>9</v>
      </c>
      <c r="BF21" s="10" t="s">
        <v>9</v>
      </c>
      <c r="BG21" s="90" t="s">
        <v>35</v>
      </c>
      <c r="BH21" s="90"/>
      <c r="BI21" s="90"/>
      <c r="BJ21" s="75"/>
      <c r="BK21" s="55" t="s">
        <v>93</v>
      </c>
      <c r="BL21" s="54">
        <f>((BN5-(INT((BO5*5)/2)-0.5)*0.18)-0.2)*16</f>
        <v>11502.24</v>
      </c>
      <c r="BM21" s="54">
        <f>((BN5-(INT((BO5*5)/2)-0.5)*0.18)+0.2)*16</f>
        <v>11508.640000000001</v>
      </c>
      <c r="BN21" s="10" t="s">
        <v>9</v>
      </c>
      <c r="BO21" s="10" t="s">
        <v>9</v>
      </c>
      <c r="BP21" s="90" t="s">
        <v>35</v>
      </c>
      <c r="BQ21" s="90"/>
      <c r="BR21" s="90"/>
      <c r="BS21" s="75"/>
      <c r="BT21" s="55" t="s">
        <v>93</v>
      </c>
      <c r="BU21" s="54">
        <f>((BW5+(INT((BX5*5)/2)-0.5)*0.18)-0.2)*16</f>
        <v>11947.359999999999</v>
      </c>
      <c r="BV21" s="54">
        <f>((BW5+(INT((BX5*5)/2)-0.5)*0.18)+0.2)*16</f>
        <v>11953.76</v>
      </c>
      <c r="BW21" s="10" t="s">
        <v>9</v>
      </c>
      <c r="BX21" s="10" t="s">
        <v>9</v>
      </c>
      <c r="BY21" s="90" t="s">
        <v>35</v>
      </c>
      <c r="BZ21" s="90"/>
      <c r="CA21" s="90"/>
      <c r="CB21" s="75"/>
      <c r="CC21" s="55" t="s">
        <v>93</v>
      </c>
      <c r="CD21" s="54">
        <f>(CF5-CG5/2)*16</f>
        <v>11488</v>
      </c>
      <c r="CE21" s="54">
        <f>(CF5+CG5/2)*16</f>
        <v>11808</v>
      </c>
      <c r="CF21" s="10" t="s">
        <v>9</v>
      </c>
      <c r="CG21" s="10" t="s">
        <v>9</v>
      </c>
      <c r="CH21" s="90" t="s">
        <v>35</v>
      </c>
      <c r="CI21" s="90"/>
      <c r="CJ21" s="90"/>
      <c r="CK21" s="75"/>
      <c r="CL21" s="55" t="s">
        <v>93</v>
      </c>
      <c r="CM21" s="54">
        <f>(CO5-CP5/2)*16</f>
        <v>11648</v>
      </c>
      <c r="CN21" s="54">
        <f>(CO5+CP5/2)*16</f>
        <v>11968</v>
      </c>
      <c r="CO21" s="10" t="s">
        <v>9</v>
      </c>
      <c r="CP21" s="10" t="s">
        <v>9</v>
      </c>
      <c r="CQ21" s="90" t="s">
        <v>35</v>
      </c>
      <c r="CR21" s="90"/>
      <c r="CS21" s="90"/>
      <c r="CT21" s="75"/>
      <c r="CU21" s="55" t="s">
        <v>93</v>
      </c>
    </row>
    <row r="22" spans="1:99" ht="15">
      <c r="A22" s="54">
        <f>((C5-INT((D5*5)/2)*0.18)-0.2)*17</f>
        <v>12206.68</v>
      </c>
      <c r="B22" s="54">
        <f>((C5-INT((D5*5)/2)*0.18)+0.2)*17</f>
        <v>12213.480000000001</v>
      </c>
      <c r="C22" s="10" t="s">
        <v>9</v>
      </c>
      <c r="D22" s="10" t="s">
        <v>9</v>
      </c>
      <c r="E22" s="90" t="s">
        <v>35</v>
      </c>
      <c r="F22" s="90"/>
      <c r="G22" s="90"/>
      <c r="H22" s="75"/>
      <c r="I22" s="55" t="s">
        <v>115</v>
      </c>
      <c r="J22" s="54">
        <f>((L5+INT((M5*5)/2)*0.18)-0.2)*17</f>
        <v>12708.519999999999</v>
      </c>
      <c r="K22" s="54">
        <f>((L5+INT((M5*5)/2)*0.18)+0.2)*17</f>
        <v>12715.32</v>
      </c>
      <c r="L22" s="10" t="s">
        <v>9</v>
      </c>
      <c r="M22" s="10" t="s">
        <v>9</v>
      </c>
      <c r="N22" s="90" t="s">
        <v>35</v>
      </c>
      <c r="O22" s="90"/>
      <c r="P22" s="90"/>
      <c r="Q22" s="75"/>
      <c r="R22" s="55" t="s">
        <v>115</v>
      </c>
      <c r="S22" s="54">
        <f>((U5-INT((V5*5)/2)*0.18)-0.2)*17</f>
        <v>12208.38</v>
      </c>
      <c r="T22" s="54">
        <f>((U5-INT((V5*5)/2)*0.18)+0.2)*17</f>
        <v>12215.180000000002</v>
      </c>
      <c r="U22" s="10" t="s">
        <v>9</v>
      </c>
      <c r="V22" s="10" t="s">
        <v>9</v>
      </c>
      <c r="W22" s="90" t="s">
        <v>35</v>
      </c>
      <c r="X22" s="90"/>
      <c r="Y22" s="90"/>
      <c r="Z22" s="75"/>
      <c r="AA22" s="55" t="s">
        <v>115</v>
      </c>
      <c r="AB22" s="54">
        <f>((AD5-INT((AE5*5)/2)*0.18)-0.2)*17</f>
        <v>12420.88</v>
      </c>
      <c r="AC22" s="54">
        <f>((AD5-INT((AE5*5)/2)*0.18)+0.2)*17</f>
        <v>12427.680000000002</v>
      </c>
      <c r="AD22" s="10" t="s">
        <v>9</v>
      </c>
      <c r="AE22" s="10" t="s">
        <v>9</v>
      </c>
      <c r="AF22" s="87" t="s">
        <v>35</v>
      </c>
      <c r="AG22" s="88"/>
      <c r="AH22" s="89"/>
      <c r="AI22" s="75"/>
      <c r="AJ22" s="55" t="s">
        <v>96</v>
      </c>
      <c r="AK22" s="54">
        <f>((AM5+INT((AN5*5)/2)*0.18)-0.2)*17</f>
        <v>12706.819999999998</v>
      </c>
      <c r="AL22" s="54">
        <f>((AM5+INT((AN5*5)/2)*0.18)+0.2)*17</f>
        <v>12713.62</v>
      </c>
      <c r="AM22" s="10" t="s">
        <v>9</v>
      </c>
      <c r="AN22" s="10" t="s">
        <v>9</v>
      </c>
      <c r="AO22" s="90" t="s">
        <v>35</v>
      </c>
      <c r="AP22" s="90"/>
      <c r="AQ22" s="90"/>
      <c r="AR22" s="75"/>
      <c r="AS22" s="55" t="s">
        <v>96</v>
      </c>
      <c r="AT22" s="54">
        <f>(AV5-AW5/2)*17</f>
        <v>12206</v>
      </c>
      <c r="AU22" s="54">
        <f>(AV5+AW5/2)*17</f>
        <v>12291</v>
      </c>
      <c r="AV22" s="10" t="s">
        <v>9</v>
      </c>
      <c r="AW22" s="10" t="s">
        <v>9</v>
      </c>
      <c r="AX22" s="90" t="s">
        <v>35</v>
      </c>
      <c r="AY22" s="90"/>
      <c r="AZ22" s="90"/>
      <c r="BA22" s="75"/>
      <c r="BB22" s="55" t="s">
        <v>96</v>
      </c>
      <c r="BC22" s="54">
        <f>(BE5-BF5/2)*17</f>
        <v>12631</v>
      </c>
      <c r="BD22" s="54">
        <f>(BE5+BF5/2)*17</f>
        <v>12716</v>
      </c>
      <c r="BE22" s="10" t="s">
        <v>9</v>
      </c>
      <c r="BF22" s="10" t="s">
        <v>9</v>
      </c>
      <c r="BG22" s="90" t="s">
        <v>35</v>
      </c>
      <c r="BH22" s="90"/>
      <c r="BI22" s="90"/>
      <c r="BJ22" s="75"/>
      <c r="BK22" s="55" t="s">
        <v>96</v>
      </c>
      <c r="BL22" s="54">
        <f>((BN5-(INT((BO5*5)/2)-0.5)*0.18)-0.2)*17</f>
        <v>12221.13</v>
      </c>
      <c r="BM22" s="54">
        <f>((BN5-(INT((BO5*5)/2)-0.5)*0.18)+0.2)*17</f>
        <v>12227.930000000002</v>
      </c>
      <c r="BN22" s="10" t="s">
        <v>9</v>
      </c>
      <c r="BO22" s="10" t="s">
        <v>9</v>
      </c>
      <c r="BP22" s="90" t="s">
        <v>35</v>
      </c>
      <c r="BQ22" s="90"/>
      <c r="BR22" s="90"/>
      <c r="BS22" s="75"/>
      <c r="BT22" s="55" t="s">
        <v>96</v>
      </c>
      <c r="BU22" s="54">
        <f>((BW5+(INT((BX5*5)/2)-0.5)*0.18)-0.2)*17</f>
        <v>12694.069999999998</v>
      </c>
      <c r="BV22" s="54">
        <f>((BW5+(INT((BX5*5)/2)-0.5)*0.18)+0.2)*17</f>
        <v>12700.87</v>
      </c>
      <c r="BW22" s="10" t="s">
        <v>9</v>
      </c>
      <c r="BX22" s="10" t="s">
        <v>9</v>
      </c>
      <c r="BY22" s="90" t="s">
        <v>35</v>
      </c>
      <c r="BZ22" s="90"/>
      <c r="CA22" s="90"/>
      <c r="CB22" s="75"/>
      <c r="CC22" s="55" t="s">
        <v>96</v>
      </c>
      <c r="CD22" s="54">
        <f>(CF5-CG5/2)*17</f>
        <v>12206</v>
      </c>
      <c r="CE22" s="54">
        <f>(CF5+CG5/2)*17</f>
        <v>12546</v>
      </c>
      <c r="CF22" s="10" t="s">
        <v>9</v>
      </c>
      <c r="CG22" s="10" t="s">
        <v>9</v>
      </c>
      <c r="CH22" s="90" t="s">
        <v>35</v>
      </c>
      <c r="CI22" s="90"/>
      <c r="CJ22" s="90"/>
      <c r="CK22" s="75"/>
      <c r="CL22" s="55" t="s">
        <v>96</v>
      </c>
      <c r="CM22" s="54">
        <f>(CO5-CP5/2)*17</f>
        <v>12376</v>
      </c>
      <c r="CN22" s="54">
        <f>(CO5+CP5/2)*17</f>
        <v>12716</v>
      </c>
      <c r="CO22" s="10" t="s">
        <v>9</v>
      </c>
      <c r="CP22" s="10" t="s">
        <v>9</v>
      </c>
      <c r="CQ22" s="90" t="s">
        <v>35</v>
      </c>
      <c r="CR22" s="90"/>
      <c r="CS22" s="90"/>
      <c r="CT22" s="75"/>
      <c r="CU22" s="55" t="s">
        <v>96</v>
      </c>
    </row>
  </sheetData>
  <mergeCells count="212">
    <mergeCell ref="AO21:AQ21"/>
    <mergeCell ref="AX21:AZ21"/>
    <mergeCell ref="BG21:BI21"/>
    <mergeCell ref="BP21:BR21"/>
    <mergeCell ref="BY21:CA21"/>
    <mergeCell ref="CH21:CJ21"/>
    <mergeCell ref="CQ21:CS21"/>
    <mergeCell ref="AO22:AQ22"/>
    <mergeCell ref="AX22:AZ22"/>
    <mergeCell ref="BG22:BI22"/>
    <mergeCell ref="BP22:BR22"/>
    <mergeCell ref="BY22:CA22"/>
    <mergeCell ref="CH22:CJ22"/>
    <mergeCell ref="CQ22:CS22"/>
    <mergeCell ref="AO19:AQ19"/>
    <mergeCell ref="AX19:AZ19"/>
    <mergeCell ref="BG19:BI19"/>
    <mergeCell ref="BP19:BR19"/>
    <mergeCell ref="BY19:CA19"/>
    <mergeCell ref="CH19:CJ19"/>
    <mergeCell ref="CQ19:CS19"/>
    <mergeCell ref="AO20:AQ20"/>
    <mergeCell ref="AX20:AZ20"/>
    <mergeCell ref="BG20:BI20"/>
    <mergeCell ref="BP20:BR20"/>
    <mergeCell ref="BY20:CA20"/>
    <mergeCell ref="CH20:CJ20"/>
    <mergeCell ref="CQ20:CS20"/>
    <mergeCell ref="AO17:AQ17"/>
    <mergeCell ref="AX17:AZ17"/>
    <mergeCell ref="BG17:BI17"/>
    <mergeCell ref="BP17:BR17"/>
    <mergeCell ref="BY17:CA17"/>
    <mergeCell ref="CH17:CJ17"/>
    <mergeCell ref="CQ17:CS17"/>
    <mergeCell ref="AO18:AQ18"/>
    <mergeCell ref="AX18:AZ18"/>
    <mergeCell ref="BG18:BI18"/>
    <mergeCell ref="BP18:BR18"/>
    <mergeCell ref="BY18:CA18"/>
    <mergeCell ref="CH18:CJ18"/>
    <mergeCell ref="CQ18:CS18"/>
    <mergeCell ref="AO15:AQ15"/>
    <mergeCell ref="AX15:AZ15"/>
    <mergeCell ref="BG15:BI15"/>
    <mergeCell ref="BP15:BR15"/>
    <mergeCell ref="BY15:CA15"/>
    <mergeCell ref="CH15:CJ15"/>
    <mergeCell ref="CQ15:CS15"/>
    <mergeCell ref="AO16:AQ16"/>
    <mergeCell ref="AX16:AZ16"/>
    <mergeCell ref="BG16:BI16"/>
    <mergeCell ref="BP16:BR16"/>
    <mergeCell ref="BY16:CA16"/>
    <mergeCell ref="CH16:CJ16"/>
    <mergeCell ref="CQ16:CS16"/>
    <mergeCell ref="AO13:AQ13"/>
    <mergeCell ref="AX13:AZ13"/>
    <mergeCell ref="BG13:BI13"/>
    <mergeCell ref="BP13:BR13"/>
    <mergeCell ref="BY13:CA13"/>
    <mergeCell ref="CH13:CJ13"/>
    <mergeCell ref="CQ13:CS13"/>
    <mergeCell ref="AO14:AQ14"/>
    <mergeCell ref="AX14:AZ14"/>
    <mergeCell ref="BG14:BI14"/>
    <mergeCell ref="BP14:BR14"/>
    <mergeCell ref="BY14:CA14"/>
    <mergeCell ref="CH14:CJ14"/>
    <mergeCell ref="CQ14:CS14"/>
    <mergeCell ref="AO11:AQ11"/>
    <mergeCell ref="AX11:AZ11"/>
    <mergeCell ref="BG11:BI11"/>
    <mergeCell ref="BP11:BR11"/>
    <mergeCell ref="BY11:CA11"/>
    <mergeCell ref="CH11:CJ11"/>
    <mergeCell ref="CQ11:CS11"/>
    <mergeCell ref="AO12:AQ12"/>
    <mergeCell ref="AX12:AZ12"/>
    <mergeCell ref="BG12:BI12"/>
    <mergeCell ref="BP12:BR12"/>
    <mergeCell ref="BY12:CA12"/>
    <mergeCell ref="CH12:CJ12"/>
    <mergeCell ref="CQ12:CS12"/>
    <mergeCell ref="AO9:AQ9"/>
    <mergeCell ref="AX9:AZ9"/>
    <mergeCell ref="BG9:BI9"/>
    <mergeCell ref="BP9:BR9"/>
    <mergeCell ref="BY9:CA9"/>
    <mergeCell ref="CH9:CJ9"/>
    <mergeCell ref="CQ9:CS9"/>
    <mergeCell ref="AO10:AQ10"/>
    <mergeCell ref="AX10:AZ10"/>
    <mergeCell ref="BG10:BI10"/>
    <mergeCell ref="BP10:BR10"/>
    <mergeCell ref="BY10:CA10"/>
    <mergeCell ref="CH10:CJ10"/>
    <mergeCell ref="CQ10:CS10"/>
    <mergeCell ref="BY7:CA7"/>
    <mergeCell ref="CH7:CJ7"/>
    <mergeCell ref="CQ7:CS7"/>
    <mergeCell ref="AO8:AQ8"/>
    <mergeCell ref="AX8:AZ8"/>
    <mergeCell ref="BG8:BI8"/>
    <mergeCell ref="BP8:BR8"/>
    <mergeCell ref="BY8:CA8"/>
    <mergeCell ref="CH8:CJ8"/>
    <mergeCell ref="CQ8:CS8"/>
    <mergeCell ref="CC4:CC5"/>
    <mergeCell ref="CL4:CL5"/>
    <mergeCell ref="CU4:CU5"/>
    <mergeCell ref="AK6:AL6"/>
    <mergeCell ref="AO6:AQ6"/>
    <mergeCell ref="AT6:AU6"/>
    <mergeCell ref="AX6:AZ6"/>
    <mergeCell ref="BC6:BD6"/>
    <mergeCell ref="BG6:BI6"/>
    <mergeCell ref="BL6:BM6"/>
    <mergeCell ref="BP6:BR6"/>
    <mergeCell ref="BU6:BV6"/>
    <mergeCell ref="BY6:CA6"/>
    <mergeCell ref="CD6:CE6"/>
    <mergeCell ref="CH6:CJ6"/>
    <mergeCell ref="CM6:CN6"/>
    <mergeCell ref="CQ6:CS6"/>
    <mergeCell ref="N6:P6"/>
    <mergeCell ref="W6:Y6"/>
    <mergeCell ref="N7:P7"/>
    <mergeCell ref="W7:Y7"/>
    <mergeCell ref="E8:G8"/>
    <mergeCell ref="AS4:AS5"/>
    <mergeCell ref="BB4:BB5"/>
    <mergeCell ref="BK4:BK5"/>
    <mergeCell ref="BT4:BT5"/>
    <mergeCell ref="AO7:AQ7"/>
    <mergeCell ref="AX7:AZ7"/>
    <mergeCell ref="BG7:BI7"/>
    <mergeCell ref="BP7:BR7"/>
    <mergeCell ref="B1:K1"/>
    <mergeCell ref="E11:G11"/>
    <mergeCell ref="N11:P11"/>
    <mergeCell ref="W11:Y11"/>
    <mergeCell ref="E10:G10"/>
    <mergeCell ref="N10:P10"/>
    <mergeCell ref="W10:Y10"/>
    <mergeCell ref="E13:G13"/>
    <mergeCell ref="N13:P13"/>
    <mergeCell ref="W13:Y13"/>
    <mergeCell ref="E12:G12"/>
    <mergeCell ref="N12:P12"/>
    <mergeCell ref="W12:Y12"/>
    <mergeCell ref="E9:G9"/>
    <mergeCell ref="N9:P9"/>
    <mergeCell ref="W9:Y9"/>
    <mergeCell ref="I4:I5"/>
    <mergeCell ref="B2:J2"/>
    <mergeCell ref="B3:J3"/>
    <mergeCell ref="R4:R5"/>
    <mergeCell ref="E7:G7"/>
    <mergeCell ref="A6:B6"/>
    <mergeCell ref="S6:T6"/>
    <mergeCell ref="E6:G6"/>
    <mergeCell ref="E15:G15"/>
    <mergeCell ref="N15:P15"/>
    <mergeCell ref="W15:Y15"/>
    <mergeCell ref="E14:G14"/>
    <mergeCell ref="N14:P14"/>
    <mergeCell ref="W14:Y14"/>
    <mergeCell ref="E17:G17"/>
    <mergeCell ref="N17:P17"/>
    <mergeCell ref="W17:Y17"/>
    <mergeCell ref="E16:G16"/>
    <mergeCell ref="N16:P16"/>
    <mergeCell ref="W16:Y16"/>
    <mergeCell ref="AF20:AH20"/>
    <mergeCell ref="E19:G19"/>
    <mergeCell ref="N19:P19"/>
    <mergeCell ref="W19:Y19"/>
    <mergeCell ref="E18:G18"/>
    <mergeCell ref="N18:P18"/>
    <mergeCell ref="W18:Y18"/>
    <mergeCell ref="E21:G21"/>
    <mergeCell ref="N21:P21"/>
    <mergeCell ref="W21:Y21"/>
    <mergeCell ref="E20:G20"/>
    <mergeCell ref="N20:P20"/>
    <mergeCell ref="W20:Y20"/>
    <mergeCell ref="AF21:AH21"/>
    <mergeCell ref="AF22:AH22"/>
    <mergeCell ref="E22:G22"/>
    <mergeCell ref="N22:P22"/>
    <mergeCell ref="W22:Y22"/>
    <mergeCell ref="AA4:AA5"/>
    <mergeCell ref="AJ4:AJ5"/>
    <mergeCell ref="AB6:AC6"/>
    <mergeCell ref="AF6:AH6"/>
    <mergeCell ref="AF7:AH7"/>
    <mergeCell ref="AF8:AH8"/>
    <mergeCell ref="J6:K6"/>
    <mergeCell ref="AF9:AH9"/>
    <mergeCell ref="AF10:AH10"/>
    <mergeCell ref="AF11:AH11"/>
    <mergeCell ref="AF12:AH12"/>
    <mergeCell ref="AF13:AH13"/>
    <mergeCell ref="N8:P8"/>
    <mergeCell ref="W8:Y8"/>
    <mergeCell ref="AF14:AH14"/>
    <mergeCell ref="AF15:AH15"/>
    <mergeCell ref="AF16:AH16"/>
    <mergeCell ref="AF17:AH17"/>
    <mergeCell ref="AF18:AH18"/>
    <mergeCell ref="AF19:AH19"/>
  </mergeCells>
  <phoneticPr fontId="1" type="noConversion"/>
  <conditionalFormatting sqref="CB7">
    <cfRule type="containsBlanks" priority="472" stopIfTrue="1">
      <formula>LEN(TRIM(CB7))=0</formula>
    </cfRule>
    <cfRule type="cellIs" dxfId="635" priority="473" stopIfTrue="1" operator="greaterThan">
      <formula>-30</formula>
    </cfRule>
    <cfRule type="cellIs" dxfId="634" priority="474" stopIfTrue="1" operator="between">
      <formula>-33</formula>
      <formula>-30</formula>
    </cfRule>
  </conditionalFormatting>
  <conditionalFormatting sqref="CB8">
    <cfRule type="containsBlanks" priority="469" stopIfTrue="1">
      <formula>LEN(TRIM(CB8))=0</formula>
    </cfRule>
    <cfRule type="cellIs" dxfId="633" priority="470" stopIfTrue="1" operator="greaterThan">
      <formula>-30</formula>
    </cfRule>
    <cfRule type="cellIs" dxfId="632" priority="471" stopIfTrue="1" operator="between">
      <formula>-33</formula>
      <formula>-30</formula>
    </cfRule>
  </conditionalFormatting>
  <conditionalFormatting sqref="CB9">
    <cfRule type="containsBlanks" priority="466" stopIfTrue="1">
      <formula>LEN(TRIM(CB9))=0</formula>
    </cfRule>
    <cfRule type="cellIs" dxfId="631" priority="467" stopIfTrue="1" operator="greaterThan">
      <formula>-30</formula>
    </cfRule>
    <cfRule type="cellIs" dxfId="630" priority="468" stopIfTrue="1" operator="between">
      <formula>-33</formula>
      <formula>-30</formula>
    </cfRule>
  </conditionalFormatting>
  <conditionalFormatting sqref="CK7">
    <cfRule type="containsBlanks" priority="463" stopIfTrue="1">
      <formula>LEN(TRIM(CK7))=0</formula>
    </cfRule>
    <cfRule type="cellIs" dxfId="629" priority="464" stopIfTrue="1" operator="greaterThan">
      <formula>-30</formula>
    </cfRule>
    <cfRule type="cellIs" dxfId="628" priority="465" stopIfTrue="1" operator="between">
      <formula>-33</formula>
      <formula>-30</formula>
    </cfRule>
  </conditionalFormatting>
  <conditionalFormatting sqref="CK8">
    <cfRule type="containsBlanks" priority="460" stopIfTrue="1">
      <formula>LEN(TRIM(CK8))=0</formula>
    </cfRule>
    <cfRule type="cellIs" dxfId="627" priority="461" stopIfTrue="1" operator="greaterThan">
      <formula>-30</formula>
    </cfRule>
    <cfRule type="cellIs" dxfId="626" priority="462" stopIfTrue="1" operator="between">
      <formula>-33</formula>
      <formula>-30</formula>
    </cfRule>
  </conditionalFormatting>
  <conditionalFormatting sqref="CK9">
    <cfRule type="containsBlanks" priority="457" stopIfTrue="1">
      <formula>LEN(TRIM(CK9))=0</formula>
    </cfRule>
    <cfRule type="cellIs" dxfId="625" priority="458" stopIfTrue="1" operator="greaterThan">
      <formula>-30</formula>
    </cfRule>
    <cfRule type="cellIs" dxfId="624" priority="459" stopIfTrue="1" operator="between">
      <formula>-33</formula>
      <formula>-30</formula>
    </cfRule>
  </conditionalFormatting>
  <conditionalFormatting sqref="CT7">
    <cfRule type="containsBlanks" priority="454" stopIfTrue="1">
      <formula>LEN(TRIM(CT7))=0</formula>
    </cfRule>
    <cfRule type="cellIs" dxfId="623" priority="455" stopIfTrue="1" operator="greaterThan">
      <formula>-30</formula>
    </cfRule>
    <cfRule type="cellIs" dxfId="622" priority="456" stopIfTrue="1" operator="between">
      <formula>-33</formula>
      <formula>-30</formula>
    </cfRule>
  </conditionalFormatting>
  <conditionalFormatting sqref="CT8">
    <cfRule type="containsBlanks" priority="451" stopIfTrue="1">
      <formula>LEN(TRIM(CT8))=0</formula>
    </cfRule>
    <cfRule type="cellIs" dxfId="621" priority="452" stopIfTrue="1" operator="greaterThan">
      <formula>-30</formula>
    </cfRule>
    <cfRule type="cellIs" dxfId="620" priority="453" stopIfTrue="1" operator="between">
      <formula>-33</formula>
      <formula>-30</formula>
    </cfRule>
  </conditionalFormatting>
  <conditionalFormatting sqref="CT9">
    <cfRule type="containsBlanks" priority="448" stopIfTrue="1">
      <formula>LEN(TRIM(CT9))=0</formula>
    </cfRule>
    <cfRule type="cellIs" dxfId="619" priority="449" stopIfTrue="1" operator="greaterThan">
      <formula>-30</formula>
    </cfRule>
    <cfRule type="cellIs" dxfId="618" priority="450" stopIfTrue="1" operator="between">
      <formula>-33</formula>
      <formula>-30</formula>
    </cfRule>
  </conditionalFormatting>
  <conditionalFormatting sqref="H10">
    <cfRule type="containsBlanks" priority="445" stopIfTrue="1">
      <formula>LEN(TRIM(H10))=0</formula>
    </cfRule>
    <cfRule type="cellIs" dxfId="617" priority="446" stopIfTrue="1" operator="greaterThan">
      <formula>-30</formula>
    </cfRule>
    <cfRule type="cellIs" dxfId="616" priority="447" stopIfTrue="1" operator="between">
      <formula>-33</formula>
      <formula>-30</formula>
    </cfRule>
  </conditionalFormatting>
  <conditionalFormatting sqref="AI10">
    <cfRule type="containsBlanks" priority="442" stopIfTrue="1">
      <formula>LEN(TRIM(AI10))=0</formula>
    </cfRule>
    <cfRule type="cellIs" dxfId="615" priority="443" stopIfTrue="1" operator="greaterThan">
      <formula>-30</formula>
    </cfRule>
    <cfRule type="cellIs" dxfId="614" priority="444" stopIfTrue="1" operator="between">
      <formula>-33</formula>
      <formula>-30</formula>
    </cfRule>
  </conditionalFormatting>
  <conditionalFormatting sqref="AR10">
    <cfRule type="containsBlanks" priority="439" stopIfTrue="1">
      <formula>LEN(TRIM(AR10))=0</formula>
    </cfRule>
    <cfRule type="cellIs" dxfId="613" priority="440" stopIfTrue="1" operator="greaterThan">
      <formula>-30</formula>
    </cfRule>
    <cfRule type="cellIs" dxfId="612" priority="441" stopIfTrue="1" operator="between">
      <formula>-33</formula>
      <formula>-30</formula>
    </cfRule>
  </conditionalFormatting>
  <conditionalFormatting sqref="BA10">
    <cfRule type="containsBlanks" priority="436" stopIfTrue="1">
      <formula>LEN(TRIM(BA10))=0</formula>
    </cfRule>
    <cfRule type="cellIs" dxfId="611" priority="437" stopIfTrue="1" operator="greaterThan">
      <formula>-30</formula>
    </cfRule>
    <cfRule type="cellIs" dxfId="610" priority="438" stopIfTrue="1" operator="between">
      <formula>-33</formula>
      <formula>-30</formula>
    </cfRule>
  </conditionalFormatting>
  <conditionalFormatting sqref="BJ10">
    <cfRule type="containsBlanks" priority="433" stopIfTrue="1">
      <formula>LEN(TRIM(BJ10))=0</formula>
    </cfRule>
    <cfRule type="cellIs" dxfId="609" priority="434" stopIfTrue="1" operator="greaterThan">
      <formula>-30</formula>
    </cfRule>
    <cfRule type="cellIs" dxfId="608" priority="435" stopIfTrue="1" operator="between">
      <formula>-33</formula>
      <formula>-30</formula>
    </cfRule>
  </conditionalFormatting>
  <conditionalFormatting sqref="BS10">
    <cfRule type="containsBlanks" priority="430" stopIfTrue="1">
      <formula>LEN(TRIM(BS10))=0</formula>
    </cfRule>
    <cfRule type="cellIs" dxfId="607" priority="431" stopIfTrue="1" operator="greaterThan">
      <formula>-30</formula>
    </cfRule>
    <cfRule type="cellIs" dxfId="606" priority="432" stopIfTrue="1" operator="between">
      <formula>-33</formula>
      <formula>-30</formula>
    </cfRule>
  </conditionalFormatting>
  <conditionalFormatting sqref="CB10">
    <cfRule type="containsBlanks" priority="427" stopIfTrue="1">
      <formula>LEN(TRIM(CB10))=0</formula>
    </cfRule>
    <cfRule type="cellIs" dxfId="605" priority="428" stopIfTrue="1" operator="greaterThan">
      <formula>-30</formula>
    </cfRule>
    <cfRule type="cellIs" dxfId="604" priority="429" stopIfTrue="1" operator="between">
      <formula>-33</formula>
      <formula>-30</formula>
    </cfRule>
  </conditionalFormatting>
  <conditionalFormatting sqref="CK10">
    <cfRule type="containsBlanks" priority="424" stopIfTrue="1">
      <formula>LEN(TRIM(CK10))=0</formula>
    </cfRule>
    <cfRule type="cellIs" dxfId="603" priority="425" stopIfTrue="1" operator="greaterThan">
      <formula>-30</formula>
    </cfRule>
    <cfRule type="cellIs" dxfId="602" priority="426" stopIfTrue="1" operator="between">
      <formula>-33</formula>
      <formula>-30</formula>
    </cfRule>
  </conditionalFormatting>
  <conditionalFormatting sqref="CT10">
    <cfRule type="containsBlanks" priority="421" stopIfTrue="1">
      <formula>LEN(TRIM(CT10))=0</formula>
    </cfRule>
    <cfRule type="cellIs" dxfId="601" priority="422" stopIfTrue="1" operator="greaterThan">
      <formula>-30</formula>
    </cfRule>
    <cfRule type="cellIs" dxfId="600" priority="423" stopIfTrue="1" operator="between">
      <formula>-33</formula>
      <formula>-30</formula>
    </cfRule>
  </conditionalFormatting>
  <conditionalFormatting sqref="H11">
    <cfRule type="containsBlanks" priority="418" stopIfTrue="1">
      <formula>LEN(TRIM(H11))=0</formula>
    </cfRule>
    <cfRule type="cellIs" dxfId="599" priority="419" stopIfTrue="1" operator="greaterThan">
      <formula>-30</formula>
    </cfRule>
    <cfRule type="cellIs" dxfId="598" priority="420" stopIfTrue="1" operator="between">
      <formula>-33</formula>
      <formula>-30</formula>
    </cfRule>
  </conditionalFormatting>
  <conditionalFormatting sqref="AI11">
    <cfRule type="containsBlanks" priority="415" stopIfTrue="1">
      <formula>LEN(TRIM(AI11))=0</formula>
    </cfRule>
    <cfRule type="cellIs" dxfId="597" priority="416" stopIfTrue="1" operator="greaterThan">
      <formula>-30</formula>
    </cfRule>
    <cfRule type="cellIs" dxfId="596" priority="417" stopIfTrue="1" operator="between">
      <formula>-33</formula>
      <formula>-30</formula>
    </cfRule>
  </conditionalFormatting>
  <conditionalFormatting sqref="AR11">
    <cfRule type="containsBlanks" priority="412" stopIfTrue="1">
      <formula>LEN(TRIM(AR11))=0</formula>
    </cfRule>
    <cfRule type="cellIs" dxfId="595" priority="413" stopIfTrue="1" operator="greaterThan">
      <formula>-30</formula>
    </cfRule>
    <cfRule type="cellIs" dxfId="594" priority="414" stopIfTrue="1" operator="between">
      <formula>-33</formula>
      <formula>-30</formula>
    </cfRule>
  </conditionalFormatting>
  <conditionalFormatting sqref="BA11">
    <cfRule type="containsBlanks" priority="409" stopIfTrue="1">
      <formula>LEN(TRIM(BA11))=0</formula>
    </cfRule>
    <cfRule type="cellIs" dxfId="593" priority="410" stopIfTrue="1" operator="greaterThan">
      <formula>-30</formula>
    </cfRule>
    <cfRule type="cellIs" dxfId="592" priority="411" stopIfTrue="1" operator="between">
      <formula>-33</formula>
      <formula>-30</formula>
    </cfRule>
  </conditionalFormatting>
  <conditionalFormatting sqref="BJ11">
    <cfRule type="containsBlanks" priority="406" stopIfTrue="1">
      <formula>LEN(TRIM(BJ11))=0</formula>
    </cfRule>
    <cfRule type="cellIs" dxfId="591" priority="407" stopIfTrue="1" operator="greaterThan">
      <formula>-30</formula>
    </cfRule>
    <cfRule type="cellIs" dxfId="590" priority="408" stopIfTrue="1" operator="between">
      <formula>-33</formula>
      <formula>-30</formula>
    </cfRule>
  </conditionalFormatting>
  <conditionalFormatting sqref="BS11">
    <cfRule type="containsBlanks" priority="403" stopIfTrue="1">
      <formula>LEN(TRIM(BS11))=0</formula>
    </cfRule>
    <cfRule type="cellIs" dxfId="589" priority="404" stopIfTrue="1" operator="greaterThan">
      <formula>-30</formula>
    </cfRule>
    <cfRule type="cellIs" dxfId="588" priority="405" stopIfTrue="1" operator="between">
      <formula>-33</formula>
      <formula>-30</formula>
    </cfRule>
  </conditionalFormatting>
  <conditionalFormatting sqref="CB11">
    <cfRule type="containsBlanks" priority="400" stopIfTrue="1">
      <formula>LEN(TRIM(CB11))=0</formula>
    </cfRule>
    <cfRule type="cellIs" dxfId="587" priority="401" stopIfTrue="1" operator="greaterThan">
      <formula>-30</formula>
    </cfRule>
    <cfRule type="cellIs" dxfId="586" priority="402" stopIfTrue="1" operator="between">
      <formula>-33</formula>
      <formula>-30</formula>
    </cfRule>
  </conditionalFormatting>
  <conditionalFormatting sqref="CK11">
    <cfRule type="containsBlanks" priority="397" stopIfTrue="1">
      <formula>LEN(TRIM(CK11))=0</formula>
    </cfRule>
    <cfRule type="cellIs" dxfId="585" priority="398" stopIfTrue="1" operator="greaterThan">
      <formula>-30</formula>
    </cfRule>
    <cfRule type="cellIs" dxfId="584" priority="399" stopIfTrue="1" operator="between">
      <formula>-33</formula>
      <formula>-30</formula>
    </cfRule>
  </conditionalFormatting>
  <conditionalFormatting sqref="CT11">
    <cfRule type="containsBlanks" priority="394" stopIfTrue="1">
      <formula>LEN(TRIM(CT11))=0</formula>
    </cfRule>
    <cfRule type="cellIs" dxfId="583" priority="395" stopIfTrue="1" operator="greaterThan">
      <formula>-30</formula>
    </cfRule>
    <cfRule type="cellIs" dxfId="582" priority="396" stopIfTrue="1" operator="between">
      <formula>-33</formula>
      <formula>-30</formula>
    </cfRule>
  </conditionalFormatting>
  <conditionalFormatting sqref="H7">
    <cfRule type="containsBlanks" priority="526" stopIfTrue="1">
      <formula>LEN(TRIM(H7))=0</formula>
    </cfRule>
    <cfRule type="cellIs" dxfId="581" priority="527" stopIfTrue="1" operator="greaterThan">
      <formula>-30</formula>
    </cfRule>
    <cfRule type="cellIs" dxfId="580" priority="528" stopIfTrue="1" operator="between">
      <formula>-33</formula>
      <formula>-30</formula>
    </cfRule>
  </conditionalFormatting>
  <conditionalFormatting sqref="H8">
    <cfRule type="containsBlanks" priority="523" stopIfTrue="1">
      <formula>LEN(TRIM(H8))=0</formula>
    </cfRule>
    <cfRule type="cellIs" dxfId="579" priority="524" stopIfTrue="1" operator="greaterThan">
      <formula>-30</formula>
    </cfRule>
    <cfRule type="cellIs" dxfId="578" priority="525" stopIfTrue="1" operator="between">
      <formula>-33</formula>
      <formula>-30</formula>
    </cfRule>
  </conditionalFormatting>
  <conditionalFormatting sqref="H9">
    <cfRule type="containsBlanks" priority="520" stopIfTrue="1">
      <formula>LEN(TRIM(H9))=0</formula>
    </cfRule>
    <cfRule type="cellIs" dxfId="577" priority="521" stopIfTrue="1" operator="greaterThan">
      <formula>-30</formula>
    </cfRule>
    <cfRule type="cellIs" dxfId="576" priority="522" stopIfTrue="1" operator="between">
      <formula>-33</formula>
      <formula>-30</formula>
    </cfRule>
  </conditionalFormatting>
  <conditionalFormatting sqref="AI7">
    <cfRule type="containsBlanks" priority="517" stopIfTrue="1">
      <formula>LEN(TRIM(AI7))=0</formula>
    </cfRule>
    <cfRule type="cellIs" dxfId="575" priority="518" stopIfTrue="1" operator="greaterThan">
      <formula>-30</formula>
    </cfRule>
    <cfRule type="cellIs" dxfId="574" priority="519" stopIfTrue="1" operator="between">
      <formula>-33</formula>
      <formula>-30</formula>
    </cfRule>
  </conditionalFormatting>
  <conditionalFormatting sqref="AI8">
    <cfRule type="containsBlanks" priority="514" stopIfTrue="1">
      <formula>LEN(TRIM(AI8))=0</formula>
    </cfRule>
    <cfRule type="cellIs" dxfId="573" priority="515" stopIfTrue="1" operator="greaterThan">
      <formula>-30</formula>
    </cfRule>
    <cfRule type="cellIs" dxfId="572" priority="516" stopIfTrue="1" operator="between">
      <formula>-33</formula>
      <formula>-30</formula>
    </cfRule>
  </conditionalFormatting>
  <conditionalFormatting sqref="AI9">
    <cfRule type="containsBlanks" priority="511" stopIfTrue="1">
      <formula>LEN(TRIM(AI9))=0</formula>
    </cfRule>
    <cfRule type="cellIs" dxfId="571" priority="512" stopIfTrue="1" operator="greaterThan">
      <formula>-30</formula>
    </cfRule>
    <cfRule type="cellIs" dxfId="570" priority="513" stopIfTrue="1" operator="between">
      <formula>-33</formula>
      <formula>-30</formula>
    </cfRule>
  </conditionalFormatting>
  <conditionalFormatting sqref="AR7">
    <cfRule type="containsBlanks" priority="508" stopIfTrue="1">
      <formula>LEN(TRIM(AR7))=0</formula>
    </cfRule>
    <cfRule type="cellIs" dxfId="569" priority="509" stopIfTrue="1" operator="greaterThan">
      <formula>-30</formula>
    </cfRule>
    <cfRule type="cellIs" dxfId="568" priority="510" stopIfTrue="1" operator="between">
      <formula>-33</formula>
      <formula>-30</formula>
    </cfRule>
  </conditionalFormatting>
  <conditionalFormatting sqref="AR8">
    <cfRule type="containsBlanks" priority="505" stopIfTrue="1">
      <formula>LEN(TRIM(AR8))=0</formula>
    </cfRule>
    <cfRule type="cellIs" dxfId="567" priority="506" stopIfTrue="1" operator="greaterThan">
      <formula>-30</formula>
    </cfRule>
    <cfRule type="cellIs" dxfId="566" priority="507" stopIfTrue="1" operator="between">
      <formula>-33</formula>
      <formula>-30</formula>
    </cfRule>
  </conditionalFormatting>
  <conditionalFormatting sqref="AR9">
    <cfRule type="containsBlanks" priority="502" stopIfTrue="1">
      <formula>LEN(TRIM(AR9))=0</formula>
    </cfRule>
    <cfRule type="cellIs" dxfId="565" priority="503" stopIfTrue="1" operator="greaterThan">
      <formula>-30</formula>
    </cfRule>
    <cfRule type="cellIs" dxfId="564" priority="504" stopIfTrue="1" operator="between">
      <formula>-33</formula>
      <formula>-30</formula>
    </cfRule>
  </conditionalFormatting>
  <conditionalFormatting sqref="BA7">
    <cfRule type="containsBlanks" priority="499" stopIfTrue="1">
      <formula>LEN(TRIM(BA7))=0</formula>
    </cfRule>
    <cfRule type="cellIs" dxfId="563" priority="500" stopIfTrue="1" operator="greaterThan">
      <formula>-30</formula>
    </cfRule>
    <cfRule type="cellIs" dxfId="562" priority="501" stopIfTrue="1" operator="between">
      <formula>-33</formula>
      <formula>-30</formula>
    </cfRule>
  </conditionalFormatting>
  <conditionalFormatting sqref="BA8">
    <cfRule type="containsBlanks" priority="496" stopIfTrue="1">
      <formula>LEN(TRIM(BA8))=0</formula>
    </cfRule>
    <cfRule type="cellIs" dxfId="561" priority="497" stopIfTrue="1" operator="greaterThan">
      <formula>-30</formula>
    </cfRule>
    <cfRule type="cellIs" dxfId="560" priority="498" stopIfTrue="1" operator="between">
      <formula>-33</formula>
      <formula>-30</formula>
    </cfRule>
  </conditionalFormatting>
  <conditionalFormatting sqref="BA9">
    <cfRule type="containsBlanks" priority="493" stopIfTrue="1">
      <formula>LEN(TRIM(BA9))=0</formula>
    </cfRule>
    <cfRule type="cellIs" dxfId="559" priority="494" stopIfTrue="1" operator="greaterThan">
      <formula>-30</formula>
    </cfRule>
    <cfRule type="cellIs" dxfId="558" priority="495" stopIfTrue="1" operator="between">
      <formula>-33</formula>
      <formula>-30</formula>
    </cfRule>
  </conditionalFormatting>
  <conditionalFormatting sqref="BJ7">
    <cfRule type="containsBlanks" priority="490" stopIfTrue="1">
      <formula>LEN(TRIM(BJ7))=0</formula>
    </cfRule>
    <cfRule type="cellIs" dxfId="557" priority="491" stopIfTrue="1" operator="greaterThan">
      <formula>-30</formula>
    </cfRule>
    <cfRule type="cellIs" dxfId="556" priority="492" stopIfTrue="1" operator="between">
      <formula>-33</formula>
      <formula>-30</formula>
    </cfRule>
  </conditionalFormatting>
  <conditionalFormatting sqref="BJ8">
    <cfRule type="containsBlanks" priority="487" stopIfTrue="1">
      <formula>LEN(TRIM(BJ8))=0</formula>
    </cfRule>
    <cfRule type="cellIs" dxfId="555" priority="488" stopIfTrue="1" operator="greaterThan">
      <formula>-30</formula>
    </cfRule>
    <cfRule type="cellIs" dxfId="554" priority="489" stopIfTrue="1" operator="between">
      <formula>-33</formula>
      <formula>-30</formula>
    </cfRule>
  </conditionalFormatting>
  <conditionalFormatting sqref="BJ9">
    <cfRule type="containsBlanks" priority="484" stopIfTrue="1">
      <formula>LEN(TRIM(BJ9))=0</formula>
    </cfRule>
    <cfRule type="cellIs" dxfId="553" priority="485" stopIfTrue="1" operator="greaterThan">
      <formula>-30</formula>
    </cfRule>
    <cfRule type="cellIs" dxfId="552" priority="486" stopIfTrue="1" operator="between">
      <formula>-33</formula>
      <formula>-30</formula>
    </cfRule>
  </conditionalFormatting>
  <conditionalFormatting sqref="BS7">
    <cfRule type="containsBlanks" priority="481" stopIfTrue="1">
      <formula>LEN(TRIM(BS7))=0</formula>
    </cfRule>
    <cfRule type="cellIs" dxfId="551" priority="482" stopIfTrue="1" operator="greaterThan">
      <formula>-30</formula>
    </cfRule>
    <cfRule type="cellIs" dxfId="550" priority="483" stopIfTrue="1" operator="between">
      <formula>-33</formula>
      <formula>-30</formula>
    </cfRule>
  </conditionalFormatting>
  <conditionalFormatting sqref="BS8">
    <cfRule type="containsBlanks" priority="478" stopIfTrue="1">
      <formula>LEN(TRIM(BS8))=0</formula>
    </cfRule>
    <cfRule type="cellIs" dxfId="549" priority="479" stopIfTrue="1" operator="greaterThan">
      <formula>-30</formula>
    </cfRule>
    <cfRule type="cellIs" dxfId="548" priority="480" stopIfTrue="1" operator="between">
      <formula>-33</formula>
      <formula>-30</formula>
    </cfRule>
  </conditionalFormatting>
  <conditionalFormatting sqref="BS9">
    <cfRule type="containsBlanks" priority="475" stopIfTrue="1">
      <formula>LEN(TRIM(BS9))=0</formula>
    </cfRule>
    <cfRule type="cellIs" dxfId="547" priority="476" stopIfTrue="1" operator="greaterThan">
      <formula>-30</formula>
    </cfRule>
    <cfRule type="cellIs" dxfId="546" priority="477" stopIfTrue="1" operator="between">
      <formula>-33</formula>
      <formula>-30</formula>
    </cfRule>
  </conditionalFormatting>
  <conditionalFormatting sqref="H20">
    <cfRule type="containsBlanks" priority="175" stopIfTrue="1">
      <formula>LEN(TRIM(H20))=0</formula>
    </cfRule>
    <cfRule type="cellIs" dxfId="545" priority="176" stopIfTrue="1" operator="greaterThan">
      <formula>-30</formula>
    </cfRule>
    <cfRule type="cellIs" dxfId="544" priority="177" stopIfTrue="1" operator="between">
      <formula>-33</formula>
      <formula>-30</formula>
    </cfRule>
  </conditionalFormatting>
  <conditionalFormatting sqref="AI20">
    <cfRule type="containsBlanks" priority="172" stopIfTrue="1">
      <formula>LEN(TRIM(AI20))=0</formula>
    </cfRule>
    <cfRule type="cellIs" dxfId="543" priority="173" stopIfTrue="1" operator="greaterThan">
      <formula>-30</formula>
    </cfRule>
    <cfRule type="cellIs" dxfId="542" priority="174" stopIfTrue="1" operator="between">
      <formula>-33</formula>
      <formula>-30</formula>
    </cfRule>
  </conditionalFormatting>
  <conditionalFormatting sqref="AR20">
    <cfRule type="containsBlanks" priority="169" stopIfTrue="1">
      <formula>LEN(TRIM(AR20))=0</formula>
    </cfRule>
    <cfRule type="cellIs" dxfId="541" priority="170" stopIfTrue="1" operator="greaterThan">
      <formula>-30</formula>
    </cfRule>
    <cfRule type="cellIs" dxfId="540" priority="171" stopIfTrue="1" operator="between">
      <formula>-33</formula>
      <formula>-30</formula>
    </cfRule>
  </conditionalFormatting>
  <conditionalFormatting sqref="BA20">
    <cfRule type="containsBlanks" priority="166" stopIfTrue="1">
      <formula>LEN(TRIM(BA20))=0</formula>
    </cfRule>
    <cfRule type="cellIs" dxfId="539" priority="167" stopIfTrue="1" operator="greaterThan">
      <formula>-30</formula>
    </cfRule>
    <cfRule type="cellIs" dxfId="538" priority="168" stopIfTrue="1" operator="between">
      <formula>-33</formula>
      <formula>-30</formula>
    </cfRule>
  </conditionalFormatting>
  <conditionalFormatting sqref="BJ20">
    <cfRule type="containsBlanks" priority="163" stopIfTrue="1">
      <formula>LEN(TRIM(BJ20))=0</formula>
    </cfRule>
    <cfRule type="cellIs" dxfId="537" priority="164" stopIfTrue="1" operator="greaterThan">
      <formula>-30</formula>
    </cfRule>
    <cfRule type="cellIs" dxfId="536" priority="165" stopIfTrue="1" operator="between">
      <formula>-33</formula>
      <formula>-30</formula>
    </cfRule>
  </conditionalFormatting>
  <conditionalFormatting sqref="BS20">
    <cfRule type="containsBlanks" priority="160" stopIfTrue="1">
      <formula>LEN(TRIM(BS20))=0</formula>
    </cfRule>
    <cfRule type="cellIs" dxfId="535" priority="161" stopIfTrue="1" operator="greaterThan">
      <formula>-30</formula>
    </cfRule>
    <cfRule type="cellIs" dxfId="534" priority="162" stopIfTrue="1" operator="between">
      <formula>-33</formula>
      <formula>-30</formula>
    </cfRule>
  </conditionalFormatting>
  <conditionalFormatting sqref="CB20">
    <cfRule type="containsBlanks" priority="157" stopIfTrue="1">
      <formula>LEN(TRIM(CB20))=0</formula>
    </cfRule>
    <cfRule type="cellIs" dxfId="533" priority="158" stopIfTrue="1" operator="greaterThan">
      <formula>-30</formula>
    </cfRule>
    <cfRule type="cellIs" dxfId="532" priority="159" stopIfTrue="1" operator="between">
      <formula>-33</formula>
      <formula>-30</formula>
    </cfRule>
  </conditionalFormatting>
  <conditionalFormatting sqref="CK20">
    <cfRule type="containsBlanks" priority="154" stopIfTrue="1">
      <formula>LEN(TRIM(CK20))=0</formula>
    </cfRule>
    <cfRule type="cellIs" dxfId="531" priority="155" stopIfTrue="1" operator="greaterThan">
      <formula>-30</formula>
    </cfRule>
    <cfRule type="cellIs" dxfId="530" priority="156" stopIfTrue="1" operator="between">
      <formula>-33</formula>
      <formula>-30</formula>
    </cfRule>
  </conditionalFormatting>
  <conditionalFormatting sqref="CT20">
    <cfRule type="containsBlanks" priority="151" stopIfTrue="1">
      <formula>LEN(TRIM(CT20))=0</formula>
    </cfRule>
    <cfRule type="cellIs" dxfId="529" priority="152" stopIfTrue="1" operator="greaterThan">
      <formula>-30</formula>
    </cfRule>
    <cfRule type="cellIs" dxfId="528" priority="153" stopIfTrue="1" operator="between">
      <formula>-33</formula>
      <formula>-30</formula>
    </cfRule>
  </conditionalFormatting>
  <conditionalFormatting sqref="H21">
    <cfRule type="containsBlanks" priority="148" stopIfTrue="1">
      <formula>LEN(TRIM(H21))=0</formula>
    </cfRule>
    <cfRule type="cellIs" dxfId="527" priority="149" stopIfTrue="1" operator="greaterThan">
      <formula>-30</formula>
    </cfRule>
    <cfRule type="cellIs" dxfId="526" priority="150" stopIfTrue="1" operator="between">
      <formula>-33</formula>
      <formula>-30</formula>
    </cfRule>
  </conditionalFormatting>
  <conditionalFormatting sqref="AI21">
    <cfRule type="containsBlanks" priority="145" stopIfTrue="1">
      <formula>LEN(TRIM(AI21))=0</formula>
    </cfRule>
    <cfRule type="cellIs" dxfId="525" priority="146" stopIfTrue="1" operator="greaterThan">
      <formula>-30</formula>
    </cfRule>
    <cfRule type="cellIs" dxfId="524" priority="147" stopIfTrue="1" operator="between">
      <formula>-33</formula>
      <formula>-30</formula>
    </cfRule>
  </conditionalFormatting>
  <conditionalFormatting sqref="AR21">
    <cfRule type="containsBlanks" priority="142" stopIfTrue="1">
      <formula>LEN(TRIM(AR21))=0</formula>
    </cfRule>
    <cfRule type="cellIs" dxfId="523" priority="143" stopIfTrue="1" operator="greaterThan">
      <formula>-30</formula>
    </cfRule>
    <cfRule type="cellIs" dxfId="522" priority="144" stopIfTrue="1" operator="between">
      <formula>-33</formula>
      <formula>-30</formula>
    </cfRule>
  </conditionalFormatting>
  <conditionalFormatting sqref="BA21">
    <cfRule type="containsBlanks" priority="139" stopIfTrue="1">
      <formula>LEN(TRIM(BA21))=0</formula>
    </cfRule>
    <cfRule type="cellIs" dxfId="521" priority="140" stopIfTrue="1" operator="greaterThan">
      <formula>-30</formula>
    </cfRule>
    <cfRule type="cellIs" dxfId="520" priority="141" stopIfTrue="1" operator="between">
      <formula>-33</formula>
      <formula>-30</formula>
    </cfRule>
  </conditionalFormatting>
  <conditionalFormatting sqref="BJ21">
    <cfRule type="containsBlanks" priority="136" stopIfTrue="1">
      <formula>LEN(TRIM(BJ21))=0</formula>
    </cfRule>
    <cfRule type="cellIs" dxfId="519" priority="137" stopIfTrue="1" operator="greaterThan">
      <formula>-30</formula>
    </cfRule>
    <cfRule type="cellIs" dxfId="518" priority="138" stopIfTrue="1" operator="between">
      <formula>-33</formula>
      <formula>-30</formula>
    </cfRule>
  </conditionalFormatting>
  <conditionalFormatting sqref="BS21">
    <cfRule type="containsBlanks" priority="133" stopIfTrue="1">
      <formula>LEN(TRIM(BS21))=0</formula>
    </cfRule>
    <cfRule type="cellIs" dxfId="517" priority="134" stopIfTrue="1" operator="greaterThan">
      <formula>-30</formula>
    </cfRule>
    <cfRule type="cellIs" dxfId="516" priority="135" stopIfTrue="1" operator="between">
      <formula>-33</formula>
      <formula>-30</formula>
    </cfRule>
  </conditionalFormatting>
  <conditionalFormatting sqref="CB21">
    <cfRule type="containsBlanks" priority="130" stopIfTrue="1">
      <formula>LEN(TRIM(CB21))=0</formula>
    </cfRule>
    <cfRule type="cellIs" dxfId="515" priority="131" stopIfTrue="1" operator="greaterThan">
      <formula>-30</formula>
    </cfRule>
    <cfRule type="cellIs" dxfId="514" priority="132" stopIfTrue="1" operator="between">
      <formula>-33</formula>
      <formula>-30</formula>
    </cfRule>
  </conditionalFormatting>
  <conditionalFormatting sqref="CK21">
    <cfRule type="containsBlanks" priority="127" stopIfTrue="1">
      <formula>LEN(TRIM(CK21))=0</formula>
    </cfRule>
    <cfRule type="cellIs" dxfId="513" priority="128" stopIfTrue="1" operator="greaterThan">
      <formula>-30</formula>
    </cfRule>
    <cfRule type="cellIs" dxfId="512" priority="129" stopIfTrue="1" operator="between">
      <formula>-33</formula>
      <formula>-30</formula>
    </cfRule>
  </conditionalFormatting>
  <conditionalFormatting sqref="CT21">
    <cfRule type="containsBlanks" priority="124" stopIfTrue="1">
      <formula>LEN(TRIM(CT21))=0</formula>
    </cfRule>
    <cfRule type="cellIs" dxfId="511" priority="125" stopIfTrue="1" operator="greaterThan">
      <formula>-30</formula>
    </cfRule>
    <cfRule type="cellIs" dxfId="510" priority="126" stopIfTrue="1" operator="between">
      <formula>-33</formula>
      <formula>-30</formula>
    </cfRule>
  </conditionalFormatting>
  <conditionalFormatting sqref="H22">
    <cfRule type="containsBlanks" priority="121" stopIfTrue="1">
      <formula>LEN(TRIM(H22))=0</formula>
    </cfRule>
    <cfRule type="cellIs" dxfId="509" priority="122" stopIfTrue="1" operator="greaterThan">
      <formula>-30</formula>
    </cfRule>
    <cfRule type="cellIs" dxfId="508" priority="123" stopIfTrue="1" operator="between">
      <formula>-33</formula>
      <formula>-30</formula>
    </cfRule>
  </conditionalFormatting>
  <conditionalFormatting sqref="AI22">
    <cfRule type="containsBlanks" priority="118" stopIfTrue="1">
      <formula>LEN(TRIM(AI22))=0</formula>
    </cfRule>
    <cfRule type="cellIs" dxfId="507" priority="119" stopIfTrue="1" operator="greaterThan">
      <formula>-30</formula>
    </cfRule>
    <cfRule type="cellIs" dxfId="506" priority="120" stopIfTrue="1" operator="between">
      <formula>-33</formula>
      <formula>-30</formula>
    </cfRule>
  </conditionalFormatting>
  <conditionalFormatting sqref="AR22">
    <cfRule type="containsBlanks" priority="115" stopIfTrue="1">
      <formula>LEN(TRIM(AR22))=0</formula>
    </cfRule>
    <cfRule type="cellIs" dxfId="505" priority="116" stopIfTrue="1" operator="greaterThan">
      <formula>-30</formula>
    </cfRule>
    <cfRule type="cellIs" dxfId="504" priority="117" stopIfTrue="1" operator="between">
      <formula>-33</formula>
      <formula>-30</formula>
    </cfRule>
  </conditionalFormatting>
  <conditionalFormatting sqref="BA22">
    <cfRule type="containsBlanks" priority="112" stopIfTrue="1">
      <formula>LEN(TRIM(BA22))=0</formula>
    </cfRule>
    <cfRule type="cellIs" dxfId="503" priority="113" stopIfTrue="1" operator="greaterThan">
      <formula>-30</formula>
    </cfRule>
    <cfRule type="cellIs" dxfId="502" priority="114" stopIfTrue="1" operator="between">
      <formula>-33</formula>
      <formula>-30</formula>
    </cfRule>
  </conditionalFormatting>
  <conditionalFormatting sqref="BJ22">
    <cfRule type="containsBlanks" priority="109" stopIfTrue="1">
      <formula>LEN(TRIM(BJ22))=0</formula>
    </cfRule>
    <cfRule type="cellIs" dxfId="501" priority="110" stopIfTrue="1" operator="greaterThan">
      <formula>-30</formula>
    </cfRule>
    <cfRule type="cellIs" dxfId="500" priority="111" stopIfTrue="1" operator="between">
      <formula>-33</formula>
      <formula>-30</formula>
    </cfRule>
  </conditionalFormatting>
  <conditionalFormatting sqref="BS22">
    <cfRule type="containsBlanks" priority="106" stopIfTrue="1">
      <formula>LEN(TRIM(BS22))=0</formula>
    </cfRule>
    <cfRule type="cellIs" dxfId="499" priority="107" stopIfTrue="1" operator="greaterThan">
      <formula>-30</formula>
    </cfRule>
    <cfRule type="cellIs" dxfId="498" priority="108" stopIfTrue="1" operator="between">
      <formula>-33</formula>
      <formula>-30</formula>
    </cfRule>
  </conditionalFormatting>
  <conditionalFormatting sqref="CB22">
    <cfRule type="containsBlanks" priority="103" stopIfTrue="1">
      <formula>LEN(TRIM(CB22))=0</formula>
    </cfRule>
    <cfRule type="cellIs" dxfId="497" priority="104" stopIfTrue="1" operator="greaterThan">
      <formula>-30</formula>
    </cfRule>
    <cfRule type="cellIs" dxfId="496" priority="105" stopIfTrue="1" operator="between">
      <formula>-33</formula>
      <formula>-30</formula>
    </cfRule>
  </conditionalFormatting>
  <conditionalFormatting sqref="CK22">
    <cfRule type="containsBlanks" priority="100" stopIfTrue="1">
      <formula>LEN(TRIM(CK22))=0</formula>
    </cfRule>
    <cfRule type="cellIs" dxfId="495" priority="101" stopIfTrue="1" operator="greaterThan">
      <formula>-30</formula>
    </cfRule>
    <cfRule type="cellIs" dxfId="494" priority="102" stopIfTrue="1" operator="between">
      <formula>-33</formula>
      <formula>-30</formula>
    </cfRule>
  </conditionalFormatting>
  <conditionalFormatting sqref="CT22">
    <cfRule type="containsBlanks" priority="97" stopIfTrue="1">
      <formula>LEN(TRIM(CT22))=0</formula>
    </cfRule>
    <cfRule type="cellIs" dxfId="493" priority="98" stopIfTrue="1" operator="greaterThan">
      <formula>-30</formula>
    </cfRule>
    <cfRule type="cellIs" dxfId="492" priority="99" stopIfTrue="1" operator="between">
      <formula>-33</formula>
      <formula>-30</formula>
    </cfRule>
  </conditionalFormatting>
  <conditionalFormatting sqref="H12">
    <cfRule type="containsBlanks" priority="391" stopIfTrue="1">
      <formula>LEN(TRIM(H12))=0</formula>
    </cfRule>
    <cfRule type="cellIs" dxfId="491" priority="392" stopIfTrue="1" operator="greaterThan">
      <formula>-30</formula>
    </cfRule>
    <cfRule type="cellIs" dxfId="490" priority="393" stopIfTrue="1" operator="between">
      <formula>-33</formula>
      <formula>-30</formula>
    </cfRule>
  </conditionalFormatting>
  <conditionalFormatting sqref="AI12">
    <cfRule type="containsBlanks" priority="388" stopIfTrue="1">
      <formula>LEN(TRIM(AI12))=0</formula>
    </cfRule>
    <cfRule type="cellIs" dxfId="489" priority="389" stopIfTrue="1" operator="greaterThan">
      <formula>-30</formula>
    </cfRule>
    <cfRule type="cellIs" dxfId="488" priority="390" stopIfTrue="1" operator="between">
      <formula>-33</formula>
      <formula>-30</formula>
    </cfRule>
  </conditionalFormatting>
  <conditionalFormatting sqref="AR12">
    <cfRule type="containsBlanks" priority="385" stopIfTrue="1">
      <formula>LEN(TRIM(AR12))=0</formula>
    </cfRule>
    <cfRule type="cellIs" dxfId="487" priority="386" stopIfTrue="1" operator="greaterThan">
      <formula>-30</formula>
    </cfRule>
    <cfRule type="cellIs" dxfId="486" priority="387" stopIfTrue="1" operator="between">
      <formula>-33</formula>
      <formula>-30</formula>
    </cfRule>
  </conditionalFormatting>
  <conditionalFormatting sqref="BA12">
    <cfRule type="containsBlanks" priority="382" stopIfTrue="1">
      <formula>LEN(TRIM(BA12))=0</formula>
    </cfRule>
    <cfRule type="cellIs" dxfId="485" priority="383" stopIfTrue="1" operator="greaterThan">
      <formula>-30</formula>
    </cfRule>
    <cfRule type="cellIs" dxfId="484" priority="384" stopIfTrue="1" operator="between">
      <formula>-33</formula>
      <formula>-30</formula>
    </cfRule>
  </conditionalFormatting>
  <conditionalFormatting sqref="BJ12">
    <cfRule type="containsBlanks" priority="379" stopIfTrue="1">
      <formula>LEN(TRIM(BJ12))=0</formula>
    </cfRule>
    <cfRule type="cellIs" dxfId="483" priority="380" stopIfTrue="1" operator="greaterThan">
      <formula>-30</formula>
    </cfRule>
    <cfRule type="cellIs" dxfId="482" priority="381" stopIfTrue="1" operator="between">
      <formula>-33</formula>
      <formula>-30</formula>
    </cfRule>
  </conditionalFormatting>
  <conditionalFormatting sqref="BS12">
    <cfRule type="containsBlanks" priority="376" stopIfTrue="1">
      <formula>LEN(TRIM(BS12))=0</formula>
    </cfRule>
    <cfRule type="cellIs" dxfId="481" priority="377" stopIfTrue="1" operator="greaterThan">
      <formula>-30</formula>
    </cfRule>
    <cfRule type="cellIs" dxfId="480" priority="378" stopIfTrue="1" operator="between">
      <formula>-33</formula>
      <formula>-30</formula>
    </cfRule>
  </conditionalFormatting>
  <conditionalFormatting sqref="CB12">
    <cfRule type="containsBlanks" priority="373" stopIfTrue="1">
      <formula>LEN(TRIM(CB12))=0</formula>
    </cfRule>
    <cfRule type="cellIs" dxfId="479" priority="374" stopIfTrue="1" operator="greaterThan">
      <formula>-30</formula>
    </cfRule>
    <cfRule type="cellIs" dxfId="478" priority="375" stopIfTrue="1" operator="between">
      <formula>-33</formula>
      <formula>-30</formula>
    </cfRule>
  </conditionalFormatting>
  <conditionalFormatting sqref="CK12">
    <cfRule type="containsBlanks" priority="370" stopIfTrue="1">
      <formula>LEN(TRIM(CK12))=0</formula>
    </cfRule>
    <cfRule type="cellIs" dxfId="477" priority="371" stopIfTrue="1" operator="greaterThan">
      <formula>-30</formula>
    </cfRule>
    <cfRule type="cellIs" dxfId="476" priority="372" stopIfTrue="1" operator="between">
      <formula>-33</formula>
      <formula>-30</formula>
    </cfRule>
  </conditionalFormatting>
  <conditionalFormatting sqref="CT12">
    <cfRule type="containsBlanks" priority="367" stopIfTrue="1">
      <formula>LEN(TRIM(CT12))=0</formula>
    </cfRule>
    <cfRule type="cellIs" dxfId="475" priority="368" stopIfTrue="1" operator="greaterThan">
      <formula>-30</formula>
    </cfRule>
    <cfRule type="cellIs" dxfId="474" priority="369" stopIfTrue="1" operator="between">
      <formula>-33</formula>
      <formula>-30</formula>
    </cfRule>
  </conditionalFormatting>
  <conditionalFormatting sqref="H13">
    <cfRule type="containsBlanks" priority="364" stopIfTrue="1">
      <formula>LEN(TRIM(H13))=0</formula>
    </cfRule>
    <cfRule type="cellIs" dxfId="473" priority="365" stopIfTrue="1" operator="greaterThan">
      <formula>-30</formula>
    </cfRule>
    <cfRule type="cellIs" dxfId="472" priority="366" stopIfTrue="1" operator="between">
      <formula>-33</formula>
      <formula>-30</formula>
    </cfRule>
  </conditionalFormatting>
  <conditionalFormatting sqref="AI13">
    <cfRule type="containsBlanks" priority="361" stopIfTrue="1">
      <formula>LEN(TRIM(AI13))=0</formula>
    </cfRule>
    <cfRule type="cellIs" dxfId="471" priority="362" stopIfTrue="1" operator="greaterThan">
      <formula>-30</formula>
    </cfRule>
    <cfRule type="cellIs" dxfId="470" priority="363" stopIfTrue="1" operator="between">
      <formula>-33</formula>
      <formula>-30</formula>
    </cfRule>
  </conditionalFormatting>
  <conditionalFormatting sqref="AR13">
    <cfRule type="containsBlanks" priority="358" stopIfTrue="1">
      <formula>LEN(TRIM(AR13))=0</formula>
    </cfRule>
    <cfRule type="cellIs" dxfId="469" priority="359" stopIfTrue="1" operator="greaterThan">
      <formula>-30</formula>
    </cfRule>
    <cfRule type="cellIs" dxfId="468" priority="360" stopIfTrue="1" operator="between">
      <formula>-33</formula>
      <formula>-30</formula>
    </cfRule>
  </conditionalFormatting>
  <conditionalFormatting sqref="BA13">
    <cfRule type="containsBlanks" priority="355" stopIfTrue="1">
      <formula>LEN(TRIM(BA13))=0</formula>
    </cfRule>
    <cfRule type="cellIs" dxfId="467" priority="356" stopIfTrue="1" operator="greaterThan">
      <formula>-30</formula>
    </cfRule>
    <cfRule type="cellIs" dxfId="466" priority="357" stopIfTrue="1" operator="between">
      <formula>-33</formula>
      <formula>-30</formula>
    </cfRule>
  </conditionalFormatting>
  <conditionalFormatting sqref="BJ13">
    <cfRule type="containsBlanks" priority="352" stopIfTrue="1">
      <formula>LEN(TRIM(BJ13))=0</formula>
    </cfRule>
    <cfRule type="cellIs" dxfId="465" priority="353" stopIfTrue="1" operator="greaterThan">
      <formula>-30</formula>
    </cfRule>
    <cfRule type="cellIs" dxfId="464" priority="354" stopIfTrue="1" operator="between">
      <formula>-33</formula>
      <formula>-30</formula>
    </cfRule>
  </conditionalFormatting>
  <conditionalFormatting sqref="BS13">
    <cfRule type="containsBlanks" priority="349" stopIfTrue="1">
      <formula>LEN(TRIM(BS13))=0</formula>
    </cfRule>
    <cfRule type="cellIs" dxfId="463" priority="350" stopIfTrue="1" operator="greaterThan">
      <formula>-30</formula>
    </cfRule>
    <cfRule type="cellIs" dxfId="462" priority="351" stopIfTrue="1" operator="between">
      <formula>-33</formula>
      <formula>-30</formula>
    </cfRule>
  </conditionalFormatting>
  <conditionalFormatting sqref="CB13">
    <cfRule type="containsBlanks" priority="346" stopIfTrue="1">
      <formula>LEN(TRIM(CB13))=0</formula>
    </cfRule>
    <cfRule type="cellIs" dxfId="461" priority="347" stopIfTrue="1" operator="greaterThan">
      <formula>-30</formula>
    </cfRule>
    <cfRule type="cellIs" dxfId="460" priority="348" stopIfTrue="1" operator="between">
      <formula>-33</formula>
      <formula>-30</formula>
    </cfRule>
  </conditionalFormatting>
  <conditionalFormatting sqref="CK13">
    <cfRule type="containsBlanks" priority="343" stopIfTrue="1">
      <formula>LEN(TRIM(CK13))=0</formula>
    </cfRule>
    <cfRule type="cellIs" dxfId="459" priority="344" stopIfTrue="1" operator="greaterThan">
      <formula>-30</formula>
    </cfRule>
    <cfRule type="cellIs" dxfId="458" priority="345" stopIfTrue="1" operator="between">
      <formula>-33</formula>
      <formula>-30</formula>
    </cfRule>
  </conditionalFormatting>
  <conditionalFormatting sqref="CT13">
    <cfRule type="containsBlanks" priority="340" stopIfTrue="1">
      <formula>LEN(TRIM(CT13))=0</formula>
    </cfRule>
    <cfRule type="cellIs" dxfId="457" priority="341" stopIfTrue="1" operator="greaterThan">
      <formula>-30</formula>
    </cfRule>
    <cfRule type="cellIs" dxfId="456" priority="342" stopIfTrue="1" operator="between">
      <formula>-33</formula>
      <formula>-30</formula>
    </cfRule>
  </conditionalFormatting>
  <conditionalFormatting sqref="H14">
    <cfRule type="containsBlanks" priority="337" stopIfTrue="1">
      <formula>LEN(TRIM(H14))=0</formula>
    </cfRule>
    <cfRule type="cellIs" dxfId="455" priority="338" stopIfTrue="1" operator="greaterThan">
      <formula>-30</formula>
    </cfRule>
    <cfRule type="cellIs" dxfId="454" priority="339" stopIfTrue="1" operator="between">
      <formula>-33</formula>
      <formula>-30</formula>
    </cfRule>
  </conditionalFormatting>
  <conditionalFormatting sqref="AI14">
    <cfRule type="containsBlanks" priority="334" stopIfTrue="1">
      <formula>LEN(TRIM(AI14))=0</formula>
    </cfRule>
    <cfRule type="cellIs" dxfId="453" priority="335" stopIfTrue="1" operator="greaterThan">
      <formula>-30</formula>
    </cfRule>
    <cfRule type="cellIs" dxfId="452" priority="336" stopIfTrue="1" operator="between">
      <formula>-33</formula>
      <formula>-30</formula>
    </cfRule>
  </conditionalFormatting>
  <conditionalFormatting sqref="AR14">
    <cfRule type="containsBlanks" priority="331" stopIfTrue="1">
      <formula>LEN(TRIM(AR14))=0</formula>
    </cfRule>
    <cfRule type="cellIs" dxfId="451" priority="332" stopIfTrue="1" operator="greaterThan">
      <formula>-30</formula>
    </cfRule>
    <cfRule type="cellIs" dxfId="450" priority="333" stopIfTrue="1" operator="between">
      <formula>-33</formula>
      <formula>-30</formula>
    </cfRule>
  </conditionalFormatting>
  <conditionalFormatting sqref="BA14">
    <cfRule type="containsBlanks" priority="328" stopIfTrue="1">
      <formula>LEN(TRIM(BA14))=0</formula>
    </cfRule>
    <cfRule type="cellIs" dxfId="449" priority="329" stopIfTrue="1" operator="greaterThan">
      <formula>-30</formula>
    </cfRule>
    <cfRule type="cellIs" dxfId="448" priority="330" stopIfTrue="1" operator="between">
      <formula>-33</formula>
      <formula>-30</formula>
    </cfRule>
  </conditionalFormatting>
  <conditionalFormatting sqref="BJ14">
    <cfRule type="containsBlanks" priority="325" stopIfTrue="1">
      <formula>LEN(TRIM(BJ14))=0</formula>
    </cfRule>
    <cfRule type="cellIs" dxfId="447" priority="326" stopIfTrue="1" operator="greaterThan">
      <formula>-30</formula>
    </cfRule>
    <cfRule type="cellIs" dxfId="446" priority="327" stopIfTrue="1" operator="between">
      <formula>-33</formula>
      <formula>-30</formula>
    </cfRule>
  </conditionalFormatting>
  <conditionalFormatting sqref="BS14">
    <cfRule type="containsBlanks" priority="322" stopIfTrue="1">
      <formula>LEN(TRIM(BS14))=0</formula>
    </cfRule>
    <cfRule type="cellIs" dxfId="445" priority="323" stopIfTrue="1" operator="greaterThan">
      <formula>-30</formula>
    </cfRule>
    <cfRule type="cellIs" dxfId="444" priority="324" stopIfTrue="1" operator="between">
      <formula>-33</formula>
      <formula>-30</formula>
    </cfRule>
  </conditionalFormatting>
  <conditionalFormatting sqref="CB14">
    <cfRule type="containsBlanks" priority="319" stopIfTrue="1">
      <formula>LEN(TRIM(CB14))=0</formula>
    </cfRule>
    <cfRule type="cellIs" dxfId="443" priority="320" stopIfTrue="1" operator="greaterThan">
      <formula>-30</formula>
    </cfRule>
    <cfRule type="cellIs" dxfId="442" priority="321" stopIfTrue="1" operator="between">
      <formula>-33</formula>
      <formula>-30</formula>
    </cfRule>
  </conditionalFormatting>
  <conditionalFormatting sqref="CK14">
    <cfRule type="containsBlanks" priority="316" stopIfTrue="1">
      <formula>LEN(TRIM(CK14))=0</formula>
    </cfRule>
    <cfRule type="cellIs" dxfId="441" priority="317" stopIfTrue="1" operator="greaterThan">
      <formula>-30</formula>
    </cfRule>
    <cfRule type="cellIs" dxfId="440" priority="318" stopIfTrue="1" operator="between">
      <formula>-33</formula>
      <formula>-30</formula>
    </cfRule>
  </conditionalFormatting>
  <conditionalFormatting sqref="CT14">
    <cfRule type="containsBlanks" priority="313" stopIfTrue="1">
      <formula>LEN(TRIM(CT14))=0</formula>
    </cfRule>
    <cfRule type="cellIs" dxfId="439" priority="314" stopIfTrue="1" operator="greaterThan">
      <formula>-30</formula>
    </cfRule>
    <cfRule type="cellIs" dxfId="438" priority="315" stopIfTrue="1" operator="between">
      <formula>-33</formula>
      <formula>-30</formula>
    </cfRule>
  </conditionalFormatting>
  <conditionalFormatting sqref="H15">
    <cfRule type="containsBlanks" priority="310" stopIfTrue="1">
      <formula>LEN(TRIM(H15))=0</formula>
    </cfRule>
    <cfRule type="cellIs" dxfId="437" priority="311" stopIfTrue="1" operator="greaterThan">
      <formula>-30</formula>
    </cfRule>
    <cfRule type="cellIs" dxfId="436" priority="312" stopIfTrue="1" operator="between">
      <formula>-33</formula>
      <formula>-30</formula>
    </cfRule>
  </conditionalFormatting>
  <conditionalFormatting sqref="AI15">
    <cfRule type="containsBlanks" priority="307" stopIfTrue="1">
      <formula>LEN(TRIM(AI15))=0</formula>
    </cfRule>
    <cfRule type="cellIs" dxfId="435" priority="308" stopIfTrue="1" operator="greaterThan">
      <formula>-30</formula>
    </cfRule>
    <cfRule type="cellIs" dxfId="434" priority="309" stopIfTrue="1" operator="between">
      <formula>-33</formula>
      <formula>-30</formula>
    </cfRule>
  </conditionalFormatting>
  <conditionalFormatting sqref="AR15">
    <cfRule type="containsBlanks" priority="304" stopIfTrue="1">
      <formula>LEN(TRIM(AR15))=0</formula>
    </cfRule>
    <cfRule type="cellIs" dxfId="433" priority="305" stopIfTrue="1" operator="greaterThan">
      <formula>-30</formula>
    </cfRule>
    <cfRule type="cellIs" dxfId="432" priority="306" stopIfTrue="1" operator="between">
      <formula>-33</formula>
      <formula>-30</formula>
    </cfRule>
  </conditionalFormatting>
  <conditionalFormatting sqref="BA15">
    <cfRule type="containsBlanks" priority="301" stopIfTrue="1">
      <formula>LEN(TRIM(BA15))=0</formula>
    </cfRule>
    <cfRule type="cellIs" dxfId="431" priority="302" stopIfTrue="1" operator="greaterThan">
      <formula>-30</formula>
    </cfRule>
    <cfRule type="cellIs" dxfId="430" priority="303" stopIfTrue="1" operator="between">
      <formula>-33</formula>
      <formula>-30</formula>
    </cfRule>
  </conditionalFormatting>
  <conditionalFormatting sqref="BJ15">
    <cfRule type="containsBlanks" priority="298" stopIfTrue="1">
      <formula>LEN(TRIM(BJ15))=0</formula>
    </cfRule>
    <cfRule type="cellIs" dxfId="429" priority="299" stopIfTrue="1" operator="greaterThan">
      <formula>-30</formula>
    </cfRule>
    <cfRule type="cellIs" dxfId="428" priority="300" stopIfTrue="1" operator="between">
      <formula>-33</formula>
      <formula>-30</formula>
    </cfRule>
  </conditionalFormatting>
  <conditionalFormatting sqref="BS15">
    <cfRule type="containsBlanks" priority="295" stopIfTrue="1">
      <formula>LEN(TRIM(BS15))=0</formula>
    </cfRule>
    <cfRule type="cellIs" dxfId="427" priority="296" stopIfTrue="1" operator="greaterThan">
      <formula>-30</formula>
    </cfRule>
    <cfRule type="cellIs" dxfId="426" priority="297" stopIfTrue="1" operator="between">
      <formula>-33</formula>
      <formula>-30</formula>
    </cfRule>
  </conditionalFormatting>
  <conditionalFormatting sqref="CB15">
    <cfRule type="containsBlanks" priority="292" stopIfTrue="1">
      <formula>LEN(TRIM(CB15))=0</formula>
    </cfRule>
    <cfRule type="cellIs" dxfId="425" priority="293" stopIfTrue="1" operator="greaterThan">
      <formula>-30</formula>
    </cfRule>
    <cfRule type="cellIs" dxfId="424" priority="294" stopIfTrue="1" operator="between">
      <formula>-33</formula>
      <formula>-30</formula>
    </cfRule>
  </conditionalFormatting>
  <conditionalFormatting sqref="CK15">
    <cfRule type="containsBlanks" priority="289" stopIfTrue="1">
      <formula>LEN(TRIM(CK15))=0</formula>
    </cfRule>
    <cfRule type="cellIs" dxfId="423" priority="290" stopIfTrue="1" operator="greaterThan">
      <formula>-30</formula>
    </cfRule>
    <cfRule type="cellIs" dxfId="422" priority="291" stopIfTrue="1" operator="between">
      <formula>-33</formula>
      <formula>-30</formula>
    </cfRule>
  </conditionalFormatting>
  <conditionalFormatting sqref="CT15">
    <cfRule type="containsBlanks" priority="286" stopIfTrue="1">
      <formula>LEN(TRIM(CT15))=0</formula>
    </cfRule>
    <cfRule type="cellIs" dxfId="421" priority="287" stopIfTrue="1" operator="greaterThan">
      <formula>-30</formula>
    </cfRule>
    <cfRule type="cellIs" dxfId="420" priority="288" stopIfTrue="1" operator="between">
      <formula>-33</formula>
      <formula>-30</formula>
    </cfRule>
  </conditionalFormatting>
  <conditionalFormatting sqref="H16">
    <cfRule type="containsBlanks" priority="283" stopIfTrue="1">
      <formula>LEN(TRIM(H16))=0</formula>
    </cfRule>
    <cfRule type="cellIs" dxfId="419" priority="284" stopIfTrue="1" operator="greaterThan">
      <formula>-30</formula>
    </cfRule>
    <cfRule type="cellIs" dxfId="418" priority="285" stopIfTrue="1" operator="between">
      <formula>-33</formula>
      <formula>-30</formula>
    </cfRule>
  </conditionalFormatting>
  <conditionalFormatting sqref="AI16">
    <cfRule type="containsBlanks" priority="280" stopIfTrue="1">
      <formula>LEN(TRIM(AI16))=0</formula>
    </cfRule>
    <cfRule type="cellIs" dxfId="417" priority="281" stopIfTrue="1" operator="greaterThan">
      <formula>-30</formula>
    </cfRule>
    <cfRule type="cellIs" dxfId="416" priority="282" stopIfTrue="1" operator="between">
      <formula>-33</formula>
      <formula>-30</formula>
    </cfRule>
  </conditionalFormatting>
  <conditionalFormatting sqref="AR16">
    <cfRule type="containsBlanks" priority="277" stopIfTrue="1">
      <formula>LEN(TRIM(AR16))=0</formula>
    </cfRule>
    <cfRule type="cellIs" dxfId="415" priority="278" stopIfTrue="1" operator="greaterThan">
      <formula>-30</formula>
    </cfRule>
    <cfRule type="cellIs" dxfId="414" priority="279" stopIfTrue="1" operator="between">
      <formula>-33</formula>
      <formula>-30</formula>
    </cfRule>
  </conditionalFormatting>
  <conditionalFormatting sqref="BA16">
    <cfRule type="containsBlanks" priority="274" stopIfTrue="1">
      <formula>LEN(TRIM(BA16))=0</formula>
    </cfRule>
    <cfRule type="cellIs" dxfId="413" priority="275" stopIfTrue="1" operator="greaterThan">
      <formula>-30</formula>
    </cfRule>
    <cfRule type="cellIs" dxfId="412" priority="276" stopIfTrue="1" operator="between">
      <formula>-33</formula>
      <formula>-30</formula>
    </cfRule>
  </conditionalFormatting>
  <conditionalFormatting sqref="BJ16">
    <cfRule type="containsBlanks" priority="271" stopIfTrue="1">
      <formula>LEN(TRIM(BJ16))=0</formula>
    </cfRule>
    <cfRule type="cellIs" dxfId="411" priority="272" stopIfTrue="1" operator="greaterThan">
      <formula>-30</formula>
    </cfRule>
    <cfRule type="cellIs" dxfId="410" priority="273" stopIfTrue="1" operator="between">
      <formula>-33</formula>
      <formula>-30</formula>
    </cfRule>
  </conditionalFormatting>
  <conditionalFormatting sqref="BS16">
    <cfRule type="containsBlanks" priority="268" stopIfTrue="1">
      <formula>LEN(TRIM(BS16))=0</formula>
    </cfRule>
    <cfRule type="cellIs" dxfId="409" priority="269" stopIfTrue="1" operator="greaterThan">
      <formula>-30</formula>
    </cfRule>
    <cfRule type="cellIs" dxfId="408" priority="270" stopIfTrue="1" operator="between">
      <formula>-33</formula>
      <formula>-30</formula>
    </cfRule>
  </conditionalFormatting>
  <conditionalFormatting sqref="CB16">
    <cfRule type="containsBlanks" priority="265" stopIfTrue="1">
      <formula>LEN(TRIM(CB16))=0</formula>
    </cfRule>
    <cfRule type="cellIs" dxfId="407" priority="266" stopIfTrue="1" operator="greaterThan">
      <formula>-30</formula>
    </cfRule>
    <cfRule type="cellIs" dxfId="406" priority="267" stopIfTrue="1" operator="between">
      <formula>-33</formula>
      <formula>-30</formula>
    </cfRule>
  </conditionalFormatting>
  <conditionalFormatting sqref="CK16">
    <cfRule type="containsBlanks" priority="262" stopIfTrue="1">
      <formula>LEN(TRIM(CK16))=0</formula>
    </cfRule>
    <cfRule type="cellIs" dxfId="405" priority="263" stopIfTrue="1" operator="greaterThan">
      <formula>-30</formula>
    </cfRule>
    <cfRule type="cellIs" dxfId="404" priority="264" stopIfTrue="1" operator="between">
      <formula>-33</formula>
      <formula>-30</formula>
    </cfRule>
  </conditionalFormatting>
  <conditionalFormatting sqref="CT16">
    <cfRule type="containsBlanks" priority="259" stopIfTrue="1">
      <formula>LEN(TRIM(CT16))=0</formula>
    </cfRule>
    <cfRule type="cellIs" dxfId="403" priority="260" stopIfTrue="1" operator="greaterThan">
      <formula>-30</formula>
    </cfRule>
    <cfRule type="cellIs" dxfId="402" priority="261" stopIfTrue="1" operator="between">
      <formula>-33</formula>
      <formula>-30</formula>
    </cfRule>
  </conditionalFormatting>
  <conditionalFormatting sqref="H17">
    <cfRule type="containsBlanks" priority="256" stopIfTrue="1">
      <formula>LEN(TRIM(H17))=0</formula>
    </cfRule>
    <cfRule type="cellIs" dxfId="401" priority="257" stopIfTrue="1" operator="greaterThan">
      <formula>-30</formula>
    </cfRule>
    <cfRule type="cellIs" dxfId="400" priority="258" stopIfTrue="1" operator="between">
      <formula>-33</formula>
      <formula>-30</formula>
    </cfRule>
  </conditionalFormatting>
  <conditionalFormatting sqref="AI17">
    <cfRule type="containsBlanks" priority="253" stopIfTrue="1">
      <formula>LEN(TRIM(AI17))=0</formula>
    </cfRule>
    <cfRule type="cellIs" dxfId="399" priority="254" stopIfTrue="1" operator="greaterThan">
      <formula>-30</formula>
    </cfRule>
    <cfRule type="cellIs" dxfId="398" priority="255" stopIfTrue="1" operator="between">
      <formula>-33</formula>
      <formula>-30</formula>
    </cfRule>
  </conditionalFormatting>
  <conditionalFormatting sqref="AR17">
    <cfRule type="containsBlanks" priority="250" stopIfTrue="1">
      <formula>LEN(TRIM(AR17))=0</formula>
    </cfRule>
    <cfRule type="cellIs" dxfId="397" priority="251" stopIfTrue="1" operator="greaterThan">
      <formula>-30</formula>
    </cfRule>
    <cfRule type="cellIs" dxfId="396" priority="252" stopIfTrue="1" operator="between">
      <formula>-33</formula>
      <formula>-30</formula>
    </cfRule>
  </conditionalFormatting>
  <conditionalFormatting sqref="BA17">
    <cfRule type="containsBlanks" priority="247" stopIfTrue="1">
      <formula>LEN(TRIM(BA17))=0</formula>
    </cfRule>
    <cfRule type="cellIs" dxfId="395" priority="248" stopIfTrue="1" operator="greaterThan">
      <formula>-30</formula>
    </cfRule>
    <cfRule type="cellIs" dxfId="394" priority="249" stopIfTrue="1" operator="between">
      <formula>-33</formula>
      <formula>-30</formula>
    </cfRule>
  </conditionalFormatting>
  <conditionalFormatting sqref="BJ17">
    <cfRule type="containsBlanks" priority="244" stopIfTrue="1">
      <formula>LEN(TRIM(BJ17))=0</formula>
    </cfRule>
    <cfRule type="cellIs" dxfId="393" priority="245" stopIfTrue="1" operator="greaterThan">
      <formula>-30</formula>
    </cfRule>
    <cfRule type="cellIs" dxfId="392" priority="246" stopIfTrue="1" operator="between">
      <formula>-33</formula>
      <formula>-30</formula>
    </cfRule>
  </conditionalFormatting>
  <conditionalFormatting sqref="BS17">
    <cfRule type="containsBlanks" priority="241" stopIfTrue="1">
      <formula>LEN(TRIM(BS17))=0</formula>
    </cfRule>
    <cfRule type="cellIs" dxfId="391" priority="242" stopIfTrue="1" operator="greaterThan">
      <formula>-30</formula>
    </cfRule>
    <cfRule type="cellIs" dxfId="390" priority="243" stopIfTrue="1" operator="between">
      <formula>-33</formula>
      <formula>-30</formula>
    </cfRule>
  </conditionalFormatting>
  <conditionalFormatting sqref="CB17">
    <cfRule type="containsBlanks" priority="238" stopIfTrue="1">
      <formula>LEN(TRIM(CB17))=0</formula>
    </cfRule>
    <cfRule type="cellIs" dxfId="389" priority="239" stopIfTrue="1" operator="greaterThan">
      <formula>-30</formula>
    </cfRule>
    <cfRule type="cellIs" dxfId="388" priority="240" stopIfTrue="1" operator="between">
      <formula>-33</formula>
      <formula>-30</formula>
    </cfRule>
  </conditionalFormatting>
  <conditionalFormatting sqref="CK17">
    <cfRule type="containsBlanks" priority="235" stopIfTrue="1">
      <formula>LEN(TRIM(CK17))=0</formula>
    </cfRule>
    <cfRule type="cellIs" dxfId="387" priority="236" stopIfTrue="1" operator="greaterThan">
      <formula>-30</formula>
    </cfRule>
    <cfRule type="cellIs" dxfId="386" priority="237" stopIfTrue="1" operator="between">
      <formula>-33</formula>
      <formula>-30</formula>
    </cfRule>
  </conditionalFormatting>
  <conditionalFormatting sqref="CT17">
    <cfRule type="containsBlanks" priority="232" stopIfTrue="1">
      <formula>LEN(TRIM(CT17))=0</formula>
    </cfRule>
    <cfRule type="cellIs" dxfId="385" priority="233" stopIfTrue="1" operator="greaterThan">
      <formula>-30</formula>
    </cfRule>
    <cfRule type="cellIs" dxfId="384" priority="234" stopIfTrue="1" operator="between">
      <formula>-33</formula>
      <formula>-30</formula>
    </cfRule>
  </conditionalFormatting>
  <conditionalFormatting sqref="H18">
    <cfRule type="containsBlanks" priority="229" stopIfTrue="1">
      <formula>LEN(TRIM(H18))=0</formula>
    </cfRule>
    <cfRule type="cellIs" dxfId="383" priority="230" stopIfTrue="1" operator="greaterThan">
      <formula>-30</formula>
    </cfRule>
    <cfRule type="cellIs" dxfId="382" priority="231" stopIfTrue="1" operator="between">
      <formula>-33</formula>
      <formula>-30</formula>
    </cfRule>
  </conditionalFormatting>
  <conditionalFormatting sqref="AI18">
    <cfRule type="containsBlanks" priority="226" stopIfTrue="1">
      <formula>LEN(TRIM(AI18))=0</formula>
    </cfRule>
    <cfRule type="cellIs" dxfId="381" priority="227" stopIfTrue="1" operator="greaterThan">
      <formula>-30</formula>
    </cfRule>
    <cfRule type="cellIs" dxfId="380" priority="228" stopIfTrue="1" operator="between">
      <formula>-33</formula>
      <formula>-30</formula>
    </cfRule>
  </conditionalFormatting>
  <conditionalFormatting sqref="AR18">
    <cfRule type="containsBlanks" priority="223" stopIfTrue="1">
      <formula>LEN(TRIM(AR18))=0</formula>
    </cfRule>
    <cfRule type="cellIs" dxfId="379" priority="224" stopIfTrue="1" operator="greaterThan">
      <formula>-30</formula>
    </cfRule>
    <cfRule type="cellIs" dxfId="378" priority="225" stopIfTrue="1" operator="between">
      <formula>-33</formula>
      <formula>-30</formula>
    </cfRule>
  </conditionalFormatting>
  <conditionalFormatting sqref="BA18">
    <cfRule type="containsBlanks" priority="220" stopIfTrue="1">
      <formula>LEN(TRIM(BA18))=0</formula>
    </cfRule>
    <cfRule type="cellIs" dxfId="377" priority="221" stopIfTrue="1" operator="greaterThan">
      <formula>-30</formula>
    </cfRule>
    <cfRule type="cellIs" dxfId="376" priority="222" stopIfTrue="1" operator="between">
      <formula>-33</formula>
      <formula>-30</formula>
    </cfRule>
  </conditionalFormatting>
  <conditionalFormatting sqref="BJ18">
    <cfRule type="containsBlanks" priority="217" stopIfTrue="1">
      <formula>LEN(TRIM(BJ18))=0</formula>
    </cfRule>
    <cfRule type="cellIs" dxfId="375" priority="218" stopIfTrue="1" operator="greaterThan">
      <formula>-30</formula>
    </cfRule>
    <cfRule type="cellIs" dxfId="374" priority="219" stopIfTrue="1" operator="between">
      <formula>-33</formula>
      <formula>-30</formula>
    </cfRule>
  </conditionalFormatting>
  <conditionalFormatting sqref="BS18">
    <cfRule type="containsBlanks" priority="214" stopIfTrue="1">
      <formula>LEN(TRIM(BS18))=0</formula>
    </cfRule>
    <cfRule type="cellIs" dxfId="373" priority="215" stopIfTrue="1" operator="greaterThan">
      <formula>-30</formula>
    </cfRule>
    <cfRule type="cellIs" dxfId="372" priority="216" stopIfTrue="1" operator="between">
      <formula>-33</formula>
      <formula>-30</formula>
    </cfRule>
  </conditionalFormatting>
  <conditionalFormatting sqref="CB18">
    <cfRule type="containsBlanks" priority="211" stopIfTrue="1">
      <formula>LEN(TRIM(CB18))=0</formula>
    </cfRule>
    <cfRule type="cellIs" dxfId="371" priority="212" stopIfTrue="1" operator="greaterThan">
      <formula>-30</formula>
    </cfRule>
    <cfRule type="cellIs" dxfId="370" priority="213" stopIfTrue="1" operator="between">
      <formula>-33</formula>
      <formula>-30</formula>
    </cfRule>
  </conditionalFormatting>
  <conditionalFormatting sqref="CK18">
    <cfRule type="containsBlanks" priority="208" stopIfTrue="1">
      <formula>LEN(TRIM(CK18))=0</formula>
    </cfRule>
    <cfRule type="cellIs" dxfId="369" priority="209" stopIfTrue="1" operator="greaterThan">
      <formula>-30</formula>
    </cfRule>
    <cfRule type="cellIs" dxfId="368" priority="210" stopIfTrue="1" operator="between">
      <formula>-33</formula>
      <formula>-30</formula>
    </cfRule>
  </conditionalFormatting>
  <conditionalFormatting sqref="CT18">
    <cfRule type="containsBlanks" priority="205" stopIfTrue="1">
      <formula>LEN(TRIM(CT18))=0</formula>
    </cfRule>
    <cfRule type="cellIs" dxfId="367" priority="206" stopIfTrue="1" operator="greaterThan">
      <formula>-30</formula>
    </cfRule>
    <cfRule type="cellIs" dxfId="366" priority="207" stopIfTrue="1" operator="between">
      <formula>-33</formula>
      <formula>-30</formula>
    </cfRule>
  </conditionalFormatting>
  <conditionalFormatting sqref="H19">
    <cfRule type="containsBlanks" priority="202" stopIfTrue="1">
      <formula>LEN(TRIM(H19))=0</formula>
    </cfRule>
    <cfRule type="cellIs" dxfId="365" priority="203" stopIfTrue="1" operator="greaterThan">
      <formula>-30</formula>
    </cfRule>
    <cfRule type="cellIs" dxfId="364" priority="204" stopIfTrue="1" operator="between">
      <formula>-33</formula>
      <formula>-30</formula>
    </cfRule>
  </conditionalFormatting>
  <conditionalFormatting sqref="AI19">
    <cfRule type="containsBlanks" priority="199" stopIfTrue="1">
      <formula>LEN(TRIM(AI19))=0</formula>
    </cfRule>
    <cfRule type="cellIs" dxfId="363" priority="200" stopIfTrue="1" operator="greaterThan">
      <formula>-30</formula>
    </cfRule>
    <cfRule type="cellIs" dxfId="362" priority="201" stopIfTrue="1" operator="between">
      <formula>-33</formula>
      <formula>-30</formula>
    </cfRule>
  </conditionalFormatting>
  <conditionalFormatting sqref="AR19">
    <cfRule type="containsBlanks" priority="196" stopIfTrue="1">
      <formula>LEN(TRIM(AR19))=0</formula>
    </cfRule>
    <cfRule type="cellIs" dxfId="361" priority="197" stopIfTrue="1" operator="greaterThan">
      <formula>-30</formula>
    </cfRule>
    <cfRule type="cellIs" dxfId="360" priority="198" stopIfTrue="1" operator="between">
      <formula>-33</formula>
      <formula>-30</formula>
    </cfRule>
  </conditionalFormatting>
  <conditionalFormatting sqref="BA19">
    <cfRule type="containsBlanks" priority="193" stopIfTrue="1">
      <formula>LEN(TRIM(BA19))=0</formula>
    </cfRule>
    <cfRule type="cellIs" dxfId="359" priority="194" stopIfTrue="1" operator="greaterThan">
      <formula>-30</formula>
    </cfRule>
    <cfRule type="cellIs" dxfId="358" priority="195" stopIfTrue="1" operator="between">
      <formula>-33</formula>
      <formula>-30</formula>
    </cfRule>
  </conditionalFormatting>
  <conditionalFormatting sqref="BJ19">
    <cfRule type="containsBlanks" priority="190" stopIfTrue="1">
      <formula>LEN(TRIM(BJ19))=0</formula>
    </cfRule>
    <cfRule type="cellIs" dxfId="357" priority="191" stopIfTrue="1" operator="greaterThan">
      <formula>-30</formula>
    </cfRule>
    <cfRule type="cellIs" dxfId="356" priority="192" stopIfTrue="1" operator="between">
      <formula>-33</formula>
      <formula>-30</formula>
    </cfRule>
  </conditionalFormatting>
  <conditionalFormatting sqref="BS19">
    <cfRule type="containsBlanks" priority="187" stopIfTrue="1">
      <formula>LEN(TRIM(BS19))=0</formula>
    </cfRule>
    <cfRule type="cellIs" dxfId="355" priority="188" stopIfTrue="1" operator="greaterThan">
      <formula>-30</formula>
    </cfRule>
    <cfRule type="cellIs" dxfId="354" priority="189" stopIfTrue="1" operator="between">
      <formula>-33</formula>
      <formula>-30</formula>
    </cfRule>
  </conditionalFormatting>
  <conditionalFormatting sqref="CB19">
    <cfRule type="containsBlanks" priority="184" stopIfTrue="1">
      <formula>LEN(TRIM(CB19))=0</formula>
    </cfRule>
    <cfRule type="cellIs" dxfId="353" priority="185" stopIfTrue="1" operator="greaterThan">
      <formula>-30</formula>
    </cfRule>
    <cfRule type="cellIs" dxfId="352" priority="186" stopIfTrue="1" operator="between">
      <formula>-33</formula>
      <formula>-30</formula>
    </cfRule>
  </conditionalFormatting>
  <conditionalFormatting sqref="CK19">
    <cfRule type="containsBlanks" priority="181" stopIfTrue="1">
      <formula>LEN(TRIM(CK19))=0</formula>
    </cfRule>
    <cfRule type="cellIs" dxfId="351" priority="182" stopIfTrue="1" operator="greaterThan">
      <formula>-30</formula>
    </cfRule>
    <cfRule type="cellIs" dxfId="350" priority="183" stopIfTrue="1" operator="between">
      <formula>-33</formula>
      <formula>-30</formula>
    </cfRule>
  </conditionalFormatting>
  <conditionalFormatting sqref="CT19">
    <cfRule type="containsBlanks" priority="178" stopIfTrue="1">
      <formula>LEN(TRIM(CT19))=0</formula>
    </cfRule>
    <cfRule type="cellIs" dxfId="349" priority="179" stopIfTrue="1" operator="greaterThan">
      <formula>-30</formula>
    </cfRule>
    <cfRule type="cellIs" dxfId="348" priority="180" stopIfTrue="1" operator="between">
      <formula>-33</formula>
      <formula>-30</formula>
    </cfRule>
  </conditionalFormatting>
  <conditionalFormatting sqref="Q7">
    <cfRule type="containsBlanks" priority="94" stopIfTrue="1">
      <formula>LEN(TRIM(Q7))=0</formula>
    </cfRule>
    <cfRule type="cellIs" dxfId="347" priority="95" stopIfTrue="1" operator="greaterThan">
      <formula>-30</formula>
    </cfRule>
    <cfRule type="cellIs" dxfId="346" priority="96" stopIfTrue="1" operator="between">
      <formula>-33</formula>
      <formula>-30</formula>
    </cfRule>
  </conditionalFormatting>
  <conditionalFormatting sqref="Q8">
    <cfRule type="containsBlanks" priority="91" stopIfTrue="1">
      <formula>LEN(TRIM(Q8))=0</formula>
    </cfRule>
    <cfRule type="cellIs" dxfId="345" priority="92" stopIfTrue="1" operator="greaterThan">
      <formula>-30</formula>
    </cfRule>
    <cfRule type="cellIs" dxfId="344" priority="93" stopIfTrue="1" operator="between">
      <formula>-33</formula>
      <formula>-30</formula>
    </cfRule>
  </conditionalFormatting>
  <conditionalFormatting sqref="Q9">
    <cfRule type="containsBlanks" priority="88" stopIfTrue="1">
      <formula>LEN(TRIM(Q9))=0</formula>
    </cfRule>
    <cfRule type="cellIs" dxfId="343" priority="89" stopIfTrue="1" operator="greaterThan">
      <formula>-30</formula>
    </cfRule>
    <cfRule type="cellIs" dxfId="342" priority="90" stopIfTrue="1" operator="between">
      <formula>-33</formula>
      <formula>-30</formula>
    </cfRule>
  </conditionalFormatting>
  <conditionalFormatting sqref="Q10">
    <cfRule type="containsBlanks" priority="85" stopIfTrue="1">
      <formula>LEN(TRIM(Q10))=0</formula>
    </cfRule>
    <cfRule type="cellIs" dxfId="341" priority="86" stopIfTrue="1" operator="greaterThan">
      <formula>-30</formula>
    </cfRule>
    <cfRule type="cellIs" dxfId="340" priority="87" stopIfTrue="1" operator="between">
      <formula>-33</formula>
      <formula>-30</formula>
    </cfRule>
  </conditionalFormatting>
  <conditionalFormatting sqref="Q11">
    <cfRule type="containsBlanks" priority="82" stopIfTrue="1">
      <formula>LEN(TRIM(Q11))=0</formula>
    </cfRule>
    <cfRule type="cellIs" dxfId="339" priority="83" stopIfTrue="1" operator="greaterThan">
      <formula>-30</formula>
    </cfRule>
    <cfRule type="cellIs" dxfId="338" priority="84" stopIfTrue="1" operator="between">
      <formula>-33</formula>
      <formula>-30</formula>
    </cfRule>
  </conditionalFormatting>
  <conditionalFormatting sqref="Q12">
    <cfRule type="containsBlanks" priority="79" stopIfTrue="1">
      <formula>LEN(TRIM(Q12))=0</formula>
    </cfRule>
    <cfRule type="cellIs" dxfId="337" priority="80" stopIfTrue="1" operator="greaterThan">
      <formula>-30</formula>
    </cfRule>
    <cfRule type="cellIs" dxfId="336" priority="81" stopIfTrue="1" operator="between">
      <formula>-33</formula>
      <formula>-30</formula>
    </cfRule>
  </conditionalFormatting>
  <conditionalFormatting sqref="Q13">
    <cfRule type="containsBlanks" priority="76" stopIfTrue="1">
      <formula>LEN(TRIM(Q13))=0</formula>
    </cfRule>
    <cfRule type="cellIs" dxfId="335" priority="77" stopIfTrue="1" operator="greaterThan">
      <formula>-30</formula>
    </cfRule>
    <cfRule type="cellIs" dxfId="334" priority="78" stopIfTrue="1" operator="between">
      <formula>-33</formula>
      <formula>-30</formula>
    </cfRule>
  </conditionalFormatting>
  <conditionalFormatting sqref="Q14">
    <cfRule type="containsBlanks" priority="73" stopIfTrue="1">
      <formula>LEN(TRIM(Q14))=0</formula>
    </cfRule>
    <cfRule type="cellIs" dxfId="333" priority="74" stopIfTrue="1" operator="greaterThan">
      <formula>-30</formula>
    </cfRule>
    <cfRule type="cellIs" dxfId="332" priority="75" stopIfTrue="1" operator="between">
      <formula>-33</formula>
      <formula>-30</formula>
    </cfRule>
  </conditionalFormatting>
  <conditionalFormatting sqref="Q15">
    <cfRule type="containsBlanks" priority="70" stopIfTrue="1">
      <formula>LEN(TRIM(Q15))=0</formula>
    </cfRule>
    <cfRule type="cellIs" dxfId="331" priority="71" stopIfTrue="1" operator="greaterThan">
      <formula>-30</formula>
    </cfRule>
    <cfRule type="cellIs" dxfId="330" priority="72" stopIfTrue="1" operator="between">
      <formula>-33</formula>
      <formula>-30</formula>
    </cfRule>
  </conditionalFormatting>
  <conditionalFormatting sqref="Q16">
    <cfRule type="containsBlanks" priority="67" stopIfTrue="1">
      <formula>LEN(TRIM(Q16))=0</formula>
    </cfRule>
    <cfRule type="cellIs" dxfId="329" priority="68" stopIfTrue="1" operator="greaterThan">
      <formula>-30</formula>
    </cfRule>
    <cfRule type="cellIs" dxfId="328" priority="69" stopIfTrue="1" operator="between">
      <formula>-33</formula>
      <formula>-30</formula>
    </cfRule>
  </conditionalFormatting>
  <conditionalFormatting sqref="Q17">
    <cfRule type="containsBlanks" priority="64" stopIfTrue="1">
      <formula>LEN(TRIM(Q17))=0</formula>
    </cfRule>
    <cfRule type="cellIs" dxfId="327" priority="65" stopIfTrue="1" operator="greaterThan">
      <formula>-30</formula>
    </cfRule>
    <cfRule type="cellIs" dxfId="326" priority="66" stopIfTrue="1" operator="between">
      <formula>-33</formula>
      <formula>-30</formula>
    </cfRule>
  </conditionalFormatting>
  <conditionalFormatting sqref="Q18">
    <cfRule type="containsBlanks" priority="61" stopIfTrue="1">
      <formula>LEN(TRIM(Q18))=0</formula>
    </cfRule>
    <cfRule type="cellIs" dxfId="325" priority="62" stopIfTrue="1" operator="greaterThan">
      <formula>-30</formula>
    </cfRule>
    <cfRule type="cellIs" dxfId="324" priority="63" stopIfTrue="1" operator="between">
      <formula>-33</formula>
      <formula>-30</formula>
    </cfRule>
  </conditionalFormatting>
  <conditionalFormatting sqref="Q19">
    <cfRule type="containsBlanks" priority="58" stopIfTrue="1">
      <formula>LEN(TRIM(Q19))=0</formula>
    </cfRule>
    <cfRule type="cellIs" dxfId="323" priority="59" stopIfTrue="1" operator="greaterThan">
      <formula>-30</formula>
    </cfRule>
    <cfRule type="cellIs" dxfId="322" priority="60" stopIfTrue="1" operator="between">
      <formula>-33</formula>
      <formula>-30</formula>
    </cfRule>
  </conditionalFormatting>
  <conditionalFormatting sqref="Q20">
    <cfRule type="containsBlanks" priority="55" stopIfTrue="1">
      <formula>LEN(TRIM(Q20))=0</formula>
    </cfRule>
    <cfRule type="cellIs" dxfId="321" priority="56" stopIfTrue="1" operator="greaterThan">
      <formula>-30</formula>
    </cfRule>
    <cfRule type="cellIs" dxfId="320" priority="57" stopIfTrue="1" operator="between">
      <formula>-33</formula>
      <formula>-30</formula>
    </cfRule>
  </conditionalFormatting>
  <conditionalFormatting sqref="Q21">
    <cfRule type="containsBlanks" priority="52" stopIfTrue="1">
      <formula>LEN(TRIM(Q21))=0</formula>
    </cfRule>
    <cfRule type="cellIs" dxfId="319" priority="53" stopIfTrue="1" operator="greaterThan">
      <formula>-30</formula>
    </cfRule>
    <cfRule type="cellIs" dxfId="318" priority="54" stopIfTrue="1" operator="between">
      <formula>-33</formula>
      <formula>-30</formula>
    </cfRule>
  </conditionalFormatting>
  <conditionalFormatting sqref="Q22">
    <cfRule type="containsBlanks" priority="49" stopIfTrue="1">
      <formula>LEN(TRIM(Q22))=0</formula>
    </cfRule>
    <cfRule type="cellIs" dxfId="317" priority="50" stopIfTrue="1" operator="greaterThan">
      <formula>-30</formula>
    </cfRule>
    <cfRule type="cellIs" dxfId="316" priority="51" stopIfTrue="1" operator="between">
      <formula>-33</formula>
      <formula>-30</formula>
    </cfRule>
  </conditionalFormatting>
  <conditionalFormatting sqref="Z7">
    <cfRule type="containsBlanks" priority="46" stopIfTrue="1">
      <formula>LEN(TRIM(Z7))=0</formula>
    </cfRule>
    <cfRule type="cellIs" dxfId="315" priority="47" stopIfTrue="1" operator="greaterThan">
      <formula>-30</formula>
    </cfRule>
    <cfRule type="cellIs" dxfId="314" priority="48" stopIfTrue="1" operator="between">
      <formula>-33</formula>
      <formula>-30</formula>
    </cfRule>
  </conditionalFormatting>
  <conditionalFormatting sqref="Z8">
    <cfRule type="containsBlanks" priority="43" stopIfTrue="1">
      <formula>LEN(TRIM(Z8))=0</formula>
    </cfRule>
    <cfRule type="cellIs" dxfId="313" priority="44" stopIfTrue="1" operator="greaterThan">
      <formula>-30</formula>
    </cfRule>
    <cfRule type="cellIs" dxfId="312" priority="45" stopIfTrue="1" operator="between">
      <formula>-33</formula>
      <formula>-30</formula>
    </cfRule>
  </conditionalFormatting>
  <conditionalFormatting sqref="Z9">
    <cfRule type="containsBlanks" priority="40" stopIfTrue="1">
      <formula>LEN(TRIM(Z9))=0</formula>
    </cfRule>
    <cfRule type="cellIs" dxfId="311" priority="41" stopIfTrue="1" operator="greaterThan">
      <formula>-30</formula>
    </cfRule>
    <cfRule type="cellIs" dxfId="310" priority="42" stopIfTrue="1" operator="between">
      <formula>-33</formula>
      <formula>-30</formula>
    </cfRule>
  </conditionalFormatting>
  <conditionalFormatting sqref="Z10">
    <cfRule type="containsBlanks" priority="37" stopIfTrue="1">
      <formula>LEN(TRIM(Z10))=0</formula>
    </cfRule>
    <cfRule type="cellIs" dxfId="309" priority="38" stopIfTrue="1" operator="greaterThan">
      <formula>-30</formula>
    </cfRule>
    <cfRule type="cellIs" dxfId="308" priority="39" stopIfTrue="1" operator="between">
      <formula>-33</formula>
      <formula>-30</formula>
    </cfRule>
  </conditionalFormatting>
  <conditionalFormatting sqref="Z11">
    <cfRule type="containsBlanks" priority="34" stopIfTrue="1">
      <formula>LEN(TRIM(Z11))=0</formula>
    </cfRule>
    <cfRule type="cellIs" dxfId="307" priority="35" stopIfTrue="1" operator="greaterThan">
      <formula>-30</formula>
    </cfRule>
    <cfRule type="cellIs" dxfId="306" priority="36" stopIfTrue="1" operator="between">
      <formula>-33</formula>
      <formula>-30</formula>
    </cfRule>
  </conditionalFormatting>
  <conditionalFormatting sqref="Z12">
    <cfRule type="containsBlanks" priority="31" stopIfTrue="1">
      <formula>LEN(TRIM(Z12))=0</formula>
    </cfRule>
    <cfRule type="cellIs" dxfId="305" priority="32" stopIfTrue="1" operator="greaterThan">
      <formula>-30</formula>
    </cfRule>
    <cfRule type="cellIs" dxfId="304" priority="33" stopIfTrue="1" operator="between">
      <formula>-33</formula>
      <formula>-30</formula>
    </cfRule>
  </conditionalFormatting>
  <conditionalFormatting sqref="Z13">
    <cfRule type="containsBlanks" priority="28" stopIfTrue="1">
      <formula>LEN(TRIM(Z13))=0</formula>
    </cfRule>
    <cfRule type="cellIs" dxfId="303" priority="29" stopIfTrue="1" operator="greaterThan">
      <formula>-30</formula>
    </cfRule>
    <cfRule type="cellIs" dxfId="302" priority="30" stopIfTrue="1" operator="between">
      <formula>-33</formula>
      <formula>-30</formula>
    </cfRule>
  </conditionalFormatting>
  <conditionalFormatting sqref="Z14">
    <cfRule type="containsBlanks" priority="25" stopIfTrue="1">
      <formula>LEN(TRIM(Z14))=0</formula>
    </cfRule>
    <cfRule type="cellIs" dxfId="301" priority="26" stopIfTrue="1" operator="greaterThan">
      <formula>-30</formula>
    </cfRule>
    <cfRule type="cellIs" dxfId="300" priority="27" stopIfTrue="1" operator="between">
      <formula>-33</formula>
      <formula>-30</formula>
    </cfRule>
  </conditionalFormatting>
  <conditionalFormatting sqref="Z15">
    <cfRule type="containsBlanks" priority="22" stopIfTrue="1">
      <formula>LEN(TRIM(Z15))=0</formula>
    </cfRule>
    <cfRule type="cellIs" dxfId="299" priority="23" stopIfTrue="1" operator="greaterThan">
      <formula>-30</formula>
    </cfRule>
    <cfRule type="cellIs" dxfId="298" priority="24" stopIfTrue="1" operator="between">
      <formula>-33</formula>
      <formula>-30</formula>
    </cfRule>
  </conditionalFormatting>
  <conditionalFormatting sqref="Z16">
    <cfRule type="containsBlanks" priority="19" stopIfTrue="1">
      <formula>LEN(TRIM(Z16))=0</formula>
    </cfRule>
    <cfRule type="cellIs" dxfId="297" priority="20" stopIfTrue="1" operator="greaterThan">
      <formula>-30</formula>
    </cfRule>
    <cfRule type="cellIs" dxfId="296" priority="21" stopIfTrue="1" operator="between">
      <formula>-33</formula>
      <formula>-30</formula>
    </cfRule>
  </conditionalFormatting>
  <conditionalFormatting sqref="Z17">
    <cfRule type="containsBlanks" priority="16" stopIfTrue="1">
      <formula>LEN(TRIM(Z17))=0</formula>
    </cfRule>
    <cfRule type="cellIs" dxfId="295" priority="17" stopIfTrue="1" operator="greaterThan">
      <formula>-30</formula>
    </cfRule>
    <cfRule type="cellIs" dxfId="294" priority="18" stopIfTrue="1" operator="between">
      <formula>-33</formula>
      <formula>-30</formula>
    </cfRule>
  </conditionalFormatting>
  <conditionalFormatting sqref="Z18">
    <cfRule type="containsBlanks" priority="13" stopIfTrue="1">
      <formula>LEN(TRIM(Z18))=0</formula>
    </cfRule>
    <cfRule type="cellIs" dxfId="293" priority="14" stopIfTrue="1" operator="greaterThan">
      <formula>-30</formula>
    </cfRule>
    <cfRule type="cellIs" dxfId="292" priority="15" stopIfTrue="1" operator="between">
      <formula>-33</formula>
      <formula>-30</formula>
    </cfRule>
  </conditionalFormatting>
  <conditionalFormatting sqref="Z19">
    <cfRule type="containsBlanks" priority="10" stopIfTrue="1">
      <formula>LEN(TRIM(Z19))=0</formula>
    </cfRule>
    <cfRule type="cellIs" dxfId="291" priority="11" stopIfTrue="1" operator="greaterThan">
      <formula>-30</formula>
    </cfRule>
    <cfRule type="cellIs" dxfId="290" priority="12" stopIfTrue="1" operator="between">
      <formula>-33</formula>
      <formula>-30</formula>
    </cfRule>
  </conditionalFormatting>
  <conditionalFormatting sqref="Z20">
    <cfRule type="containsBlanks" priority="7" stopIfTrue="1">
      <formula>LEN(TRIM(Z20))=0</formula>
    </cfRule>
    <cfRule type="cellIs" dxfId="289" priority="8" stopIfTrue="1" operator="greaterThan">
      <formula>-30</formula>
    </cfRule>
    <cfRule type="cellIs" dxfId="288" priority="9" stopIfTrue="1" operator="between">
      <formula>-33</formula>
      <formula>-30</formula>
    </cfRule>
  </conditionalFormatting>
  <conditionalFormatting sqref="Z21">
    <cfRule type="containsBlanks" priority="4" stopIfTrue="1">
      <formula>LEN(TRIM(Z21))=0</formula>
    </cfRule>
    <cfRule type="cellIs" dxfId="287" priority="5" stopIfTrue="1" operator="greaterThan">
      <formula>-30</formula>
    </cfRule>
    <cfRule type="cellIs" dxfId="286" priority="6" stopIfTrue="1" operator="between">
      <formula>-33</formula>
      <formula>-30</formula>
    </cfRule>
  </conditionalFormatting>
  <conditionalFormatting sqref="Z22">
    <cfRule type="containsBlanks" priority="1" stopIfTrue="1">
      <formula>LEN(TRIM(Z22))=0</formula>
    </cfRule>
    <cfRule type="cellIs" dxfId="285" priority="2" stopIfTrue="1" operator="greaterThan">
      <formula>-30</formula>
    </cfRule>
    <cfRule type="cellIs" dxfId="284" priority="3" stopIfTrue="1" operator="between">
      <formula>-33</formula>
      <formula>-30</formula>
    </cfRule>
  </conditionalFormatting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CB11"/>
  <sheetViews>
    <sheetView zoomScale="70" zoomScaleNormal="70" workbookViewId="0">
      <selection activeCell="AA29" sqref="AA29"/>
    </sheetView>
  </sheetViews>
  <sheetFormatPr defaultRowHeight="13.5"/>
  <sheetData>
    <row r="1" spans="1:80" s="2" customFormat="1" ht="35.25" customHeight="1">
      <c r="A1" s="1" t="s">
        <v>135</v>
      </c>
      <c r="B1" s="78" t="s">
        <v>99</v>
      </c>
      <c r="C1" s="78"/>
      <c r="D1" s="78"/>
      <c r="E1" s="78"/>
      <c r="F1" s="78"/>
      <c r="G1" s="78"/>
      <c r="H1" s="78"/>
      <c r="I1" s="78"/>
      <c r="J1" s="78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</row>
    <row r="2" spans="1:80" ht="14.25">
      <c r="A2" s="3" t="s">
        <v>23</v>
      </c>
      <c r="B2" s="79" t="s">
        <v>24</v>
      </c>
      <c r="C2" s="80"/>
      <c r="D2" s="80"/>
      <c r="E2" s="80"/>
      <c r="F2" s="80"/>
      <c r="G2" s="80"/>
      <c r="H2" s="80"/>
    </row>
    <row r="3" spans="1:80" ht="14.25">
      <c r="A3" s="3" t="s">
        <v>0</v>
      </c>
      <c r="B3" s="79" t="s">
        <v>25</v>
      </c>
      <c r="C3" s="80"/>
      <c r="D3" s="80"/>
      <c r="E3" s="80"/>
      <c r="F3" s="80"/>
      <c r="G3" s="80"/>
      <c r="H3" s="80"/>
    </row>
    <row r="4" spans="1:80" ht="14.25">
      <c r="A4" s="9" t="s">
        <v>101</v>
      </c>
      <c r="B4" s="65" t="s">
        <v>55</v>
      </c>
      <c r="C4" s="66"/>
      <c r="D4" s="66"/>
      <c r="E4" s="66"/>
      <c r="F4" s="66"/>
      <c r="G4" s="66"/>
      <c r="H4" s="66"/>
    </row>
    <row r="5" spans="1:80" ht="14.25" customHeight="1">
      <c r="A5" s="19" t="s">
        <v>167</v>
      </c>
      <c r="B5" s="5" t="s">
        <v>26</v>
      </c>
      <c r="C5" s="5" t="s">
        <v>27</v>
      </c>
      <c r="D5" s="5" t="s">
        <v>28</v>
      </c>
      <c r="E5" s="5" t="s">
        <v>11</v>
      </c>
      <c r="F5" s="5" t="s">
        <v>12</v>
      </c>
      <c r="G5" s="21" t="s">
        <v>3</v>
      </c>
      <c r="H5" s="64" t="s">
        <v>4</v>
      </c>
      <c r="I5" s="81" t="s">
        <v>29</v>
      </c>
      <c r="J5" s="19" t="s">
        <v>167</v>
      </c>
      <c r="K5" s="20" t="s">
        <v>26</v>
      </c>
      <c r="L5" s="20" t="s">
        <v>27</v>
      </c>
      <c r="M5" s="20" t="s">
        <v>28</v>
      </c>
      <c r="N5" s="20" t="s">
        <v>11</v>
      </c>
      <c r="O5" s="20" t="s">
        <v>12</v>
      </c>
      <c r="P5" s="21" t="s">
        <v>3</v>
      </c>
      <c r="Q5" s="64" t="s">
        <v>4</v>
      </c>
      <c r="R5" s="86" t="s">
        <v>29</v>
      </c>
      <c r="S5" s="19" t="s">
        <v>167</v>
      </c>
      <c r="T5" s="20" t="s">
        <v>26</v>
      </c>
      <c r="U5" s="20" t="s">
        <v>27</v>
      </c>
      <c r="V5" s="20" t="s">
        <v>28</v>
      </c>
      <c r="W5" s="20" t="s">
        <v>11</v>
      </c>
      <c r="X5" s="20" t="s">
        <v>12</v>
      </c>
      <c r="Y5" s="21" t="s">
        <v>3</v>
      </c>
      <c r="Z5" s="64" t="s">
        <v>4</v>
      </c>
      <c r="AA5" s="86" t="s">
        <v>29</v>
      </c>
      <c r="AB5" s="19" t="s">
        <v>167</v>
      </c>
      <c r="AC5" s="20" t="s">
        <v>26</v>
      </c>
      <c r="AD5" s="20" t="s">
        <v>27</v>
      </c>
      <c r="AE5" s="20" t="s">
        <v>28</v>
      </c>
      <c r="AF5" s="20" t="s">
        <v>11</v>
      </c>
      <c r="AG5" s="20" t="s">
        <v>12</v>
      </c>
      <c r="AH5" s="21" t="s">
        <v>3</v>
      </c>
      <c r="AI5" s="64" t="s">
        <v>4</v>
      </c>
      <c r="AJ5" s="81" t="s">
        <v>29</v>
      </c>
      <c r="AK5" s="19" t="s">
        <v>167</v>
      </c>
      <c r="AL5" s="20" t="s">
        <v>136</v>
      </c>
      <c r="AM5" s="20" t="s">
        <v>137</v>
      </c>
      <c r="AN5" s="20" t="s">
        <v>138</v>
      </c>
      <c r="AO5" s="20" t="s">
        <v>139</v>
      </c>
      <c r="AP5" s="20" t="s">
        <v>140</v>
      </c>
      <c r="AQ5" s="21" t="s">
        <v>3</v>
      </c>
      <c r="AR5" s="64" t="s">
        <v>4</v>
      </c>
      <c r="AS5" s="81" t="s">
        <v>29</v>
      </c>
      <c r="AT5" s="19" t="s">
        <v>167</v>
      </c>
      <c r="AU5" s="20" t="s">
        <v>26</v>
      </c>
      <c r="AV5" s="20" t="s">
        <v>27</v>
      </c>
      <c r="AW5" s="20" t="s">
        <v>28</v>
      </c>
      <c r="AX5" s="20" t="s">
        <v>11</v>
      </c>
      <c r="AY5" s="20" t="s">
        <v>12</v>
      </c>
      <c r="AZ5" s="21" t="s">
        <v>3</v>
      </c>
      <c r="BA5" s="64" t="s">
        <v>4</v>
      </c>
      <c r="BB5" s="81" t="s">
        <v>29</v>
      </c>
      <c r="BC5" s="19" t="s">
        <v>167</v>
      </c>
      <c r="BD5" s="20" t="s">
        <v>26</v>
      </c>
      <c r="BE5" s="20" t="s">
        <v>27</v>
      </c>
      <c r="BF5" s="20" t="s">
        <v>28</v>
      </c>
      <c r="BG5" s="20" t="s">
        <v>11</v>
      </c>
      <c r="BH5" s="20" t="s">
        <v>12</v>
      </c>
      <c r="BI5" s="21" t="s">
        <v>3</v>
      </c>
      <c r="BJ5" s="69" t="s">
        <v>4</v>
      </c>
      <c r="BK5" s="81" t="s">
        <v>29</v>
      </c>
      <c r="BL5" s="19" t="s">
        <v>167</v>
      </c>
      <c r="BM5" s="20" t="s">
        <v>26</v>
      </c>
      <c r="BN5" s="20" t="s">
        <v>27</v>
      </c>
      <c r="BO5" s="20" t="s">
        <v>28</v>
      </c>
      <c r="BP5" s="20" t="s">
        <v>11</v>
      </c>
      <c r="BQ5" s="20" t="s">
        <v>12</v>
      </c>
      <c r="BR5" s="21" t="s">
        <v>3</v>
      </c>
      <c r="BS5" s="64" t="s">
        <v>4</v>
      </c>
      <c r="BT5" s="81" t="s">
        <v>29</v>
      </c>
      <c r="BU5" s="19" t="s">
        <v>167</v>
      </c>
      <c r="BV5" s="20" t="s">
        <v>26</v>
      </c>
      <c r="BW5" s="20" t="s">
        <v>27</v>
      </c>
      <c r="BX5" s="20" t="s">
        <v>28</v>
      </c>
      <c r="BY5" s="20" t="s">
        <v>11</v>
      </c>
      <c r="BZ5" s="20" t="s">
        <v>12</v>
      </c>
      <c r="CA5" s="21" t="s">
        <v>3</v>
      </c>
      <c r="CB5" s="64" t="s">
        <v>4</v>
      </c>
    </row>
    <row r="6" spans="1:80" ht="15">
      <c r="A6" s="7" t="s">
        <v>30</v>
      </c>
      <c r="B6" s="8">
        <v>27685</v>
      </c>
      <c r="C6" s="8">
        <v>2307.5</v>
      </c>
      <c r="D6" s="4">
        <v>5</v>
      </c>
      <c r="E6" s="8" t="s">
        <v>10</v>
      </c>
      <c r="F6" s="50">
        <v>1</v>
      </c>
      <c r="G6" s="24" t="s">
        <v>15</v>
      </c>
      <c r="H6" s="25" t="s">
        <v>6</v>
      </c>
      <c r="I6" s="82"/>
      <c r="J6" s="22" t="s">
        <v>32</v>
      </c>
      <c r="K6" s="28">
        <v>27710</v>
      </c>
      <c r="L6" s="28">
        <v>2310</v>
      </c>
      <c r="M6" s="23">
        <v>5</v>
      </c>
      <c r="N6" s="28" t="s">
        <v>10</v>
      </c>
      <c r="O6" s="29">
        <v>1</v>
      </c>
      <c r="P6" s="24" t="s">
        <v>15</v>
      </c>
      <c r="Q6" s="25" t="s">
        <v>7</v>
      </c>
      <c r="R6" s="86"/>
      <c r="S6" s="27" t="s">
        <v>31</v>
      </c>
      <c r="T6" s="28">
        <v>27735</v>
      </c>
      <c r="U6" s="28">
        <v>2312.5</v>
      </c>
      <c r="V6" s="23">
        <v>5</v>
      </c>
      <c r="W6" s="28" t="s">
        <v>10</v>
      </c>
      <c r="X6" s="29">
        <v>1</v>
      </c>
      <c r="Y6" s="24" t="s">
        <v>117</v>
      </c>
      <c r="Z6" s="25" t="s">
        <v>7</v>
      </c>
      <c r="AA6" s="86"/>
      <c r="AB6" s="7" t="s">
        <v>30</v>
      </c>
      <c r="AC6" s="8">
        <v>27685</v>
      </c>
      <c r="AD6" s="8">
        <v>2307.5</v>
      </c>
      <c r="AE6" s="4">
        <v>5</v>
      </c>
      <c r="AF6" s="8" t="s">
        <v>10</v>
      </c>
      <c r="AG6" s="50">
        <v>25</v>
      </c>
      <c r="AH6" s="24" t="s">
        <v>15</v>
      </c>
      <c r="AI6" s="25" t="s">
        <v>6</v>
      </c>
      <c r="AJ6" s="82"/>
      <c r="AK6" s="27" t="s">
        <v>117</v>
      </c>
      <c r="AL6" s="28">
        <v>27735</v>
      </c>
      <c r="AM6" s="28">
        <v>2312.5</v>
      </c>
      <c r="AN6" s="23">
        <v>5</v>
      </c>
      <c r="AO6" s="28" t="s">
        <v>10</v>
      </c>
      <c r="AP6" s="29">
        <v>25</v>
      </c>
      <c r="AQ6" s="24" t="s">
        <v>117</v>
      </c>
      <c r="AR6" s="25" t="s">
        <v>7</v>
      </c>
      <c r="AS6" s="82"/>
      <c r="AT6" s="24" t="s">
        <v>15</v>
      </c>
      <c r="AU6" s="70">
        <v>27710</v>
      </c>
      <c r="AV6" s="28">
        <v>2310</v>
      </c>
      <c r="AW6" s="23">
        <v>10</v>
      </c>
      <c r="AX6" s="28" t="s">
        <v>10</v>
      </c>
      <c r="AY6" s="29">
        <v>1</v>
      </c>
      <c r="AZ6" s="24" t="s">
        <v>15</v>
      </c>
      <c r="BA6" s="25" t="s">
        <v>7</v>
      </c>
      <c r="BB6" s="82"/>
      <c r="BC6" s="24" t="s">
        <v>117</v>
      </c>
      <c r="BD6" s="70">
        <v>27710</v>
      </c>
      <c r="BE6" s="28">
        <v>2310</v>
      </c>
      <c r="BF6" s="23">
        <v>10</v>
      </c>
      <c r="BG6" s="28" t="s">
        <v>10</v>
      </c>
      <c r="BH6" s="29">
        <v>1</v>
      </c>
      <c r="BI6" s="24" t="s">
        <v>150</v>
      </c>
      <c r="BJ6" s="25" t="s">
        <v>7</v>
      </c>
      <c r="BK6" s="82"/>
      <c r="BL6" s="24" t="s">
        <v>117</v>
      </c>
      <c r="BM6" s="70">
        <v>27710</v>
      </c>
      <c r="BN6" s="28">
        <v>2310</v>
      </c>
      <c r="BO6" s="23">
        <v>10</v>
      </c>
      <c r="BP6" s="28" t="s">
        <v>10</v>
      </c>
      <c r="BQ6" s="29">
        <v>1</v>
      </c>
      <c r="BR6" s="24" t="s">
        <v>117</v>
      </c>
      <c r="BS6" s="25" t="s">
        <v>7</v>
      </c>
      <c r="BT6" s="82"/>
      <c r="BU6" s="24" t="s">
        <v>117</v>
      </c>
      <c r="BV6" s="70">
        <v>27710</v>
      </c>
      <c r="BW6" s="28">
        <v>2310</v>
      </c>
      <c r="BX6" s="23">
        <v>10</v>
      </c>
      <c r="BY6" s="28" t="s">
        <v>10</v>
      </c>
      <c r="BZ6" s="29">
        <v>50</v>
      </c>
      <c r="CA6" s="24" t="s">
        <v>117</v>
      </c>
      <c r="CB6" s="25" t="s">
        <v>7</v>
      </c>
    </row>
    <row r="7" spans="1:80" ht="14.25">
      <c r="A7" s="83" t="s">
        <v>16</v>
      </c>
      <c r="B7" s="84"/>
      <c r="C7" s="6" t="s">
        <v>17</v>
      </c>
      <c r="D7" s="6" t="s">
        <v>33</v>
      </c>
      <c r="E7" s="83" t="s">
        <v>34</v>
      </c>
      <c r="F7" s="85"/>
      <c r="G7" s="84"/>
      <c r="H7" s="26" t="s">
        <v>5</v>
      </c>
      <c r="I7" s="2"/>
      <c r="J7" s="83" t="s">
        <v>16</v>
      </c>
      <c r="K7" s="84"/>
      <c r="L7" s="18" t="s">
        <v>17</v>
      </c>
      <c r="M7" s="18" t="s">
        <v>33</v>
      </c>
      <c r="N7" s="83" t="s">
        <v>34</v>
      </c>
      <c r="O7" s="85"/>
      <c r="P7" s="84"/>
      <c r="Q7" s="26" t="s">
        <v>5</v>
      </c>
      <c r="R7" s="19"/>
      <c r="S7" s="83" t="s">
        <v>16</v>
      </c>
      <c r="T7" s="84"/>
      <c r="U7" s="18" t="s">
        <v>17</v>
      </c>
      <c r="V7" s="18" t="s">
        <v>33</v>
      </c>
      <c r="W7" s="83" t="s">
        <v>34</v>
      </c>
      <c r="X7" s="85"/>
      <c r="Y7" s="84"/>
      <c r="Z7" s="26" t="s">
        <v>5</v>
      </c>
      <c r="AA7" s="19"/>
      <c r="AB7" s="83" t="s">
        <v>16</v>
      </c>
      <c r="AC7" s="84"/>
      <c r="AD7" s="18" t="s">
        <v>17</v>
      </c>
      <c r="AE7" s="18" t="s">
        <v>33</v>
      </c>
      <c r="AF7" s="83" t="s">
        <v>34</v>
      </c>
      <c r="AG7" s="85"/>
      <c r="AH7" s="84"/>
      <c r="AI7" s="26" t="s">
        <v>5</v>
      </c>
      <c r="AJ7" s="19"/>
      <c r="AK7" s="83" t="s">
        <v>16</v>
      </c>
      <c r="AL7" s="84"/>
      <c r="AM7" s="18" t="s">
        <v>17</v>
      </c>
      <c r="AN7" s="18" t="s">
        <v>33</v>
      </c>
      <c r="AO7" s="83" t="s">
        <v>34</v>
      </c>
      <c r="AP7" s="85"/>
      <c r="AQ7" s="84"/>
      <c r="AR7" s="26" t="s">
        <v>5</v>
      </c>
      <c r="AS7" s="2"/>
      <c r="AT7" s="83" t="s">
        <v>16</v>
      </c>
      <c r="AU7" s="84"/>
      <c r="AV7" s="18" t="s">
        <v>17</v>
      </c>
      <c r="AW7" s="18" t="s">
        <v>33</v>
      </c>
      <c r="AX7" s="83" t="s">
        <v>34</v>
      </c>
      <c r="AY7" s="85"/>
      <c r="AZ7" s="84"/>
      <c r="BA7" s="26" t="s">
        <v>5</v>
      </c>
      <c r="BB7" s="2"/>
      <c r="BC7" s="83" t="s">
        <v>16</v>
      </c>
      <c r="BD7" s="84"/>
      <c r="BE7" s="18" t="s">
        <v>17</v>
      </c>
      <c r="BF7" s="18" t="s">
        <v>33</v>
      </c>
      <c r="BG7" s="83" t="s">
        <v>34</v>
      </c>
      <c r="BH7" s="85"/>
      <c r="BI7" s="84"/>
      <c r="BJ7" s="26" t="s">
        <v>5</v>
      </c>
      <c r="BK7" s="2"/>
      <c r="BL7" s="83" t="s">
        <v>16</v>
      </c>
      <c r="BM7" s="84"/>
      <c r="BN7" s="18" t="s">
        <v>17</v>
      </c>
      <c r="BO7" s="18" t="s">
        <v>33</v>
      </c>
      <c r="BP7" s="83" t="s">
        <v>34</v>
      </c>
      <c r="BQ7" s="85"/>
      <c r="BR7" s="84"/>
      <c r="BS7" s="26" t="s">
        <v>5</v>
      </c>
      <c r="BT7" s="2"/>
      <c r="BU7" s="83" t="s">
        <v>16</v>
      </c>
      <c r="BV7" s="84"/>
      <c r="BW7" s="18" t="s">
        <v>17</v>
      </c>
      <c r="BX7" s="18" t="s">
        <v>33</v>
      </c>
      <c r="BY7" s="83" t="s">
        <v>34</v>
      </c>
      <c r="BZ7" s="85"/>
      <c r="CA7" s="84"/>
      <c r="CB7" s="26" t="s">
        <v>5</v>
      </c>
    </row>
    <row r="8" spans="1:80" ht="15">
      <c r="A8" s="54">
        <f>((C6-INT((D6*5)/2)*0.18)-0.2)*2</f>
        <v>4610.2800000000007</v>
      </c>
      <c r="B8" s="54">
        <f>((C6-INT((D6*5)/2)*0.18)+0.2)*2</f>
        <v>4611.08</v>
      </c>
      <c r="C8" s="10" t="s">
        <v>9</v>
      </c>
      <c r="D8" s="10" t="s">
        <v>9</v>
      </c>
      <c r="E8" s="87" t="s">
        <v>35</v>
      </c>
      <c r="F8" s="88"/>
      <c r="G8" s="89"/>
      <c r="H8" s="75"/>
      <c r="I8" s="55" t="s">
        <v>36</v>
      </c>
      <c r="J8" s="54">
        <f>((L6-INT((M6*5)/2)*0.18)-0.2)*2</f>
        <v>4615.2800000000007</v>
      </c>
      <c r="K8" s="54">
        <f>((L6-INT((M6*5)/2)*0.18)+0.2)*2</f>
        <v>4616.08</v>
      </c>
      <c r="L8" s="10" t="s">
        <v>9</v>
      </c>
      <c r="M8" s="10" t="s">
        <v>9</v>
      </c>
      <c r="N8" s="87" t="s">
        <v>35</v>
      </c>
      <c r="O8" s="88"/>
      <c r="P8" s="89"/>
      <c r="Q8" s="75"/>
      <c r="R8" s="55" t="s">
        <v>36</v>
      </c>
      <c r="S8" s="54">
        <f>((U6+INT((V6*5)/2)*0.18)-0.2)*2</f>
        <v>4628.92</v>
      </c>
      <c r="T8" s="54">
        <f>((U6+INT((V6*5)/2)*0.18)+0.2)*2</f>
        <v>4629.7199999999993</v>
      </c>
      <c r="U8" s="10" t="s">
        <v>9</v>
      </c>
      <c r="V8" s="10" t="s">
        <v>9</v>
      </c>
      <c r="W8" s="87" t="s">
        <v>35</v>
      </c>
      <c r="X8" s="88"/>
      <c r="Y8" s="89"/>
      <c r="Z8" s="75"/>
      <c r="AA8" s="55" t="s">
        <v>36</v>
      </c>
      <c r="AB8" s="54">
        <f>(AD6-AE6/2)*2</f>
        <v>4610</v>
      </c>
      <c r="AC8" s="54">
        <f>(AD6+AE6/2)*2</f>
        <v>4620</v>
      </c>
      <c r="AD8" s="10" t="s">
        <v>9</v>
      </c>
      <c r="AE8" s="10" t="s">
        <v>9</v>
      </c>
      <c r="AF8" s="87" t="s">
        <v>35</v>
      </c>
      <c r="AG8" s="88"/>
      <c r="AH8" s="89"/>
      <c r="AI8" s="75"/>
      <c r="AJ8" s="55" t="s">
        <v>36</v>
      </c>
      <c r="AK8" s="54">
        <f>(AM6-AN6/2)*2</f>
        <v>4620</v>
      </c>
      <c r="AL8" s="54">
        <f>(AM6+AN6/2)*2</f>
        <v>4630</v>
      </c>
      <c r="AM8" s="10" t="s">
        <v>9</v>
      </c>
      <c r="AN8" s="10" t="s">
        <v>9</v>
      </c>
      <c r="AO8" s="87" t="s">
        <v>35</v>
      </c>
      <c r="AP8" s="88"/>
      <c r="AQ8" s="89"/>
      <c r="AR8" s="75"/>
      <c r="AS8" s="55" t="s">
        <v>36</v>
      </c>
      <c r="AT8" s="54">
        <f>((AV6+(INT((AW6*5)/2)-0.5)*0.18)-0.2)*2</f>
        <v>4628.42</v>
      </c>
      <c r="AU8" s="54">
        <f>((AV6+(INT((AW6*5)/2)-0.5)*0.18)+0.2)*2</f>
        <v>4629.2199999999993</v>
      </c>
      <c r="AV8" s="10" t="s">
        <v>9</v>
      </c>
      <c r="AW8" s="10" t="s">
        <v>9</v>
      </c>
      <c r="AX8" s="87" t="s">
        <v>35</v>
      </c>
      <c r="AY8" s="88"/>
      <c r="AZ8" s="89"/>
      <c r="BA8" s="75"/>
      <c r="BB8" s="55" t="s">
        <v>36</v>
      </c>
      <c r="BC8" s="54">
        <f>((BE6+(INT((BF6*5)/2)-0.5)*0.18)-0.2)*2</f>
        <v>4628.42</v>
      </c>
      <c r="BD8" s="54">
        <f>((BE6+(INT((BF6*5)/2)-0.5)*0.18)+0.2)*2</f>
        <v>4629.2199999999993</v>
      </c>
      <c r="BE8" s="10" t="s">
        <v>9</v>
      </c>
      <c r="BF8" s="10" t="s">
        <v>9</v>
      </c>
      <c r="BG8" s="87" t="s">
        <v>35</v>
      </c>
      <c r="BH8" s="88"/>
      <c r="BI8" s="89"/>
      <c r="BJ8" s="75"/>
      <c r="BK8" s="55" t="s">
        <v>36</v>
      </c>
      <c r="BL8" s="54">
        <f>((BN6+(INT((BO6*5)/2)-0.5)*0.18)-0.2)*2</f>
        <v>4628.42</v>
      </c>
      <c r="BM8" s="54">
        <f>((BN6+(INT((BO6*5)/2)-0.5)*0.18)+0.2)*2</f>
        <v>4629.2199999999993</v>
      </c>
      <c r="BN8" s="10" t="s">
        <v>9</v>
      </c>
      <c r="BO8" s="10" t="s">
        <v>9</v>
      </c>
      <c r="BP8" s="87" t="s">
        <v>35</v>
      </c>
      <c r="BQ8" s="88"/>
      <c r="BR8" s="89"/>
      <c r="BS8" s="75"/>
      <c r="BT8" s="55" t="s">
        <v>36</v>
      </c>
      <c r="BU8" s="54">
        <f>((BW6+(INT((BX6*5)/2)-0.5)*0.18)-0.2)*2</f>
        <v>4628.42</v>
      </c>
      <c r="BV8" s="54">
        <f>((BW6+(INT((BX6*5)/2)-0.5)*0.18)+0.2)*2</f>
        <v>4629.2199999999993</v>
      </c>
      <c r="BW8" s="10" t="s">
        <v>9</v>
      </c>
      <c r="BX8" s="10" t="s">
        <v>9</v>
      </c>
      <c r="BY8" s="87" t="s">
        <v>35</v>
      </c>
      <c r="BZ8" s="88"/>
      <c r="CA8" s="89"/>
      <c r="CB8" s="75"/>
    </row>
    <row r="9" spans="1:80" ht="15">
      <c r="A9" s="54">
        <f>((C6-INT((D6*5)/2)*0.18)-0.2)*3</f>
        <v>6915.420000000001</v>
      </c>
      <c r="B9" s="54">
        <f>((C6-INT((D6*5)/2)*0.18)+0.2)*3</f>
        <v>6916.62</v>
      </c>
      <c r="C9" s="10" t="s">
        <v>9</v>
      </c>
      <c r="D9" s="10" t="s">
        <v>9</v>
      </c>
      <c r="E9" s="87" t="s">
        <v>35</v>
      </c>
      <c r="F9" s="88"/>
      <c r="G9" s="89"/>
      <c r="H9" s="75"/>
      <c r="I9" s="55" t="s">
        <v>37</v>
      </c>
      <c r="J9" s="54">
        <f>((L6-INT((M6*5)/2)*0.18)-0.2)*3</f>
        <v>6922.920000000001</v>
      </c>
      <c r="K9" s="54">
        <f>((L6-INT((M6*5)/2)*0.18)+0.2)*3</f>
        <v>6924.12</v>
      </c>
      <c r="L9" s="10" t="s">
        <v>9</v>
      </c>
      <c r="M9" s="10" t="s">
        <v>9</v>
      </c>
      <c r="N9" s="87" t="s">
        <v>35</v>
      </c>
      <c r="O9" s="88"/>
      <c r="P9" s="89"/>
      <c r="Q9" s="75"/>
      <c r="R9" s="55" t="s">
        <v>37</v>
      </c>
      <c r="S9" s="54">
        <f>((U6+INT((V6*5)/2)*0.18)-0.2)*3</f>
        <v>6943.38</v>
      </c>
      <c r="T9" s="54">
        <f>((U6+INT((V6*5)/2)*0.18)+0.2)*3</f>
        <v>6944.579999999999</v>
      </c>
      <c r="U9" s="10" t="s">
        <v>9</v>
      </c>
      <c r="V9" s="10" t="s">
        <v>9</v>
      </c>
      <c r="W9" s="87" t="s">
        <v>35</v>
      </c>
      <c r="X9" s="88"/>
      <c r="Y9" s="89"/>
      <c r="Z9" s="75"/>
      <c r="AA9" s="55" t="s">
        <v>37</v>
      </c>
      <c r="AB9" s="54">
        <f>(AD6-AE6/2)*3</f>
        <v>6915</v>
      </c>
      <c r="AC9" s="54">
        <f>(AD6+AE6/2)*3</f>
        <v>6930</v>
      </c>
      <c r="AD9" s="10" t="s">
        <v>9</v>
      </c>
      <c r="AE9" s="10" t="s">
        <v>9</v>
      </c>
      <c r="AF9" s="87" t="s">
        <v>35</v>
      </c>
      <c r="AG9" s="88"/>
      <c r="AH9" s="89"/>
      <c r="AI9" s="75"/>
      <c r="AJ9" s="55" t="s">
        <v>37</v>
      </c>
      <c r="AK9" s="54">
        <f>(AM6-AN6/2)*3</f>
        <v>6930</v>
      </c>
      <c r="AL9" s="54">
        <f>(AM6+AN6/2)*3</f>
        <v>6945</v>
      </c>
      <c r="AM9" s="10" t="s">
        <v>9</v>
      </c>
      <c r="AN9" s="10" t="s">
        <v>9</v>
      </c>
      <c r="AO9" s="87" t="s">
        <v>35</v>
      </c>
      <c r="AP9" s="88"/>
      <c r="AQ9" s="89"/>
      <c r="AR9" s="75"/>
      <c r="AS9" s="55" t="s">
        <v>37</v>
      </c>
      <c r="AT9" s="54">
        <f>((AV6+(INT((AW6*5)/2)-0.5)*0.18)-0.2)*3</f>
        <v>6942.63</v>
      </c>
      <c r="AU9" s="54">
        <f>((AV6+(INT((AW6*5)/2)-0.5)*0.18)+0.2)*3</f>
        <v>6943.829999999999</v>
      </c>
      <c r="AV9" s="10" t="s">
        <v>9</v>
      </c>
      <c r="AW9" s="10" t="s">
        <v>9</v>
      </c>
      <c r="AX9" s="87" t="s">
        <v>35</v>
      </c>
      <c r="AY9" s="88"/>
      <c r="AZ9" s="89"/>
      <c r="BA9" s="75"/>
      <c r="BB9" s="55" t="s">
        <v>37</v>
      </c>
      <c r="BC9" s="54">
        <f>((BE6+(INT((BF6*5)/2)-0.5)*0.18)-0.2)*3</f>
        <v>6942.63</v>
      </c>
      <c r="BD9" s="54">
        <f>((BE6+(INT((BF6*5)/2)-0.5)*0.18)+0.2)*3</f>
        <v>6943.829999999999</v>
      </c>
      <c r="BE9" s="10" t="s">
        <v>9</v>
      </c>
      <c r="BF9" s="10" t="s">
        <v>9</v>
      </c>
      <c r="BG9" s="87" t="s">
        <v>35</v>
      </c>
      <c r="BH9" s="88"/>
      <c r="BI9" s="89"/>
      <c r="BJ9" s="75"/>
      <c r="BK9" s="55" t="s">
        <v>37</v>
      </c>
      <c r="BL9" s="54">
        <f>((BN6+(INT((BO6*5)/2)-0.5)*0.18)-0.2)*3</f>
        <v>6942.63</v>
      </c>
      <c r="BM9" s="54">
        <f>((BN6+(INT((BO6*5)/2)-0.5)*0.18)+0.2)*3</f>
        <v>6943.829999999999</v>
      </c>
      <c r="BN9" s="10" t="s">
        <v>9</v>
      </c>
      <c r="BO9" s="10" t="s">
        <v>9</v>
      </c>
      <c r="BP9" s="87" t="s">
        <v>35</v>
      </c>
      <c r="BQ9" s="88"/>
      <c r="BR9" s="89"/>
      <c r="BS9" s="75"/>
      <c r="BT9" s="55" t="s">
        <v>37</v>
      </c>
      <c r="BU9" s="54">
        <f>((BW6+(INT((BX6*5)/2)-0.5)*0.18)-0.2)*3</f>
        <v>6942.63</v>
      </c>
      <c r="BV9" s="54">
        <f>((BW6+(INT((BX6*5)/2)-0.5)*0.18)+0.2)*3</f>
        <v>6943.829999999999</v>
      </c>
      <c r="BW9" s="10" t="s">
        <v>9</v>
      </c>
      <c r="BX9" s="10" t="s">
        <v>9</v>
      </c>
      <c r="BY9" s="87" t="s">
        <v>35</v>
      </c>
      <c r="BZ9" s="88"/>
      <c r="CA9" s="89"/>
      <c r="CB9" s="75"/>
    </row>
    <row r="10" spans="1:80" ht="15">
      <c r="A10" s="54">
        <f>((C6-INT((D6*5)/2)*0.18)-0.2)*4</f>
        <v>9220.5600000000013</v>
      </c>
      <c r="B10" s="54">
        <f>((C6-INT((D6*5)/2)*0.18)+0.2)*4</f>
        <v>9222.16</v>
      </c>
      <c r="C10" s="10" t="s">
        <v>9</v>
      </c>
      <c r="D10" s="10" t="s">
        <v>9</v>
      </c>
      <c r="E10" s="90" t="s">
        <v>35</v>
      </c>
      <c r="F10" s="90"/>
      <c r="G10" s="90"/>
      <c r="H10" s="75"/>
      <c r="I10" s="55" t="s">
        <v>38</v>
      </c>
      <c r="J10" s="54">
        <f>((L6-INT((M6*5)/2)*0.18)-0.2)*4</f>
        <v>9230.5600000000013</v>
      </c>
      <c r="K10" s="54">
        <f>((L6-INT((M6*5)/2)*0.18)+0.2)*4</f>
        <v>9232.16</v>
      </c>
      <c r="L10" s="10" t="s">
        <v>9</v>
      </c>
      <c r="M10" s="10" t="s">
        <v>9</v>
      </c>
      <c r="N10" s="90" t="s">
        <v>35</v>
      </c>
      <c r="O10" s="90"/>
      <c r="P10" s="90"/>
      <c r="Q10" s="75"/>
      <c r="R10" s="55" t="s">
        <v>38</v>
      </c>
      <c r="S10" s="54">
        <f>((U6+INT((V6*5)/2)*0.18)-0.2)*4</f>
        <v>9257.84</v>
      </c>
      <c r="T10" s="54">
        <f>((U6+INT((V6*5)/2)*0.18)+0.2)*4</f>
        <v>9259.4399999999987</v>
      </c>
      <c r="U10" s="10" t="s">
        <v>9</v>
      </c>
      <c r="V10" s="10" t="s">
        <v>9</v>
      </c>
      <c r="W10" s="90" t="s">
        <v>35</v>
      </c>
      <c r="X10" s="90"/>
      <c r="Y10" s="90"/>
      <c r="Z10" s="75"/>
      <c r="AA10" s="55" t="s">
        <v>38</v>
      </c>
      <c r="AB10" s="54">
        <f>(AD6-AE6/2)*4</f>
        <v>9220</v>
      </c>
      <c r="AC10" s="54">
        <f>(AD6+AE6/2)*4</f>
        <v>9240</v>
      </c>
      <c r="AD10" s="10" t="s">
        <v>9</v>
      </c>
      <c r="AE10" s="10" t="s">
        <v>9</v>
      </c>
      <c r="AF10" s="90" t="s">
        <v>35</v>
      </c>
      <c r="AG10" s="90"/>
      <c r="AH10" s="90"/>
      <c r="AI10" s="75"/>
      <c r="AJ10" s="55" t="s">
        <v>38</v>
      </c>
      <c r="AK10" s="54">
        <f>(AM6-AN6/2)*4</f>
        <v>9240</v>
      </c>
      <c r="AL10" s="54">
        <f>(AM6+AN6/2)*4</f>
        <v>9260</v>
      </c>
      <c r="AM10" s="10" t="s">
        <v>9</v>
      </c>
      <c r="AN10" s="10" t="s">
        <v>9</v>
      </c>
      <c r="AO10" s="90" t="s">
        <v>35</v>
      </c>
      <c r="AP10" s="90"/>
      <c r="AQ10" s="90"/>
      <c r="AR10" s="75"/>
      <c r="AS10" s="55" t="s">
        <v>38</v>
      </c>
      <c r="AT10" s="54">
        <f>((AV6+(INT((AW6*5)/2)-0.5)*0.18)-0.2)*4</f>
        <v>9256.84</v>
      </c>
      <c r="AU10" s="54">
        <f>((AV6+(INT((AW6*5)/2)-0.5)*0.18)+0.2)*4</f>
        <v>9258.4399999999987</v>
      </c>
      <c r="AV10" s="10" t="s">
        <v>9</v>
      </c>
      <c r="AW10" s="10" t="s">
        <v>9</v>
      </c>
      <c r="AX10" s="90" t="s">
        <v>35</v>
      </c>
      <c r="AY10" s="90"/>
      <c r="AZ10" s="90"/>
      <c r="BA10" s="75"/>
      <c r="BB10" s="55" t="s">
        <v>38</v>
      </c>
      <c r="BC10" s="54">
        <f>((BE6+(INT((BF6*5)/2)-0.5)*0.18)-0.2)*4</f>
        <v>9256.84</v>
      </c>
      <c r="BD10" s="54">
        <f>((BE6+(INT((BF6*5)/2)-0.5)*0.18)+0.2)*4</f>
        <v>9258.4399999999987</v>
      </c>
      <c r="BE10" s="10" t="s">
        <v>9</v>
      </c>
      <c r="BF10" s="10" t="s">
        <v>9</v>
      </c>
      <c r="BG10" s="90" t="s">
        <v>35</v>
      </c>
      <c r="BH10" s="90"/>
      <c r="BI10" s="90"/>
      <c r="BJ10" s="75"/>
      <c r="BK10" s="55" t="s">
        <v>38</v>
      </c>
      <c r="BL10" s="54">
        <f>((BN6+(INT((BO6*5)/2)-0.5)*0.18)-0.2)*4</f>
        <v>9256.84</v>
      </c>
      <c r="BM10" s="54">
        <f>((BN6+(INT((BO6*5)/2)-0.5)*0.18)+0.2)*4</f>
        <v>9258.4399999999987</v>
      </c>
      <c r="BN10" s="10" t="s">
        <v>9</v>
      </c>
      <c r="BO10" s="10" t="s">
        <v>9</v>
      </c>
      <c r="BP10" s="90" t="s">
        <v>35</v>
      </c>
      <c r="BQ10" s="90"/>
      <c r="BR10" s="90"/>
      <c r="BS10" s="75"/>
      <c r="BT10" s="55" t="s">
        <v>38</v>
      </c>
      <c r="BU10" s="54">
        <f>((BW6+(INT((BX6*5)/2)-0.5)*0.18)-0.2)*4</f>
        <v>9256.84</v>
      </c>
      <c r="BV10" s="54">
        <f>((BW6+(INT((BX6*5)/2)-0.5)*0.18)+0.2)*4</f>
        <v>9258.4399999999987</v>
      </c>
      <c r="BW10" s="10" t="s">
        <v>9</v>
      </c>
      <c r="BX10" s="10" t="s">
        <v>9</v>
      </c>
      <c r="BY10" s="90" t="s">
        <v>35</v>
      </c>
      <c r="BZ10" s="90"/>
      <c r="CA10" s="90"/>
      <c r="CB10" s="75"/>
    </row>
    <row r="11" spans="1:80" ht="15">
      <c r="A11" s="54">
        <f>((C6-INT((D6*5)/2)*0.18)-0.2)*5</f>
        <v>11525.7</v>
      </c>
      <c r="B11" s="54">
        <f>((C6-INT((D6*5)/2)*0.18)+0.2)*5</f>
        <v>11527.7</v>
      </c>
      <c r="C11" s="10" t="s">
        <v>9</v>
      </c>
      <c r="D11" s="10" t="s">
        <v>9</v>
      </c>
      <c r="E11" s="90" t="s">
        <v>35</v>
      </c>
      <c r="F11" s="90"/>
      <c r="G11" s="90"/>
      <c r="H11" s="75"/>
      <c r="I11" s="55" t="s">
        <v>40</v>
      </c>
      <c r="J11" s="54">
        <f>((L6-INT((M6*5)/2)*0.18)-0.2)*5</f>
        <v>11538.2</v>
      </c>
      <c r="K11" s="54">
        <f>((L6-INT((M6*5)/2)*0.18)+0.2)*5</f>
        <v>11540.2</v>
      </c>
      <c r="L11" s="10" t="s">
        <v>9</v>
      </c>
      <c r="M11" s="10" t="s">
        <v>9</v>
      </c>
      <c r="N11" s="90" t="s">
        <v>35</v>
      </c>
      <c r="O11" s="90"/>
      <c r="P11" s="90"/>
      <c r="Q11" s="75"/>
      <c r="R11" s="55" t="s">
        <v>40</v>
      </c>
      <c r="S11" s="54">
        <f>((U6+INT((V6*5)/2)*0.18)-0.2)*5</f>
        <v>11572.3</v>
      </c>
      <c r="T11" s="54">
        <f>((U6+INT((V6*5)/2)*0.18)+0.2)*5</f>
        <v>11574.3</v>
      </c>
      <c r="U11" s="10" t="s">
        <v>9</v>
      </c>
      <c r="V11" s="10" t="s">
        <v>9</v>
      </c>
      <c r="W11" s="90" t="s">
        <v>35</v>
      </c>
      <c r="X11" s="90"/>
      <c r="Y11" s="90"/>
      <c r="Z11" s="75"/>
      <c r="AA11" s="55" t="s">
        <v>40</v>
      </c>
      <c r="AB11" s="54">
        <f>(AD6-AE6/2)*5</f>
        <v>11525</v>
      </c>
      <c r="AC11" s="54">
        <f>(AD6+AE6/2)*5</f>
        <v>11550</v>
      </c>
      <c r="AD11" s="10" t="s">
        <v>9</v>
      </c>
      <c r="AE11" s="10" t="s">
        <v>9</v>
      </c>
      <c r="AF11" s="90" t="s">
        <v>35</v>
      </c>
      <c r="AG11" s="90"/>
      <c r="AH11" s="90"/>
      <c r="AI11" s="75"/>
      <c r="AJ11" s="55" t="s">
        <v>40</v>
      </c>
      <c r="AK11" s="54">
        <f>(AM6-AN6/2)*5</f>
        <v>11550</v>
      </c>
      <c r="AL11" s="54">
        <f>(AM6+AN6/2)*5</f>
        <v>11575</v>
      </c>
      <c r="AM11" s="10" t="s">
        <v>9</v>
      </c>
      <c r="AN11" s="10" t="s">
        <v>9</v>
      </c>
      <c r="AO11" s="90" t="s">
        <v>35</v>
      </c>
      <c r="AP11" s="90"/>
      <c r="AQ11" s="90"/>
      <c r="AR11" s="75"/>
      <c r="AS11" s="55" t="s">
        <v>40</v>
      </c>
      <c r="AT11" s="54">
        <f>((AV6+(INT((AW6*5)/2)-0.5)*0.18)-0.2)*5</f>
        <v>11571.05</v>
      </c>
      <c r="AU11" s="54">
        <f>((AV6+(INT((AW6*5)/2)-0.5)*0.18)+0.2)*5</f>
        <v>11573.05</v>
      </c>
      <c r="AV11" s="10" t="s">
        <v>9</v>
      </c>
      <c r="AW11" s="10" t="s">
        <v>9</v>
      </c>
      <c r="AX11" s="90" t="s">
        <v>35</v>
      </c>
      <c r="AY11" s="90"/>
      <c r="AZ11" s="90"/>
      <c r="BA11" s="75"/>
      <c r="BB11" s="55" t="s">
        <v>40</v>
      </c>
      <c r="BC11" s="54">
        <f>((BE6+(INT((BF6*5)/2)-0.5)*0.18)-0.2)*5</f>
        <v>11571.05</v>
      </c>
      <c r="BD11" s="54">
        <f>((BE6+(INT((BF6*5)/2)-0.5)*0.18)+0.2)*5</f>
        <v>11573.05</v>
      </c>
      <c r="BE11" s="10" t="s">
        <v>9</v>
      </c>
      <c r="BF11" s="10" t="s">
        <v>9</v>
      </c>
      <c r="BG11" s="90" t="s">
        <v>35</v>
      </c>
      <c r="BH11" s="90"/>
      <c r="BI11" s="90"/>
      <c r="BJ11" s="75"/>
      <c r="BK11" s="55" t="s">
        <v>40</v>
      </c>
      <c r="BL11" s="54">
        <f>((BN6+(INT((BO6*5)/2)-0.5)*0.18)-0.2)*5</f>
        <v>11571.05</v>
      </c>
      <c r="BM11" s="54">
        <f>((BN6+(INT((BO6*5)/2)-0.5)*0.18)+0.2)*5</f>
        <v>11573.05</v>
      </c>
      <c r="BN11" s="10" t="s">
        <v>9</v>
      </c>
      <c r="BO11" s="10" t="s">
        <v>9</v>
      </c>
      <c r="BP11" s="90" t="s">
        <v>35</v>
      </c>
      <c r="BQ11" s="90"/>
      <c r="BR11" s="90"/>
      <c r="BS11" s="75"/>
      <c r="BT11" s="55" t="s">
        <v>40</v>
      </c>
      <c r="BU11" s="54">
        <f>((BW6+(INT((BX6*5)/2)-0.5)*0.18)-0.2)*5</f>
        <v>11571.05</v>
      </c>
      <c r="BV11" s="54">
        <f>((BW6+(INT((BX6*5)/2)-0.5)*0.18)+0.2)*5</f>
        <v>11573.05</v>
      </c>
      <c r="BW11" s="10" t="s">
        <v>9</v>
      </c>
      <c r="BX11" s="10" t="s">
        <v>9</v>
      </c>
      <c r="BY11" s="90" t="s">
        <v>35</v>
      </c>
      <c r="BZ11" s="90"/>
      <c r="CA11" s="90"/>
      <c r="CB11" s="75"/>
    </row>
  </sheetData>
  <mergeCells count="66">
    <mergeCell ref="BY10:CA10"/>
    <mergeCell ref="BY11:CA11"/>
    <mergeCell ref="BP10:BR10"/>
    <mergeCell ref="BT5:BT6"/>
    <mergeCell ref="BU7:BV7"/>
    <mergeCell ref="BY7:CA7"/>
    <mergeCell ref="BY8:CA8"/>
    <mergeCell ref="BY9:CA9"/>
    <mergeCell ref="BL7:BM7"/>
    <mergeCell ref="BP7:BR7"/>
    <mergeCell ref="BP8:BR8"/>
    <mergeCell ref="BP9:BR9"/>
    <mergeCell ref="BP11:BR11"/>
    <mergeCell ref="BK5:BK6"/>
    <mergeCell ref="BC7:BD7"/>
    <mergeCell ref="BG7:BI7"/>
    <mergeCell ref="AT7:AU7"/>
    <mergeCell ref="AX7:AZ7"/>
    <mergeCell ref="BG8:BI8"/>
    <mergeCell ref="BG9:BI9"/>
    <mergeCell ref="BG10:BI10"/>
    <mergeCell ref="BG11:BI11"/>
    <mergeCell ref="B1:J1"/>
    <mergeCell ref="K1:U1"/>
    <mergeCell ref="B2:H2"/>
    <mergeCell ref="B3:H3"/>
    <mergeCell ref="BB5:BB6"/>
    <mergeCell ref="AS5:AS6"/>
    <mergeCell ref="AX11:AZ11"/>
    <mergeCell ref="AX10:AZ10"/>
    <mergeCell ref="AX9:AZ9"/>
    <mergeCell ref="AX8:AZ8"/>
    <mergeCell ref="AO7:AQ7"/>
    <mergeCell ref="W7:Y7"/>
    <mergeCell ref="I5:I6"/>
    <mergeCell ref="R5:R6"/>
    <mergeCell ref="AA5:AA6"/>
    <mergeCell ref="AJ5:AJ6"/>
    <mergeCell ref="AF7:AH7"/>
    <mergeCell ref="AO8:AQ8"/>
    <mergeCell ref="A7:B7"/>
    <mergeCell ref="E7:G7"/>
    <mergeCell ref="J7:K7"/>
    <mergeCell ref="N7:P7"/>
    <mergeCell ref="S7:T7"/>
    <mergeCell ref="AK7:AL7"/>
    <mergeCell ref="E8:G8"/>
    <mergeCell ref="N8:P8"/>
    <mergeCell ref="W8:Y8"/>
    <mergeCell ref="AF8:AH8"/>
    <mergeCell ref="AB7:AC7"/>
    <mergeCell ref="E9:G9"/>
    <mergeCell ref="N9:P9"/>
    <mergeCell ref="W9:Y9"/>
    <mergeCell ref="AF9:AH9"/>
    <mergeCell ref="AO9:AQ9"/>
    <mergeCell ref="E10:G10"/>
    <mergeCell ref="N10:P10"/>
    <mergeCell ref="W10:Y10"/>
    <mergeCell ref="AF10:AH10"/>
    <mergeCell ref="AO10:AQ10"/>
    <mergeCell ref="E11:G11"/>
    <mergeCell ref="N11:P11"/>
    <mergeCell ref="W11:Y11"/>
    <mergeCell ref="AF11:AH11"/>
    <mergeCell ref="AO11:AQ11"/>
  </mergeCells>
  <phoneticPr fontId="1" type="noConversion"/>
  <conditionalFormatting sqref="BJ10">
    <cfRule type="containsBlanks" priority="97" stopIfTrue="1">
      <formula>LEN(TRIM(BJ10))=0</formula>
    </cfRule>
    <cfRule type="cellIs" dxfId="283" priority="98" stopIfTrue="1" operator="greaterThan">
      <formula>-30</formula>
    </cfRule>
    <cfRule type="cellIs" dxfId="282" priority="99" stopIfTrue="1" operator="between">
      <formula>-33</formula>
      <formula>-30</formula>
    </cfRule>
  </conditionalFormatting>
  <conditionalFormatting sqref="BJ11">
    <cfRule type="containsBlanks" priority="94" stopIfTrue="1">
      <formula>LEN(TRIM(BJ11))=0</formula>
    </cfRule>
    <cfRule type="cellIs" dxfId="281" priority="95" stopIfTrue="1" operator="greaterThan">
      <formula>-30</formula>
    </cfRule>
    <cfRule type="cellIs" dxfId="280" priority="96" stopIfTrue="1" operator="between">
      <formula>-33</formula>
      <formula>-30</formula>
    </cfRule>
  </conditionalFormatting>
  <conditionalFormatting sqref="BJ8">
    <cfRule type="containsBlanks" priority="103" stopIfTrue="1">
      <formula>LEN(TRIM(BJ8))=0</formula>
    </cfRule>
    <cfRule type="cellIs" dxfId="279" priority="104" stopIfTrue="1" operator="greaterThan">
      <formula>-30</formula>
    </cfRule>
    <cfRule type="cellIs" dxfId="278" priority="105" stopIfTrue="1" operator="between">
      <formula>-33</formula>
      <formula>-30</formula>
    </cfRule>
  </conditionalFormatting>
  <conditionalFormatting sqref="BJ9">
    <cfRule type="containsBlanks" priority="100" stopIfTrue="1">
      <formula>LEN(TRIM(BJ9))=0</formula>
    </cfRule>
    <cfRule type="cellIs" dxfId="277" priority="101" stopIfTrue="1" operator="greaterThan">
      <formula>-30</formula>
    </cfRule>
    <cfRule type="cellIs" dxfId="276" priority="102" stopIfTrue="1" operator="between">
      <formula>-33</formula>
      <formula>-30</formula>
    </cfRule>
  </conditionalFormatting>
  <conditionalFormatting sqref="BA8:BA11">
    <cfRule type="containsBlanks" priority="13" stopIfTrue="1">
      <formula>LEN(TRIM(BA8))=0</formula>
    </cfRule>
    <cfRule type="cellIs" dxfId="275" priority="14" stopIfTrue="1" operator="greaterThan">
      <formula>-30</formula>
    </cfRule>
    <cfRule type="cellIs" dxfId="274" priority="15" stopIfTrue="1" operator="between">
      <formula>-33</formula>
      <formula>-30</formula>
    </cfRule>
  </conditionalFormatting>
  <conditionalFormatting sqref="BS8:BS11">
    <cfRule type="containsBlanks" priority="10" stopIfTrue="1">
      <formula>LEN(TRIM(BS8))=0</formula>
    </cfRule>
    <cfRule type="cellIs" dxfId="273" priority="11" stopIfTrue="1" operator="greaterThan">
      <formula>-30</formula>
    </cfRule>
    <cfRule type="cellIs" dxfId="272" priority="12" stopIfTrue="1" operator="between">
      <formula>-33</formula>
      <formula>-30</formula>
    </cfRule>
  </conditionalFormatting>
  <conditionalFormatting sqref="CB8:CB11">
    <cfRule type="containsBlanks" priority="7" stopIfTrue="1">
      <formula>LEN(TRIM(CB8))=0</formula>
    </cfRule>
    <cfRule type="cellIs" dxfId="271" priority="8" stopIfTrue="1" operator="greaterThan">
      <formula>-30</formula>
    </cfRule>
    <cfRule type="cellIs" dxfId="270" priority="9" stopIfTrue="1" operator="between">
      <formula>-33</formula>
      <formula>-30</formula>
    </cfRule>
  </conditionalFormatting>
  <conditionalFormatting sqref="Q9:Q11 AI9:AI11 H9:H11 Z9:Z11 AR9:AR11">
    <cfRule type="cellIs" dxfId="269" priority="1" stopIfTrue="1" operator="greaterThan">
      <formula>-30</formula>
    </cfRule>
    <cfRule type="cellIs" dxfId="268" priority="2" stopIfTrue="1" operator="between">
      <formula>-33</formula>
      <formula>-30</formula>
    </cfRule>
  </conditionalFormatting>
  <conditionalFormatting sqref="H8 Q8 Z8 AI8 AR8">
    <cfRule type="cellIs" dxfId="267" priority="4" stopIfTrue="1" operator="greaterThan">
      <formula>-30</formula>
    </cfRule>
    <cfRule type="cellIs" dxfId="266" priority="5" stopIfTrue="1" operator="between">
      <formula>-33</formula>
      <formula>-30</formula>
    </cfRule>
  </conditionalFormatting>
  <conditionalFormatting sqref="H8 Q8 Z8 AI8 AR8">
    <cfRule type="containsBlanks" priority="3" stopIfTrue="1">
      <formula>LEN(TRIM(#REF!))=0</formula>
    </cfRule>
  </conditionalFormatting>
  <conditionalFormatting sqref="Q9:Q11 AI9:AI11 H9:H11 Z9:Z11 AR9:AR11">
    <cfRule type="containsBlanks" priority="544" stopIfTrue="1">
      <formula>LEN(TRIM(#REF!))=0</formula>
    </cfRule>
  </conditionalFormatting>
  <dataValidations count="1">
    <dataValidation type="list" allowBlank="1" showInputMessage="1" showErrorMessage="1" sqref="AZ6 AT6 BR6 BL6 CA6 BU6 BI6 BC6 G6 P6 Y6 AQ6 AH6">
      <formula1>"Low,Mid,High"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CC549"/>
  <sheetViews>
    <sheetView zoomScale="85" zoomScaleNormal="85" workbookViewId="0">
      <selection activeCell="H7" sqref="H7:H14"/>
    </sheetView>
  </sheetViews>
  <sheetFormatPr defaultRowHeight="13.5"/>
  <cols>
    <col min="3" max="3" width="9.875" bestFit="1" customWidth="1"/>
    <col min="4" max="4" width="9" customWidth="1"/>
    <col min="9" max="9" width="7.625" bestFit="1" customWidth="1"/>
    <col min="10" max="10" width="7.75" customWidth="1"/>
    <col min="11" max="11" width="8" bestFit="1" customWidth="1"/>
    <col min="12" max="12" width="9.875" bestFit="1" customWidth="1"/>
    <col min="13" max="13" width="9" customWidth="1"/>
    <col min="18" max="18" width="7.625" bestFit="1" customWidth="1"/>
    <col min="259" max="259" width="9.875" bestFit="1" customWidth="1"/>
    <col min="260" max="260" width="9" customWidth="1"/>
    <col min="265" max="265" width="7.625" bestFit="1" customWidth="1"/>
    <col min="266" max="266" width="7.75" customWidth="1"/>
    <col min="267" max="267" width="8" bestFit="1" customWidth="1"/>
    <col min="268" max="268" width="9.875" bestFit="1" customWidth="1"/>
    <col min="269" max="269" width="9" customWidth="1"/>
    <col min="274" max="274" width="7.625" bestFit="1" customWidth="1"/>
    <col min="515" max="515" width="9.875" bestFit="1" customWidth="1"/>
    <col min="516" max="516" width="9" customWidth="1"/>
    <col min="521" max="521" width="7.625" bestFit="1" customWidth="1"/>
    <col min="522" max="522" width="7.75" customWidth="1"/>
    <col min="523" max="523" width="8" bestFit="1" customWidth="1"/>
    <col min="524" max="524" width="9.875" bestFit="1" customWidth="1"/>
    <col min="525" max="525" width="9" customWidth="1"/>
    <col min="530" max="530" width="7.625" bestFit="1" customWidth="1"/>
    <col min="771" max="771" width="9.875" bestFit="1" customWidth="1"/>
    <col min="772" max="772" width="9" customWidth="1"/>
    <col min="777" max="777" width="7.625" bestFit="1" customWidth="1"/>
    <col min="778" max="778" width="7.75" customWidth="1"/>
    <col min="779" max="779" width="8" bestFit="1" customWidth="1"/>
    <col min="780" max="780" width="9.875" bestFit="1" customWidth="1"/>
    <col min="781" max="781" width="9" customWidth="1"/>
    <col min="786" max="786" width="7.625" bestFit="1" customWidth="1"/>
    <col min="1027" max="1027" width="9.875" bestFit="1" customWidth="1"/>
    <col min="1028" max="1028" width="9" customWidth="1"/>
    <col min="1033" max="1033" width="7.625" bestFit="1" customWidth="1"/>
    <col min="1034" max="1034" width="7.75" customWidth="1"/>
    <col min="1035" max="1035" width="8" bestFit="1" customWidth="1"/>
    <col min="1036" max="1036" width="9.875" bestFit="1" customWidth="1"/>
    <col min="1037" max="1037" width="9" customWidth="1"/>
    <col min="1042" max="1042" width="7.625" bestFit="1" customWidth="1"/>
    <col min="1283" max="1283" width="9.875" bestFit="1" customWidth="1"/>
    <col min="1284" max="1284" width="9" customWidth="1"/>
    <col min="1289" max="1289" width="7.625" bestFit="1" customWidth="1"/>
    <col min="1290" max="1290" width="7.75" customWidth="1"/>
    <col min="1291" max="1291" width="8" bestFit="1" customWidth="1"/>
    <col min="1292" max="1292" width="9.875" bestFit="1" customWidth="1"/>
    <col min="1293" max="1293" width="9" customWidth="1"/>
    <col min="1298" max="1298" width="7.625" bestFit="1" customWidth="1"/>
    <col min="1539" max="1539" width="9.875" bestFit="1" customWidth="1"/>
    <col min="1540" max="1540" width="9" customWidth="1"/>
    <col min="1545" max="1545" width="7.625" bestFit="1" customWidth="1"/>
    <col min="1546" max="1546" width="7.75" customWidth="1"/>
    <col min="1547" max="1547" width="8" bestFit="1" customWidth="1"/>
    <col min="1548" max="1548" width="9.875" bestFit="1" customWidth="1"/>
    <col min="1549" max="1549" width="9" customWidth="1"/>
    <col min="1554" max="1554" width="7.625" bestFit="1" customWidth="1"/>
    <col min="1795" max="1795" width="9.875" bestFit="1" customWidth="1"/>
    <col min="1796" max="1796" width="9" customWidth="1"/>
    <col min="1801" max="1801" width="7.625" bestFit="1" customWidth="1"/>
    <col min="1802" max="1802" width="7.75" customWidth="1"/>
    <col min="1803" max="1803" width="8" bestFit="1" customWidth="1"/>
    <col min="1804" max="1804" width="9.875" bestFit="1" customWidth="1"/>
    <col min="1805" max="1805" width="9" customWidth="1"/>
    <col min="1810" max="1810" width="7.625" bestFit="1" customWidth="1"/>
    <col min="2051" max="2051" width="9.875" bestFit="1" customWidth="1"/>
    <col min="2052" max="2052" width="9" customWidth="1"/>
    <col min="2057" max="2057" width="7.625" bestFit="1" customWidth="1"/>
    <col min="2058" max="2058" width="7.75" customWidth="1"/>
    <col min="2059" max="2059" width="8" bestFit="1" customWidth="1"/>
    <col min="2060" max="2060" width="9.875" bestFit="1" customWidth="1"/>
    <col min="2061" max="2061" width="9" customWidth="1"/>
    <col min="2066" max="2066" width="7.625" bestFit="1" customWidth="1"/>
    <col min="2307" max="2307" width="9.875" bestFit="1" customWidth="1"/>
    <col min="2308" max="2308" width="9" customWidth="1"/>
    <col min="2313" max="2313" width="7.625" bestFit="1" customWidth="1"/>
    <col min="2314" max="2314" width="7.75" customWidth="1"/>
    <col min="2315" max="2315" width="8" bestFit="1" customWidth="1"/>
    <col min="2316" max="2316" width="9.875" bestFit="1" customWidth="1"/>
    <col min="2317" max="2317" width="9" customWidth="1"/>
    <col min="2322" max="2322" width="7.625" bestFit="1" customWidth="1"/>
    <col min="2563" max="2563" width="9.875" bestFit="1" customWidth="1"/>
    <col min="2564" max="2564" width="9" customWidth="1"/>
    <col min="2569" max="2569" width="7.625" bestFit="1" customWidth="1"/>
    <col min="2570" max="2570" width="7.75" customWidth="1"/>
    <col min="2571" max="2571" width="8" bestFit="1" customWidth="1"/>
    <col min="2572" max="2572" width="9.875" bestFit="1" customWidth="1"/>
    <col min="2573" max="2573" width="9" customWidth="1"/>
    <col min="2578" max="2578" width="7.625" bestFit="1" customWidth="1"/>
    <col min="2819" max="2819" width="9.875" bestFit="1" customWidth="1"/>
    <col min="2820" max="2820" width="9" customWidth="1"/>
    <col min="2825" max="2825" width="7.625" bestFit="1" customWidth="1"/>
    <col min="2826" max="2826" width="7.75" customWidth="1"/>
    <col min="2827" max="2827" width="8" bestFit="1" customWidth="1"/>
    <col min="2828" max="2828" width="9.875" bestFit="1" customWidth="1"/>
    <col min="2829" max="2829" width="9" customWidth="1"/>
    <col min="2834" max="2834" width="7.625" bestFit="1" customWidth="1"/>
    <col min="3075" max="3075" width="9.875" bestFit="1" customWidth="1"/>
    <col min="3076" max="3076" width="9" customWidth="1"/>
    <col min="3081" max="3081" width="7.625" bestFit="1" customWidth="1"/>
    <col min="3082" max="3082" width="7.75" customWidth="1"/>
    <col min="3083" max="3083" width="8" bestFit="1" customWidth="1"/>
    <col min="3084" max="3084" width="9.875" bestFit="1" customWidth="1"/>
    <col min="3085" max="3085" width="9" customWidth="1"/>
    <col min="3090" max="3090" width="7.625" bestFit="1" customWidth="1"/>
    <col min="3331" max="3331" width="9.875" bestFit="1" customWidth="1"/>
    <col min="3332" max="3332" width="9" customWidth="1"/>
    <col min="3337" max="3337" width="7.625" bestFit="1" customWidth="1"/>
    <col min="3338" max="3338" width="7.75" customWidth="1"/>
    <col min="3339" max="3339" width="8" bestFit="1" customWidth="1"/>
    <col min="3340" max="3340" width="9.875" bestFit="1" customWidth="1"/>
    <col min="3341" max="3341" width="9" customWidth="1"/>
    <col min="3346" max="3346" width="7.625" bestFit="1" customWidth="1"/>
    <col min="3587" max="3587" width="9.875" bestFit="1" customWidth="1"/>
    <col min="3588" max="3588" width="9" customWidth="1"/>
    <col min="3593" max="3593" width="7.625" bestFit="1" customWidth="1"/>
    <col min="3594" max="3594" width="7.75" customWidth="1"/>
    <col min="3595" max="3595" width="8" bestFit="1" customWidth="1"/>
    <col min="3596" max="3596" width="9.875" bestFit="1" customWidth="1"/>
    <col min="3597" max="3597" width="9" customWidth="1"/>
    <col min="3602" max="3602" width="7.625" bestFit="1" customWidth="1"/>
    <col min="3843" max="3843" width="9.875" bestFit="1" customWidth="1"/>
    <col min="3844" max="3844" width="9" customWidth="1"/>
    <col min="3849" max="3849" width="7.625" bestFit="1" customWidth="1"/>
    <col min="3850" max="3850" width="7.75" customWidth="1"/>
    <col min="3851" max="3851" width="8" bestFit="1" customWidth="1"/>
    <col min="3852" max="3852" width="9.875" bestFit="1" customWidth="1"/>
    <col min="3853" max="3853" width="9" customWidth="1"/>
    <col min="3858" max="3858" width="7.625" bestFit="1" customWidth="1"/>
    <col min="4099" max="4099" width="9.875" bestFit="1" customWidth="1"/>
    <col min="4100" max="4100" width="9" customWidth="1"/>
    <col min="4105" max="4105" width="7.625" bestFit="1" customWidth="1"/>
    <col min="4106" max="4106" width="7.75" customWidth="1"/>
    <col min="4107" max="4107" width="8" bestFit="1" customWidth="1"/>
    <col min="4108" max="4108" width="9.875" bestFit="1" customWidth="1"/>
    <col min="4109" max="4109" width="9" customWidth="1"/>
    <col min="4114" max="4114" width="7.625" bestFit="1" customWidth="1"/>
    <col min="4355" max="4355" width="9.875" bestFit="1" customWidth="1"/>
    <col min="4356" max="4356" width="9" customWidth="1"/>
    <col min="4361" max="4361" width="7.625" bestFit="1" customWidth="1"/>
    <col min="4362" max="4362" width="7.75" customWidth="1"/>
    <col min="4363" max="4363" width="8" bestFit="1" customWidth="1"/>
    <col min="4364" max="4364" width="9.875" bestFit="1" customWidth="1"/>
    <col min="4365" max="4365" width="9" customWidth="1"/>
    <col min="4370" max="4370" width="7.625" bestFit="1" customWidth="1"/>
    <col min="4611" max="4611" width="9.875" bestFit="1" customWidth="1"/>
    <col min="4612" max="4612" width="9" customWidth="1"/>
    <col min="4617" max="4617" width="7.625" bestFit="1" customWidth="1"/>
    <col min="4618" max="4618" width="7.75" customWidth="1"/>
    <col min="4619" max="4619" width="8" bestFit="1" customWidth="1"/>
    <col min="4620" max="4620" width="9.875" bestFit="1" customWidth="1"/>
    <col min="4621" max="4621" width="9" customWidth="1"/>
    <col min="4626" max="4626" width="7.625" bestFit="1" customWidth="1"/>
    <col min="4867" max="4867" width="9.875" bestFit="1" customWidth="1"/>
    <col min="4868" max="4868" width="9" customWidth="1"/>
    <col min="4873" max="4873" width="7.625" bestFit="1" customWidth="1"/>
    <col min="4874" max="4874" width="7.75" customWidth="1"/>
    <col min="4875" max="4875" width="8" bestFit="1" customWidth="1"/>
    <col min="4876" max="4876" width="9.875" bestFit="1" customWidth="1"/>
    <col min="4877" max="4877" width="9" customWidth="1"/>
    <col min="4882" max="4882" width="7.625" bestFit="1" customWidth="1"/>
    <col min="5123" max="5123" width="9.875" bestFit="1" customWidth="1"/>
    <col min="5124" max="5124" width="9" customWidth="1"/>
    <col min="5129" max="5129" width="7.625" bestFit="1" customWidth="1"/>
    <col min="5130" max="5130" width="7.75" customWidth="1"/>
    <col min="5131" max="5131" width="8" bestFit="1" customWidth="1"/>
    <col min="5132" max="5132" width="9.875" bestFit="1" customWidth="1"/>
    <col min="5133" max="5133" width="9" customWidth="1"/>
    <col min="5138" max="5138" width="7.625" bestFit="1" customWidth="1"/>
    <col min="5379" max="5379" width="9.875" bestFit="1" customWidth="1"/>
    <col min="5380" max="5380" width="9" customWidth="1"/>
    <col min="5385" max="5385" width="7.625" bestFit="1" customWidth="1"/>
    <col min="5386" max="5386" width="7.75" customWidth="1"/>
    <col min="5387" max="5387" width="8" bestFit="1" customWidth="1"/>
    <col min="5388" max="5388" width="9.875" bestFit="1" customWidth="1"/>
    <col min="5389" max="5389" width="9" customWidth="1"/>
    <col min="5394" max="5394" width="7.625" bestFit="1" customWidth="1"/>
    <col min="5635" max="5635" width="9.875" bestFit="1" customWidth="1"/>
    <col min="5636" max="5636" width="9" customWidth="1"/>
    <col min="5641" max="5641" width="7.625" bestFit="1" customWidth="1"/>
    <col min="5642" max="5642" width="7.75" customWidth="1"/>
    <col min="5643" max="5643" width="8" bestFit="1" customWidth="1"/>
    <col min="5644" max="5644" width="9.875" bestFit="1" customWidth="1"/>
    <col min="5645" max="5645" width="9" customWidth="1"/>
    <col min="5650" max="5650" width="7.625" bestFit="1" customWidth="1"/>
    <col min="5891" max="5891" width="9.875" bestFit="1" customWidth="1"/>
    <col min="5892" max="5892" width="9" customWidth="1"/>
    <col min="5897" max="5897" width="7.625" bestFit="1" customWidth="1"/>
    <col min="5898" max="5898" width="7.75" customWidth="1"/>
    <col min="5899" max="5899" width="8" bestFit="1" customWidth="1"/>
    <col min="5900" max="5900" width="9.875" bestFit="1" customWidth="1"/>
    <col min="5901" max="5901" width="9" customWidth="1"/>
    <col min="5906" max="5906" width="7.625" bestFit="1" customWidth="1"/>
    <col min="6147" max="6147" width="9.875" bestFit="1" customWidth="1"/>
    <col min="6148" max="6148" width="9" customWidth="1"/>
    <col min="6153" max="6153" width="7.625" bestFit="1" customWidth="1"/>
    <col min="6154" max="6154" width="7.75" customWidth="1"/>
    <col min="6155" max="6155" width="8" bestFit="1" customWidth="1"/>
    <col min="6156" max="6156" width="9.875" bestFit="1" customWidth="1"/>
    <col min="6157" max="6157" width="9" customWidth="1"/>
    <col min="6162" max="6162" width="7.625" bestFit="1" customWidth="1"/>
    <col min="6403" max="6403" width="9.875" bestFit="1" customWidth="1"/>
    <col min="6404" max="6404" width="9" customWidth="1"/>
    <col min="6409" max="6409" width="7.625" bestFit="1" customWidth="1"/>
    <col min="6410" max="6410" width="7.75" customWidth="1"/>
    <col min="6411" max="6411" width="8" bestFit="1" customWidth="1"/>
    <col min="6412" max="6412" width="9.875" bestFit="1" customWidth="1"/>
    <col min="6413" max="6413" width="9" customWidth="1"/>
    <col min="6418" max="6418" width="7.625" bestFit="1" customWidth="1"/>
    <col min="6659" max="6659" width="9.875" bestFit="1" customWidth="1"/>
    <col min="6660" max="6660" width="9" customWidth="1"/>
    <col min="6665" max="6665" width="7.625" bestFit="1" customWidth="1"/>
    <col min="6666" max="6666" width="7.75" customWidth="1"/>
    <col min="6667" max="6667" width="8" bestFit="1" customWidth="1"/>
    <col min="6668" max="6668" width="9.875" bestFit="1" customWidth="1"/>
    <col min="6669" max="6669" width="9" customWidth="1"/>
    <col min="6674" max="6674" width="7.625" bestFit="1" customWidth="1"/>
    <col min="6915" max="6915" width="9.875" bestFit="1" customWidth="1"/>
    <col min="6916" max="6916" width="9" customWidth="1"/>
    <col min="6921" max="6921" width="7.625" bestFit="1" customWidth="1"/>
    <col min="6922" max="6922" width="7.75" customWidth="1"/>
    <col min="6923" max="6923" width="8" bestFit="1" customWidth="1"/>
    <col min="6924" max="6924" width="9.875" bestFit="1" customWidth="1"/>
    <col min="6925" max="6925" width="9" customWidth="1"/>
    <col min="6930" max="6930" width="7.625" bestFit="1" customWidth="1"/>
    <col min="7171" max="7171" width="9.875" bestFit="1" customWidth="1"/>
    <col min="7172" max="7172" width="9" customWidth="1"/>
    <col min="7177" max="7177" width="7.625" bestFit="1" customWidth="1"/>
    <col min="7178" max="7178" width="7.75" customWidth="1"/>
    <col min="7179" max="7179" width="8" bestFit="1" customWidth="1"/>
    <col min="7180" max="7180" width="9.875" bestFit="1" customWidth="1"/>
    <col min="7181" max="7181" width="9" customWidth="1"/>
    <col min="7186" max="7186" width="7.625" bestFit="1" customWidth="1"/>
    <col min="7427" max="7427" width="9.875" bestFit="1" customWidth="1"/>
    <col min="7428" max="7428" width="9" customWidth="1"/>
    <col min="7433" max="7433" width="7.625" bestFit="1" customWidth="1"/>
    <col min="7434" max="7434" width="7.75" customWidth="1"/>
    <col min="7435" max="7435" width="8" bestFit="1" customWidth="1"/>
    <col min="7436" max="7436" width="9.875" bestFit="1" customWidth="1"/>
    <col min="7437" max="7437" width="9" customWidth="1"/>
    <col min="7442" max="7442" width="7.625" bestFit="1" customWidth="1"/>
    <col min="7683" max="7683" width="9.875" bestFit="1" customWidth="1"/>
    <col min="7684" max="7684" width="9" customWidth="1"/>
    <col min="7689" max="7689" width="7.625" bestFit="1" customWidth="1"/>
    <col min="7690" max="7690" width="7.75" customWidth="1"/>
    <col min="7691" max="7691" width="8" bestFit="1" customWidth="1"/>
    <col min="7692" max="7692" width="9.875" bestFit="1" customWidth="1"/>
    <col min="7693" max="7693" width="9" customWidth="1"/>
    <col min="7698" max="7698" width="7.625" bestFit="1" customWidth="1"/>
    <col min="7939" max="7939" width="9.875" bestFit="1" customWidth="1"/>
    <col min="7940" max="7940" width="9" customWidth="1"/>
    <col min="7945" max="7945" width="7.625" bestFit="1" customWidth="1"/>
    <col min="7946" max="7946" width="7.75" customWidth="1"/>
    <col min="7947" max="7947" width="8" bestFit="1" customWidth="1"/>
    <col min="7948" max="7948" width="9.875" bestFit="1" customWidth="1"/>
    <col min="7949" max="7949" width="9" customWidth="1"/>
    <col min="7954" max="7954" width="7.625" bestFit="1" customWidth="1"/>
    <col min="8195" max="8195" width="9.875" bestFit="1" customWidth="1"/>
    <col min="8196" max="8196" width="9" customWidth="1"/>
    <col min="8201" max="8201" width="7.625" bestFit="1" customWidth="1"/>
    <col min="8202" max="8202" width="7.75" customWidth="1"/>
    <col min="8203" max="8203" width="8" bestFit="1" customWidth="1"/>
    <col min="8204" max="8204" width="9.875" bestFit="1" customWidth="1"/>
    <col min="8205" max="8205" width="9" customWidth="1"/>
    <col min="8210" max="8210" width="7.625" bestFit="1" customWidth="1"/>
    <col min="8451" max="8451" width="9.875" bestFit="1" customWidth="1"/>
    <col min="8452" max="8452" width="9" customWidth="1"/>
    <col min="8457" max="8457" width="7.625" bestFit="1" customWidth="1"/>
    <col min="8458" max="8458" width="7.75" customWidth="1"/>
    <col min="8459" max="8459" width="8" bestFit="1" customWidth="1"/>
    <col min="8460" max="8460" width="9.875" bestFit="1" customWidth="1"/>
    <col min="8461" max="8461" width="9" customWidth="1"/>
    <col min="8466" max="8466" width="7.625" bestFit="1" customWidth="1"/>
    <col min="8707" max="8707" width="9.875" bestFit="1" customWidth="1"/>
    <col min="8708" max="8708" width="9" customWidth="1"/>
    <col min="8713" max="8713" width="7.625" bestFit="1" customWidth="1"/>
    <col min="8714" max="8714" width="7.75" customWidth="1"/>
    <col min="8715" max="8715" width="8" bestFit="1" customWidth="1"/>
    <col min="8716" max="8716" width="9.875" bestFit="1" customWidth="1"/>
    <col min="8717" max="8717" width="9" customWidth="1"/>
    <col min="8722" max="8722" width="7.625" bestFit="1" customWidth="1"/>
    <col min="8963" max="8963" width="9.875" bestFit="1" customWidth="1"/>
    <col min="8964" max="8964" width="9" customWidth="1"/>
    <col min="8969" max="8969" width="7.625" bestFit="1" customWidth="1"/>
    <col min="8970" max="8970" width="7.75" customWidth="1"/>
    <col min="8971" max="8971" width="8" bestFit="1" customWidth="1"/>
    <col min="8972" max="8972" width="9.875" bestFit="1" customWidth="1"/>
    <col min="8973" max="8973" width="9" customWidth="1"/>
    <col min="8978" max="8978" width="7.625" bestFit="1" customWidth="1"/>
    <col min="9219" max="9219" width="9.875" bestFit="1" customWidth="1"/>
    <col min="9220" max="9220" width="9" customWidth="1"/>
    <col min="9225" max="9225" width="7.625" bestFit="1" customWidth="1"/>
    <col min="9226" max="9226" width="7.75" customWidth="1"/>
    <col min="9227" max="9227" width="8" bestFit="1" customWidth="1"/>
    <col min="9228" max="9228" width="9.875" bestFit="1" customWidth="1"/>
    <col min="9229" max="9229" width="9" customWidth="1"/>
    <col min="9234" max="9234" width="7.625" bestFit="1" customWidth="1"/>
    <col min="9475" max="9475" width="9.875" bestFit="1" customWidth="1"/>
    <col min="9476" max="9476" width="9" customWidth="1"/>
    <col min="9481" max="9481" width="7.625" bestFit="1" customWidth="1"/>
    <col min="9482" max="9482" width="7.75" customWidth="1"/>
    <col min="9483" max="9483" width="8" bestFit="1" customWidth="1"/>
    <col min="9484" max="9484" width="9.875" bestFit="1" customWidth="1"/>
    <col min="9485" max="9485" width="9" customWidth="1"/>
    <col min="9490" max="9490" width="7.625" bestFit="1" customWidth="1"/>
    <col min="9731" max="9731" width="9.875" bestFit="1" customWidth="1"/>
    <col min="9732" max="9732" width="9" customWidth="1"/>
    <col min="9737" max="9737" width="7.625" bestFit="1" customWidth="1"/>
    <col min="9738" max="9738" width="7.75" customWidth="1"/>
    <col min="9739" max="9739" width="8" bestFit="1" customWidth="1"/>
    <col min="9740" max="9740" width="9.875" bestFit="1" customWidth="1"/>
    <col min="9741" max="9741" width="9" customWidth="1"/>
    <col min="9746" max="9746" width="7.625" bestFit="1" customWidth="1"/>
    <col min="9987" max="9987" width="9.875" bestFit="1" customWidth="1"/>
    <col min="9988" max="9988" width="9" customWidth="1"/>
    <col min="9993" max="9993" width="7.625" bestFit="1" customWidth="1"/>
    <col min="9994" max="9994" width="7.75" customWidth="1"/>
    <col min="9995" max="9995" width="8" bestFit="1" customWidth="1"/>
    <col min="9996" max="9996" width="9.875" bestFit="1" customWidth="1"/>
    <col min="9997" max="9997" width="9" customWidth="1"/>
    <col min="10002" max="10002" width="7.625" bestFit="1" customWidth="1"/>
    <col min="10243" max="10243" width="9.875" bestFit="1" customWidth="1"/>
    <col min="10244" max="10244" width="9" customWidth="1"/>
    <col min="10249" max="10249" width="7.625" bestFit="1" customWidth="1"/>
    <col min="10250" max="10250" width="7.75" customWidth="1"/>
    <col min="10251" max="10251" width="8" bestFit="1" customWidth="1"/>
    <col min="10252" max="10252" width="9.875" bestFit="1" customWidth="1"/>
    <col min="10253" max="10253" width="9" customWidth="1"/>
    <col min="10258" max="10258" width="7.625" bestFit="1" customWidth="1"/>
    <col min="10499" max="10499" width="9.875" bestFit="1" customWidth="1"/>
    <col min="10500" max="10500" width="9" customWidth="1"/>
    <col min="10505" max="10505" width="7.625" bestFit="1" customWidth="1"/>
    <col min="10506" max="10506" width="7.75" customWidth="1"/>
    <col min="10507" max="10507" width="8" bestFit="1" customWidth="1"/>
    <col min="10508" max="10508" width="9.875" bestFit="1" customWidth="1"/>
    <col min="10509" max="10509" width="9" customWidth="1"/>
    <col min="10514" max="10514" width="7.625" bestFit="1" customWidth="1"/>
    <col min="10755" max="10755" width="9.875" bestFit="1" customWidth="1"/>
    <col min="10756" max="10756" width="9" customWidth="1"/>
    <col min="10761" max="10761" width="7.625" bestFit="1" customWidth="1"/>
    <col min="10762" max="10762" width="7.75" customWidth="1"/>
    <col min="10763" max="10763" width="8" bestFit="1" customWidth="1"/>
    <col min="10764" max="10764" width="9.875" bestFit="1" customWidth="1"/>
    <col min="10765" max="10765" width="9" customWidth="1"/>
    <col min="10770" max="10770" width="7.625" bestFit="1" customWidth="1"/>
    <col min="11011" max="11011" width="9.875" bestFit="1" customWidth="1"/>
    <col min="11012" max="11012" width="9" customWidth="1"/>
    <col min="11017" max="11017" width="7.625" bestFit="1" customWidth="1"/>
    <col min="11018" max="11018" width="7.75" customWidth="1"/>
    <col min="11019" max="11019" width="8" bestFit="1" customWidth="1"/>
    <col min="11020" max="11020" width="9.875" bestFit="1" customWidth="1"/>
    <col min="11021" max="11021" width="9" customWidth="1"/>
    <col min="11026" max="11026" width="7.625" bestFit="1" customWidth="1"/>
    <col min="11267" max="11267" width="9.875" bestFit="1" customWidth="1"/>
    <col min="11268" max="11268" width="9" customWidth="1"/>
    <col min="11273" max="11273" width="7.625" bestFit="1" customWidth="1"/>
    <col min="11274" max="11274" width="7.75" customWidth="1"/>
    <col min="11275" max="11275" width="8" bestFit="1" customWidth="1"/>
    <col min="11276" max="11276" width="9.875" bestFit="1" customWidth="1"/>
    <col min="11277" max="11277" width="9" customWidth="1"/>
    <col min="11282" max="11282" width="7.625" bestFit="1" customWidth="1"/>
    <col min="11523" max="11523" width="9.875" bestFit="1" customWidth="1"/>
    <col min="11524" max="11524" width="9" customWidth="1"/>
    <col min="11529" max="11529" width="7.625" bestFit="1" customWidth="1"/>
    <col min="11530" max="11530" width="7.75" customWidth="1"/>
    <col min="11531" max="11531" width="8" bestFit="1" customWidth="1"/>
    <col min="11532" max="11532" width="9.875" bestFit="1" customWidth="1"/>
    <col min="11533" max="11533" width="9" customWidth="1"/>
    <col min="11538" max="11538" width="7.625" bestFit="1" customWidth="1"/>
    <col min="11779" max="11779" width="9.875" bestFit="1" customWidth="1"/>
    <col min="11780" max="11780" width="9" customWidth="1"/>
    <col min="11785" max="11785" width="7.625" bestFit="1" customWidth="1"/>
    <col min="11786" max="11786" width="7.75" customWidth="1"/>
    <col min="11787" max="11787" width="8" bestFit="1" customWidth="1"/>
    <col min="11788" max="11788" width="9.875" bestFit="1" customWidth="1"/>
    <col min="11789" max="11789" width="9" customWidth="1"/>
    <col min="11794" max="11794" width="7.625" bestFit="1" customWidth="1"/>
    <col min="12035" max="12035" width="9.875" bestFit="1" customWidth="1"/>
    <col min="12036" max="12036" width="9" customWidth="1"/>
    <col min="12041" max="12041" width="7.625" bestFit="1" customWidth="1"/>
    <col min="12042" max="12042" width="7.75" customWidth="1"/>
    <col min="12043" max="12043" width="8" bestFit="1" customWidth="1"/>
    <col min="12044" max="12044" width="9.875" bestFit="1" customWidth="1"/>
    <col min="12045" max="12045" width="9" customWidth="1"/>
    <col min="12050" max="12050" width="7.625" bestFit="1" customWidth="1"/>
    <col min="12291" max="12291" width="9.875" bestFit="1" customWidth="1"/>
    <col min="12292" max="12292" width="9" customWidth="1"/>
    <col min="12297" max="12297" width="7.625" bestFit="1" customWidth="1"/>
    <col min="12298" max="12298" width="7.75" customWidth="1"/>
    <col min="12299" max="12299" width="8" bestFit="1" customWidth="1"/>
    <col min="12300" max="12300" width="9.875" bestFit="1" customWidth="1"/>
    <col min="12301" max="12301" width="9" customWidth="1"/>
    <col min="12306" max="12306" width="7.625" bestFit="1" customWidth="1"/>
    <col min="12547" max="12547" width="9.875" bestFit="1" customWidth="1"/>
    <col min="12548" max="12548" width="9" customWidth="1"/>
    <col min="12553" max="12553" width="7.625" bestFit="1" customWidth="1"/>
    <col min="12554" max="12554" width="7.75" customWidth="1"/>
    <col min="12555" max="12555" width="8" bestFit="1" customWidth="1"/>
    <col min="12556" max="12556" width="9.875" bestFit="1" customWidth="1"/>
    <col min="12557" max="12557" width="9" customWidth="1"/>
    <col min="12562" max="12562" width="7.625" bestFit="1" customWidth="1"/>
    <col min="12803" max="12803" width="9.875" bestFit="1" customWidth="1"/>
    <col min="12804" max="12804" width="9" customWidth="1"/>
    <col min="12809" max="12809" width="7.625" bestFit="1" customWidth="1"/>
    <col min="12810" max="12810" width="7.75" customWidth="1"/>
    <col min="12811" max="12811" width="8" bestFit="1" customWidth="1"/>
    <col min="12812" max="12812" width="9.875" bestFit="1" customWidth="1"/>
    <col min="12813" max="12813" width="9" customWidth="1"/>
    <col min="12818" max="12818" width="7.625" bestFit="1" customWidth="1"/>
    <col min="13059" max="13059" width="9.875" bestFit="1" customWidth="1"/>
    <col min="13060" max="13060" width="9" customWidth="1"/>
    <col min="13065" max="13065" width="7.625" bestFit="1" customWidth="1"/>
    <col min="13066" max="13066" width="7.75" customWidth="1"/>
    <col min="13067" max="13067" width="8" bestFit="1" customWidth="1"/>
    <col min="13068" max="13068" width="9.875" bestFit="1" customWidth="1"/>
    <col min="13069" max="13069" width="9" customWidth="1"/>
    <col min="13074" max="13074" width="7.625" bestFit="1" customWidth="1"/>
    <col min="13315" max="13315" width="9.875" bestFit="1" customWidth="1"/>
    <col min="13316" max="13316" width="9" customWidth="1"/>
    <col min="13321" max="13321" width="7.625" bestFit="1" customWidth="1"/>
    <col min="13322" max="13322" width="7.75" customWidth="1"/>
    <col min="13323" max="13323" width="8" bestFit="1" customWidth="1"/>
    <col min="13324" max="13324" width="9.875" bestFit="1" customWidth="1"/>
    <col min="13325" max="13325" width="9" customWidth="1"/>
    <col min="13330" max="13330" width="7.625" bestFit="1" customWidth="1"/>
    <col min="13571" max="13571" width="9.875" bestFit="1" customWidth="1"/>
    <col min="13572" max="13572" width="9" customWidth="1"/>
    <col min="13577" max="13577" width="7.625" bestFit="1" customWidth="1"/>
    <col min="13578" max="13578" width="7.75" customWidth="1"/>
    <col min="13579" max="13579" width="8" bestFit="1" customWidth="1"/>
    <col min="13580" max="13580" width="9.875" bestFit="1" customWidth="1"/>
    <col min="13581" max="13581" width="9" customWidth="1"/>
    <col min="13586" max="13586" width="7.625" bestFit="1" customWidth="1"/>
    <col min="13827" max="13827" width="9.875" bestFit="1" customWidth="1"/>
    <col min="13828" max="13828" width="9" customWidth="1"/>
    <col min="13833" max="13833" width="7.625" bestFit="1" customWidth="1"/>
    <col min="13834" max="13834" width="7.75" customWidth="1"/>
    <col min="13835" max="13835" width="8" bestFit="1" customWidth="1"/>
    <col min="13836" max="13836" width="9.875" bestFit="1" customWidth="1"/>
    <col min="13837" max="13837" width="9" customWidth="1"/>
    <col min="13842" max="13842" width="7.625" bestFit="1" customWidth="1"/>
    <col min="14083" max="14083" width="9.875" bestFit="1" customWidth="1"/>
    <col min="14084" max="14084" width="9" customWidth="1"/>
    <col min="14089" max="14089" width="7.625" bestFit="1" customWidth="1"/>
    <col min="14090" max="14090" width="7.75" customWidth="1"/>
    <col min="14091" max="14091" width="8" bestFit="1" customWidth="1"/>
    <col min="14092" max="14092" width="9.875" bestFit="1" customWidth="1"/>
    <col min="14093" max="14093" width="9" customWidth="1"/>
    <col min="14098" max="14098" width="7.625" bestFit="1" customWidth="1"/>
    <col min="14339" max="14339" width="9.875" bestFit="1" customWidth="1"/>
    <col min="14340" max="14340" width="9" customWidth="1"/>
    <col min="14345" max="14345" width="7.625" bestFit="1" customWidth="1"/>
    <col min="14346" max="14346" width="7.75" customWidth="1"/>
    <col min="14347" max="14347" width="8" bestFit="1" customWidth="1"/>
    <col min="14348" max="14348" width="9.875" bestFit="1" customWidth="1"/>
    <col min="14349" max="14349" width="9" customWidth="1"/>
    <col min="14354" max="14354" width="7.625" bestFit="1" customWidth="1"/>
    <col min="14595" max="14595" width="9.875" bestFit="1" customWidth="1"/>
    <col min="14596" max="14596" width="9" customWidth="1"/>
    <col min="14601" max="14601" width="7.625" bestFit="1" customWidth="1"/>
    <col min="14602" max="14602" width="7.75" customWidth="1"/>
    <col min="14603" max="14603" width="8" bestFit="1" customWidth="1"/>
    <col min="14604" max="14604" width="9.875" bestFit="1" customWidth="1"/>
    <col min="14605" max="14605" width="9" customWidth="1"/>
    <col min="14610" max="14610" width="7.625" bestFit="1" customWidth="1"/>
    <col min="14851" max="14851" width="9.875" bestFit="1" customWidth="1"/>
    <col min="14852" max="14852" width="9" customWidth="1"/>
    <col min="14857" max="14857" width="7.625" bestFit="1" customWidth="1"/>
    <col min="14858" max="14858" width="7.75" customWidth="1"/>
    <col min="14859" max="14859" width="8" bestFit="1" customWidth="1"/>
    <col min="14860" max="14860" width="9.875" bestFit="1" customWidth="1"/>
    <col min="14861" max="14861" width="9" customWidth="1"/>
    <col min="14866" max="14866" width="7.625" bestFit="1" customWidth="1"/>
    <col min="15107" max="15107" width="9.875" bestFit="1" customWidth="1"/>
    <col min="15108" max="15108" width="9" customWidth="1"/>
    <col min="15113" max="15113" width="7.625" bestFit="1" customWidth="1"/>
    <col min="15114" max="15114" width="7.75" customWidth="1"/>
    <col min="15115" max="15115" width="8" bestFit="1" customWidth="1"/>
    <col min="15116" max="15116" width="9.875" bestFit="1" customWidth="1"/>
    <col min="15117" max="15117" width="9" customWidth="1"/>
    <col min="15122" max="15122" width="7.625" bestFit="1" customWidth="1"/>
    <col min="15363" max="15363" width="9.875" bestFit="1" customWidth="1"/>
    <col min="15364" max="15364" width="9" customWidth="1"/>
    <col min="15369" max="15369" width="7.625" bestFit="1" customWidth="1"/>
    <col min="15370" max="15370" width="7.75" customWidth="1"/>
    <col min="15371" max="15371" width="8" bestFit="1" customWidth="1"/>
    <col min="15372" max="15372" width="9.875" bestFit="1" customWidth="1"/>
    <col min="15373" max="15373" width="9" customWidth="1"/>
    <col min="15378" max="15378" width="7.625" bestFit="1" customWidth="1"/>
    <col min="15619" max="15619" width="9.875" bestFit="1" customWidth="1"/>
    <col min="15620" max="15620" width="9" customWidth="1"/>
    <col min="15625" max="15625" width="7.625" bestFit="1" customWidth="1"/>
    <col min="15626" max="15626" width="7.75" customWidth="1"/>
    <col min="15627" max="15627" width="8" bestFit="1" customWidth="1"/>
    <col min="15628" max="15628" width="9.875" bestFit="1" customWidth="1"/>
    <col min="15629" max="15629" width="9" customWidth="1"/>
    <col min="15634" max="15634" width="7.625" bestFit="1" customWidth="1"/>
    <col min="15875" max="15875" width="9.875" bestFit="1" customWidth="1"/>
    <col min="15876" max="15876" width="9" customWidth="1"/>
    <col min="15881" max="15881" width="7.625" bestFit="1" customWidth="1"/>
    <col min="15882" max="15882" width="7.75" customWidth="1"/>
    <col min="15883" max="15883" width="8" bestFit="1" customWidth="1"/>
    <col min="15884" max="15884" width="9.875" bestFit="1" customWidth="1"/>
    <col min="15885" max="15885" width="9" customWidth="1"/>
    <col min="15890" max="15890" width="7.625" bestFit="1" customWidth="1"/>
    <col min="16131" max="16131" width="9.875" bestFit="1" customWidth="1"/>
    <col min="16132" max="16132" width="9" customWidth="1"/>
    <col min="16137" max="16137" width="7.625" bestFit="1" customWidth="1"/>
    <col min="16138" max="16138" width="7.75" customWidth="1"/>
    <col min="16139" max="16139" width="8" bestFit="1" customWidth="1"/>
    <col min="16140" max="16140" width="9.875" bestFit="1" customWidth="1"/>
    <col min="16141" max="16141" width="9" customWidth="1"/>
    <col min="16146" max="16146" width="7.625" bestFit="1" customWidth="1"/>
  </cols>
  <sheetData>
    <row r="1" spans="1:81" s="2" customFormat="1" ht="35.25" customHeight="1">
      <c r="A1" s="1" t="s">
        <v>45</v>
      </c>
      <c r="B1" s="94" t="s">
        <v>46</v>
      </c>
      <c r="C1" s="94"/>
      <c r="D1" s="94"/>
      <c r="E1" s="94"/>
      <c r="F1" s="94"/>
      <c r="G1" s="94"/>
      <c r="H1" s="94"/>
      <c r="I1" s="94"/>
      <c r="J1" s="94"/>
      <c r="K1" s="94"/>
      <c r="L1" s="91" t="s">
        <v>47</v>
      </c>
      <c r="M1" s="91"/>
      <c r="N1" s="91"/>
      <c r="O1" s="91"/>
      <c r="P1" s="91"/>
      <c r="Q1" s="91"/>
      <c r="R1" s="91"/>
    </row>
    <row r="2" spans="1:81" ht="14.25">
      <c r="A2" s="3" t="s">
        <v>23</v>
      </c>
      <c r="B2" s="79" t="s">
        <v>24</v>
      </c>
      <c r="C2" s="80"/>
      <c r="D2" s="80"/>
      <c r="E2" s="80"/>
      <c r="F2" s="80"/>
      <c r="G2" s="80"/>
      <c r="H2" s="80"/>
      <c r="I2" s="80"/>
      <c r="J2" s="80"/>
      <c r="K2" s="2"/>
      <c r="L2" s="2"/>
      <c r="M2" s="2"/>
      <c r="N2" s="2"/>
      <c r="O2" s="2"/>
      <c r="P2" s="2"/>
      <c r="Q2" s="2"/>
      <c r="R2" s="2"/>
    </row>
    <row r="3" spans="1:81" ht="14.25">
      <c r="A3" s="3" t="s">
        <v>0</v>
      </c>
      <c r="B3" s="79" t="s">
        <v>25</v>
      </c>
      <c r="C3" s="80"/>
      <c r="D3" s="80"/>
      <c r="E3" s="80"/>
      <c r="F3" s="80"/>
      <c r="G3" s="80"/>
      <c r="H3" s="80"/>
      <c r="I3" s="80"/>
      <c r="J3" s="80"/>
      <c r="K3" s="12"/>
      <c r="L3" s="2"/>
      <c r="M3" s="2"/>
      <c r="N3" s="2"/>
      <c r="O3" s="2"/>
      <c r="P3" s="2"/>
      <c r="Q3" s="2"/>
      <c r="R3" s="2"/>
    </row>
    <row r="4" spans="1:81" ht="14.25" customHeight="1">
      <c r="A4" s="19" t="s">
        <v>167</v>
      </c>
      <c r="B4" s="5" t="s">
        <v>26</v>
      </c>
      <c r="C4" s="5" t="s">
        <v>27</v>
      </c>
      <c r="D4" s="5" t="s">
        <v>28</v>
      </c>
      <c r="E4" s="5" t="s">
        <v>11</v>
      </c>
      <c r="F4" s="5" t="s">
        <v>12</v>
      </c>
      <c r="G4" s="21" t="s">
        <v>3</v>
      </c>
      <c r="H4" s="38" t="s">
        <v>4</v>
      </c>
      <c r="I4" s="81" t="s">
        <v>29</v>
      </c>
      <c r="J4" s="19" t="s">
        <v>167</v>
      </c>
      <c r="K4" s="20" t="s">
        <v>26</v>
      </c>
      <c r="L4" s="20" t="s">
        <v>27</v>
      </c>
      <c r="M4" s="20" t="s">
        <v>28</v>
      </c>
      <c r="N4" s="20" t="s">
        <v>11</v>
      </c>
      <c r="O4" s="20" t="s">
        <v>12</v>
      </c>
      <c r="P4" s="21" t="s">
        <v>3</v>
      </c>
      <c r="Q4" s="38" t="s">
        <v>4</v>
      </c>
      <c r="R4" s="86" t="s">
        <v>29</v>
      </c>
      <c r="S4" s="19" t="s">
        <v>167</v>
      </c>
      <c r="T4" s="20" t="s">
        <v>26</v>
      </c>
      <c r="U4" s="20" t="s">
        <v>27</v>
      </c>
      <c r="V4" s="20" t="s">
        <v>28</v>
      </c>
      <c r="W4" s="20" t="s">
        <v>11</v>
      </c>
      <c r="X4" s="20" t="s">
        <v>12</v>
      </c>
      <c r="Y4" s="21" t="s">
        <v>3</v>
      </c>
      <c r="Z4" s="38" t="s">
        <v>4</v>
      </c>
      <c r="AA4" s="86" t="s">
        <v>29</v>
      </c>
      <c r="AB4" s="19" t="s">
        <v>167</v>
      </c>
      <c r="AC4" s="20" t="s">
        <v>26</v>
      </c>
      <c r="AD4" s="20" t="s">
        <v>27</v>
      </c>
      <c r="AE4" s="20" t="s">
        <v>28</v>
      </c>
      <c r="AF4" s="20" t="s">
        <v>11</v>
      </c>
      <c r="AG4" s="20" t="s">
        <v>12</v>
      </c>
      <c r="AH4" s="21" t="s">
        <v>3</v>
      </c>
      <c r="AI4" s="38" t="s">
        <v>4</v>
      </c>
      <c r="AJ4" s="81" t="s">
        <v>29</v>
      </c>
      <c r="AK4" s="19" t="s">
        <v>167</v>
      </c>
      <c r="AL4" s="20" t="s">
        <v>26</v>
      </c>
      <c r="AM4" s="20" t="s">
        <v>27</v>
      </c>
      <c r="AN4" s="20" t="s">
        <v>28</v>
      </c>
      <c r="AO4" s="20" t="s">
        <v>11</v>
      </c>
      <c r="AP4" s="20" t="s">
        <v>12</v>
      </c>
      <c r="AQ4" s="21" t="s">
        <v>3</v>
      </c>
      <c r="AR4" s="38" t="s">
        <v>4</v>
      </c>
      <c r="AS4" s="86" t="s">
        <v>29</v>
      </c>
      <c r="AT4" s="19" t="s">
        <v>167</v>
      </c>
      <c r="AU4" s="5" t="s">
        <v>26</v>
      </c>
      <c r="AV4" s="5" t="s">
        <v>27</v>
      </c>
      <c r="AW4" s="5" t="s">
        <v>28</v>
      </c>
      <c r="AX4" s="5" t="s">
        <v>11</v>
      </c>
      <c r="AY4" s="5" t="s">
        <v>12</v>
      </c>
      <c r="AZ4" s="21" t="s">
        <v>3</v>
      </c>
      <c r="BA4" s="38" t="s">
        <v>4</v>
      </c>
      <c r="BB4" s="81" t="s">
        <v>29</v>
      </c>
      <c r="BC4" s="19" t="s">
        <v>167</v>
      </c>
      <c r="BD4" s="20" t="s">
        <v>26</v>
      </c>
      <c r="BE4" s="20" t="s">
        <v>27</v>
      </c>
      <c r="BF4" s="20" t="s">
        <v>28</v>
      </c>
      <c r="BG4" s="20" t="s">
        <v>11</v>
      </c>
      <c r="BH4" s="20" t="s">
        <v>12</v>
      </c>
      <c r="BI4" s="21" t="s">
        <v>3</v>
      </c>
      <c r="BJ4" s="38" t="s">
        <v>4</v>
      </c>
      <c r="BK4" s="86" t="s">
        <v>29</v>
      </c>
      <c r="BL4" s="19" t="s">
        <v>167</v>
      </c>
      <c r="BM4" s="5" t="s">
        <v>26</v>
      </c>
      <c r="BN4" s="5" t="s">
        <v>27</v>
      </c>
      <c r="BO4" s="5" t="s">
        <v>28</v>
      </c>
      <c r="BP4" s="5" t="s">
        <v>11</v>
      </c>
      <c r="BQ4" s="5" t="s">
        <v>12</v>
      </c>
      <c r="BR4" s="21" t="s">
        <v>3</v>
      </c>
      <c r="BS4" s="38" t="s">
        <v>4</v>
      </c>
      <c r="BT4" s="81" t="s">
        <v>29</v>
      </c>
      <c r="BU4" s="19" t="s">
        <v>167</v>
      </c>
      <c r="BV4" s="20" t="s">
        <v>26</v>
      </c>
      <c r="BW4" s="20" t="s">
        <v>27</v>
      </c>
      <c r="BX4" s="20" t="s">
        <v>28</v>
      </c>
      <c r="BY4" s="20" t="s">
        <v>11</v>
      </c>
      <c r="BZ4" s="20" t="s">
        <v>12</v>
      </c>
      <c r="CA4" s="21" t="s">
        <v>3</v>
      </c>
      <c r="CB4" s="38" t="s">
        <v>4</v>
      </c>
      <c r="CC4" s="86" t="s">
        <v>29</v>
      </c>
    </row>
    <row r="5" spans="1:81" ht="15">
      <c r="A5" s="7" t="s">
        <v>30</v>
      </c>
      <c r="B5" s="8">
        <v>37775</v>
      </c>
      <c r="C5" s="8">
        <v>2572.5</v>
      </c>
      <c r="D5" s="4">
        <v>5</v>
      </c>
      <c r="E5" s="8" t="s">
        <v>10</v>
      </c>
      <c r="F5" s="50">
        <v>1</v>
      </c>
      <c r="G5" s="24" t="s">
        <v>15</v>
      </c>
      <c r="H5" s="25" t="s">
        <v>6</v>
      </c>
      <c r="I5" s="82"/>
      <c r="J5" s="22" t="s">
        <v>32</v>
      </c>
      <c r="K5" s="28">
        <v>38000</v>
      </c>
      <c r="L5" s="28">
        <v>2595</v>
      </c>
      <c r="M5" s="23">
        <v>5</v>
      </c>
      <c r="N5" s="28" t="s">
        <v>10</v>
      </c>
      <c r="O5" s="29">
        <v>1</v>
      </c>
      <c r="P5" s="24" t="s">
        <v>15</v>
      </c>
      <c r="Q5" s="25" t="s">
        <v>7</v>
      </c>
      <c r="R5" s="86"/>
      <c r="S5" s="27" t="s">
        <v>31</v>
      </c>
      <c r="T5" s="28">
        <v>38225</v>
      </c>
      <c r="U5" s="28">
        <v>2617.5</v>
      </c>
      <c r="V5" s="23">
        <v>5</v>
      </c>
      <c r="W5" s="28" t="s">
        <v>10</v>
      </c>
      <c r="X5" s="29">
        <v>1</v>
      </c>
      <c r="Y5" s="24" t="s">
        <v>31</v>
      </c>
      <c r="Z5" s="25" t="s">
        <v>7</v>
      </c>
      <c r="AA5" s="86"/>
      <c r="AB5" s="27" t="s">
        <v>30</v>
      </c>
      <c r="AC5" s="28">
        <v>37775</v>
      </c>
      <c r="AD5" s="28">
        <v>2572.5</v>
      </c>
      <c r="AE5" s="23">
        <v>5</v>
      </c>
      <c r="AF5" s="28" t="s">
        <v>10</v>
      </c>
      <c r="AG5" s="29">
        <v>25</v>
      </c>
      <c r="AH5" s="24" t="s">
        <v>30</v>
      </c>
      <c r="AI5" s="25" t="s">
        <v>6</v>
      </c>
      <c r="AJ5" s="82"/>
      <c r="AK5" s="27" t="s">
        <v>31</v>
      </c>
      <c r="AL5" s="28">
        <v>38225</v>
      </c>
      <c r="AM5" s="28">
        <v>2617.5</v>
      </c>
      <c r="AN5" s="23">
        <v>5</v>
      </c>
      <c r="AO5" s="28" t="s">
        <v>10</v>
      </c>
      <c r="AP5" s="29">
        <v>25</v>
      </c>
      <c r="AQ5" s="24" t="s">
        <v>31</v>
      </c>
      <c r="AR5" s="25" t="s">
        <v>7</v>
      </c>
      <c r="AS5" s="86"/>
      <c r="AT5" s="7" t="s">
        <v>30</v>
      </c>
      <c r="AU5" s="8">
        <v>37850</v>
      </c>
      <c r="AV5" s="8">
        <v>2580</v>
      </c>
      <c r="AW5" s="4">
        <v>20</v>
      </c>
      <c r="AX5" s="8" t="s">
        <v>10</v>
      </c>
      <c r="AY5" s="50">
        <v>1</v>
      </c>
      <c r="AZ5" s="24" t="s">
        <v>15</v>
      </c>
      <c r="BA5" s="25" t="s">
        <v>6</v>
      </c>
      <c r="BB5" s="82"/>
      <c r="BC5" s="27" t="s">
        <v>31</v>
      </c>
      <c r="BD5" s="28">
        <v>38150</v>
      </c>
      <c r="BE5" s="28">
        <v>2610</v>
      </c>
      <c r="BF5" s="23">
        <v>20</v>
      </c>
      <c r="BG5" s="28" t="s">
        <v>10</v>
      </c>
      <c r="BH5" s="29">
        <v>1</v>
      </c>
      <c r="BI5" s="24" t="s">
        <v>31</v>
      </c>
      <c r="BJ5" s="25" t="s">
        <v>7</v>
      </c>
      <c r="BK5" s="86"/>
      <c r="BL5" s="7" t="s">
        <v>30</v>
      </c>
      <c r="BM5" s="8">
        <v>37850</v>
      </c>
      <c r="BN5" s="8">
        <v>2580</v>
      </c>
      <c r="BO5" s="4">
        <v>20</v>
      </c>
      <c r="BP5" s="8" t="s">
        <v>10</v>
      </c>
      <c r="BQ5" s="50">
        <v>100</v>
      </c>
      <c r="BR5" s="24" t="s">
        <v>30</v>
      </c>
      <c r="BS5" s="25" t="s">
        <v>6</v>
      </c>
      <c r="BT5" s="82"/>
      <c r="BU5" s="27" t="s">
        <v>31</v>
      </c>
      <c r="BV5" s="28">
        <v>38150</v>
      </c>
      <c r="BW5" s="28">
        <v>2610</v>
      </c>
      <c r="BX5" s="23">
        <v>20</v>
      </c>
      <c r="BY5" s="28" t="s">
        <v>10</v>
      </c>
      <c r="BZ5" s="29">
        <v>100</v>
      </c>
      <c r="CA5" s="24" t="s">
        <v>30</v>
      </c>
      <c r="CB5" s="25" t="s">
        <v>7</v>
      </c>
      <c r="CC5" s="86"/>
    </row>
    <row r="6" spans="1:81" ht="14.25">
      <c r="A6" s="83" t="s">
        <v>16</v>
      </c>
      <c r="B6" s="84"/>
      <c r="C6" s="6" t="s">
        <v>17</v>
      </c>
      <c r="D6" s="6" t="s">
        <v>33</v>
      </c>
      <c r="E6" s="83" t="s">
        <v>34</v>
      </c>
      <c r="F6" s="85"/>
      <c r="G6" s="84"/>
      <c r="H6" s="26" t="s">
        <v>5</v>
      </c>
      <c r="I6" s="2"/>
      <c r="J6" s="83" t="s">
        <v>16</v>
      </c>
      <c r="K6" s="84"/>
      <c r="L6" s="18" t="s">
        <v>17</v>
      </c>
      <c r="M6" s="18" t="s">
        <v>33</v>
      </c>
      <c r="N6" s="83" t="s">
        <v>34</v>
      </c>
      <c r="O6" s="85"/>
      <c r="P6" s="84"/>
      <c r="Q6" s="26" t="s">
        <v>5</v>
      </c>
      <c r="R6" s="19"/>
      <c r="S6" s="83" t="s">
        <v>16</v>
      </c>
      <c r="T6" s="84"/>
      <c r="U6" s="18" t="s">
        <v>17</v>
      </c>
      <c r="V6" s="18" t="s">
        <v>33</v>
      </c>
      <c r="W6" s="83" t="s">
        <v>34</v>
      </c>
      <c r="X6" s="85"/>
      <c r="Y6" s="84"/>
      <c r="Z6" s="26" t="s">
        <v>5</v>
      </c>
      <c r="AA6" s="19"/>
      <c r="AB6" s="83" t="s">
        <v>16</v>
      </c>
      <c r="AC6" s="84"/>
      <c r="AD6" s="18" t="s">
        <v>17</v>
      </c>
      <c r="AE6" s="18" t="s">
        <v>33</v>
      </c>
      <c r="AF6" s="83" t="s">
        <v>34</v>
      </c>
      <c r="AG6" s="85"/>
      <c r="AH6" s="84"/>
      <c r="AI6" s="26" t="s">
        <v>5</v>
      </c>
      <c r="AJ6" s="19"/>
      <c r="AK6" s="83" t="s">
        <v>16</v>
      </c>
      <c r="AL6" s="84"/>
      <c r="AM6" s="18" t="s">
        <v>17</v>
      </c>
      <c r="AN6" s="18" t="s">
        <v>33</v>
      </c>
      <c r="AO6" s="83" t="s">
        <v>34</v>
      </c>
      <c r="AP6" s="85"/>
      <c r="AQ6" s="84"/>
      <c r="AR6" s="26" t="s">
        <v>5</v>
      </c>
      <c r="AS6" s="19"/>
      <c r="AT6" s="83" t="s">
        <v>16</v>
      </c>
      <c r="AU6" s="84"/>
      <c r="AV6" s="6" t="s">
        <v>17</v>
      </c>
      <c r="AW6" s="6" t="s">
        <v>33</v>
      </c>
      <c r="AX6" s="83" t="s">
        <v>34</v>
      </c>
      <c r="AY6" s="85"/>
      <c r="AZ6" s="84"/>
      <c r="BA6" s="26" t="s">
        <v>5</v>
      </c>
      <c r="BB6" s="2"/>
      <c r="BC6" s="83" t="s">
        <v>16</v>
      </c>
      <c r="BD6" s="84"/>
      <c r="BE6" s="18" t="s">
        <v>17</v>
      </c>
      <c r="BF6" s="18" t="s">
        <v>33</v>
      </c>
      <c r="BG6" s="83" t="s">
        <v>34</v>
      </c>
      <c r="BH6" s="85"/>
      <c r="BI6" s="84"/>
      <c r="BJ6" s="26" t="s">
        <v>5</v>
      </c>
      <c r="BK6" s="19"/>
      <c r="BL6" s="83" t="s">
        <v>16</v>
      </c>
      <c r="BM6" s="84"/>
      <c r="BN6" s="6" t="s">
        <v>17</v>
      </c>
      <c r="BO6" s="6" t="s">
        <v>33</v>
      </c>
      <c r="BP6" s="83" t="s">
        <v>34</v>
      </c>
      <c r="BQ6" s="85"/>
      <c r="BR6" s="84"/>
      <c r="BS6" s="26" t="s">
        <v>5</v>
      </c>
      <c r="BT6" s="2"/>
      <c r="BU6" s="83" t="s">
        <v>16</v>
      </c>
      <c r="BV6" s="84"/>
      <c r="BW6" s="18" t="s">
        <v>17</v>
      </c>
      <c r="BX6" s="18" t="s">
        <v>33</v>
      </c>
      <c r="BY6" s="83" t="s">
        <v>34</v>
      </c>
      <c r="BZ6" s="85"/>
      <c r="CA6" s="84"/>
      <c r="CB6" s="26" t="s">
        <v>5</v>
      </c>
      <c r="CC6" s="19"/>
    </row>
    <row r="7" spans="1:81" ht="15">
      <c r="A7" s="54">
        <f>((C5-INT((D5*5)/2)*0.18)-0.2)*2</f>
        <v>5140.2800000000007</v>
      </c>
      <c r="B7" s="54">
        <f>((C5-INT((D5*5)/2)*0.18)+0.2)*2</f>
        <v>5141.08</v>
      </c>
      <c r="C7" s="10" t="s">
        <v>9</v>
      </c>
      <c r="D7" s="10" t="s">
        <v>9</v>
      </c>
      <c r="E7" s="87" t="s">
        <v>35</v>
      </c>
      <c r="F7" s="88"/>
      <c r="G7" s="89"/>
      <c r="H7" s="75"/>
      <c r="I7" s="55" t="s">
        <v>36</v>
      </c>
      <c r="J7" s="54">
        <f>((L5-INT((M5*5)/2)*0.18)-0.2)*2</f>
        <v>5185.2800000000007</v>
      </c>
      <c r="K7" s="54">
        <f>((L5-INT((M5*5)/2)*0.18)+0.2)*2</f>
        <v>5186.08</v>
      </c>
      <c r="L7" s="10" t="s">
        <v>9</v>
      </c>
      <c r="M7" s="10" t="s">
        <v>9</v>
      </c>
      <c r="N7" s="87" t="s">
        <v>35</v>
      </c>
      <c r="O7" s="88"/>
      <c r="P7" s="89"/>
      <c r="Q7" s="75"/>
      <c r="R7" s="55" t="s">
        <v>36</v>
      </c>
      <c r="S7" s="54">
        <f>((U5+INT((V5*5)/2)*0.18)-0.2)*2</f>
        <v>5238.92</v>
      </c>
      <c r="T7" s="54">
        <f>((U5+INT((V5*5)/2)*0.18)+0.2)*2</f>
        <v>5239.7199999999993</v>
      </c>
      <c r="U7" s="10" t="s">
        <v>9</v>
      </c>
      <c r="V7" s="10" t="s">
        <v>9</v>
      </c>
      <c r="W7" s="87" t="s">
        <v>35</v>
      </c>
      <c r="X7" s="88"/>
      <c r="Y7" s="89"/>
      <c r="Z7" s="75"/>
      <c r="AA7" s="55" t="s">
        <v>36</v>
      </c>
      <c r="AB7" s="54">
        <f>(AD5-AE5/2)*2</f>
        <v>5140</v>
      </c>
      <c r="AC7" s="54">
        <f>(AD5+AE5/2)*2</f>
        <v>5150</v>
      </c>
      <c r="AD7" s="10" t="s">
        <v>9</v>
      </c>
      <c r="AE7" s="10" t="s">
        <v>9</v>
      </c>
      <c r="AF7" s="87" t="s">
        <v>35</v>
      </c>
      <c r="AG7" s="88"/>
      <c r="AH7" s="89"/>
      <c r="AI7" s="75"/>
      <c r="AJ7" s="55" t="s">
        <v>36</v>
      </c>
      <c r="AK7" s="54">
        <f>(AM5-AN5/2)*2</f>
        <v>5230</v>
      </c>
      <c r="AL7" s="54">
        <f>(AM5+AN5/2)*2</f>
        <v>5240</v>
      </c>
      <c r="AM7" s="10" t="s">
        <v>9</v>
      </c>
      <c r="AN7" s="10" t="s">
        <v>9</v>
      </c>
      <c r="AO7" s="87" t="s">
        <v>35</v>
      </c>
      <c r="AP7" s="88"/>
      <c r="AQ7" s="89"/>
      <c r="AR7" s="75"/>
      <c r="AS7" s="55" t="s">
        <v>36</v>
      </c>
      <c r="AT7" s="54">
        <f>((AV5-(INT((AW5*5)/2)-0.5)*0.18)-0.2)*2</f>
        <v>5141.7800000000007</v>
      </c>
      <c r="AU7" s="54">
        <f>((AV5-(INT((AW5*5)/2)-0.5)*0.18)+0.2)*2</f>
        <v>5142.58</v>
      </c>
      <c r="AV7" s="10" t="s">
        <v>9</v>
      </c>
      <c r="AW7" s="10" t="s">
        <v>9</v>
      </c>
      <c r="AX7" s="87" t="s">
        <v>35</v>
      </c>
      <c r="AY7" s="88"/>
      <c r="AZ7" s="89"/>
      <c r="BA7" s="75"/>
      <c r="BB7" s="55" t="s">
        <v>36</v>
      </c>
      <c r="BC7" s="54">
        <f>((BE5+(INT((BF5*5)/2)-0.5)*0.18)-0.2)*2</f>
        <v>5237.42</v>
      </c>
      <c r="BD7" s="54">
        <f>((BE5+(INT((BF5*5)/2)-0.5)*0.18)+0.2)*2</f>
        <v>5238.2199999999993</v>
      </c>
      <c r="BE7" s="10" t="s">
        <v>9</v>
      </c>
      <c r="BF7" s="10" t="s">
        <v>9</v>
      </c>
      <c r="BG7" s="87" t="s">
        <v>35</v>
      </c>
      <c r="BH7" s="88"/>
      <c r="BI7" s="89"/>
      <c r="BJ7" s="75"/>
      <c r="BK7" s="55" t="s">
        <v>36</v>
      </c>
      <c r="BL7" s="54">
        <f>(BN5-BO5/2)*2</f>
        <v>5140</v>
      </c>
      <c r="BM7" s="54">
        <f>(BN5+BO5/2)*2</f>
        <v>5180</v>
      </c>
      <c r="BN7" s="10" t="s">
        <v>9</v>
      </c>
      <c r="BO7" s="10" t="s">
        <v>9</v>
      </c>
      <c r="BP7" s="87" t="s">
        <v>35</v>
      </c>
      <c r="BQ7" s="88"/>
      <c r="BR7" s="89"/>
      <c r="BS7" s="75"/>
      <c r="BT7" s="55" t="s">
        <v>36</v>
      </c>
      <c r="BU7" s="54">
        <f>(BW5-BX5/2)*2</f>
        <v>5200</v>
      </c>
      <c r="BV7" s="54">
        <f>(BW5+BX5/2)*2</f>
        <v>5240</v>
      </c>
      <c r="BW7" s="10" t="s">
        <v>9</v>
      </c>
      <c r="BX7" s="10" t="s">
        <v>9</v>
      </c>
      <c r="BY7" s="87" t="s">
        <v>35</v>
      </c>
      <c r="BZ7" s="88"/>
      <c r="CA7" s="89"/>
      <c r="CB7" s="75"/>
      <c r="CC7" s="55" t="s">
        <v>36</v>
      </c>
    </row>
    <row r="8" spans="1:81" ht="15">
      <c r="A8" s="54">
        <f>((C5-INT((D5*5)/2)*0.18)-0.2)*3</f>
        <v>7710.420000000001</v>
      </c>
      <c r="B8" s="54">
        <f>((C5-INT((D5*5)/2)*0.18)+0.2)*3</f>
        <v>7711.62</v>
      </c>
      <c r="C8" s="10" t="s">
        <v>9</v>
      </c>
      <c r="D8" s="10" t="s">
        <v>9</v>
      </c>
      <c r="E8" s="87" t="s">
        <v>35</v>
      </c>
      <c r="F8" s="88"/>
      <c r="G8" s="89"/>
      <c r="H8" s="75"/>
      <c r="I8" s="55" t="s">
        <v>37</v>
      </c>
      <c r="J8" s="54">
        <f>((L5-INT((M5*5)/2)*0.18)-0.2)*3</f>
        <v>7777.920000000001</v>
      </c>
      <c r="K8" s="54">
        <f>((L5-INT((M5*5)/2)*0.18)+0.2)*3</f>
        <v>7779.12</v>
      </c>
      <c r="L8" s="10" t="s">
        <v>9</v>
      </c>
      <c r="M8" s="10" t="s">
        <v>9</v>
      </c>
      <c r="N8" s="87" t="s">
        <v>35</v>
      </c>
      <c r="O8" s="88"/>
      <c r="P8" s="89"/>
      <c r="Q8" s="75"/>
      <c r="R8" s="55" t="s">
        <v>37</v>
      </c>
      <c r="S8" s="54">
        <f>((U5+INT((V5*5)/2)*0.18)-0.2)*3</f>
        <v>7858.38</v>
      </c>
      <c r="T8" s="54">
        <f>((U5+INT((V5*5)/2)*0.18)+0.2)*3</f>
        <v>7859.579999999999</v>
      </c>
      <c r="U8" s="10" t="s">
        <v>9</v>
      </c>
      <c r="V8" s="10" t="s">
        <v>9</v>
      </c>
      <c r="W8" s="87" t="s">
        <v>35</v>
      </c>
      <c r="X8" s="88"/>
      <c r="Y8" s="89"/>
      <c r="Z8" s="75"/>
      <c r="AA8" s="55" t="s">
        <v>37</v>
      </c>
      <c r="AB8" s="54">
        <f>(AD5-AE5/2)*3</f>
        <v>7710</v>
      </c>
      <c r="AC8" s="54">
        <f>(AD5+AE5/2)*3</f>
        <v>7725</v>
      </c>
      <c r="AD8" s="10" t="s">
        <v>9</v>
      </c>
      <c r="AE8" s="10" t="s">
        <v>9</v>
      </c>
      <c r="AF8" s="87" t="s">
        <v>35</v>
      </c>
      <c r="AG8" s="88"/>
      <c r="AH8" s="89"/>
      <c r="AI8" s="75"/>
      <c r="AJ8" s="55" t="s">
        <v>37</v>
      </c>
      <c r="AK8" s="54">
        <f>(AM5-AN5/2)*3</f>
        <v>7845</v>
      </c>
      <c r="AL8" s="54">
        <f>(AM5+AN5/2)*3</f>
        <v>7860</v>
      </c>
      <c r="AM8" s="10" t="s">
        <v>9</v>
      </c>
      <c r="AN8" s="10" t="s">
        <v>9</v>
      </c>
      <c r="AO8" s="87" t="s">
        <v>35</v>
      </c>
      <c r="AP8" s="88"/>
      <c r="AQ8" s="89"/>
      <c r="AR8" s="75"/>
      <c r="AS8" s="55" t="s">
        <v>37</v>
      </c>
      <c r="AT8" s="54">
        <f>((AV5-(INT((AW5*5)/2)-0.5)*0.18)-0.2)*3</f>
        <v>7712.670000000001</v>
      </c>
      <c r="AU8" s="54">
        <f>((AV5-(INT((AW5*5)/2)-0.5)*0.18)+0.2)*3</f>
        <v>7713.87</v>
      </c>
      <c r="AV8" s="10" t="s">
        <v>9</v>
      </c>
      <c r="AW8" s="10" t="s">
        <v>9</v>
      </c>
      <c r="AX8" s="87" t="s">
        <v>35</v>
      </c>
      <c r="AY8" s="88"/>
      <c r="AZ8" s="89"/>
      <c r="BA8" s="75"/>
      <c r="BB8" s="55" t="s">
        <v>37</v>
      </c>
      <c r="BC8" s="54">
        <f>((BE5+(INT((BF5*5)/2)-0.5)*0.18)-0.2)*3</f>
        <v>7856.13</v>
      </c>
      <c r="BD8" s="54">
        <f>((BE5+(INT((BF5*5)/2)-0.5)*0.18)+0.2)*3</f>
        <v>7857.329999999999</v>
      </c>
      <c r="BE8" s="10" t="s">
        <v>9</v>
      </c>
      <c r="BF8" s="10" t="s">
        <v>9</v>
      </c>
      <c r="BG8" s="87" t="s">
        <v>35</v>
      </c>
      <c r="BH8" s="88"/>
      <c r="BI8" s="89"/>
      <c r="BJ8" s="75"/>
      <c r="BK8" s="55" t="s">
        <v>37</v>
      </c>
      <c r="BL8" s="54">
        <f>(BN5-BO5/2)*3</f>
        <v>7710</v>
      </c>
      <c r="BM8" s="54">
        <f>(BN5+BO5/2)*3</f>
        <v>7770</v>
      </c>
      <c r="BN8" s="10" t="s">
        <v>9</v>
      </c>
      <c r="BO8" s="10" t="s">
        <v>9</v>
      </c>
      <c r="BP8" s="87" t="s">
        <v>35</v>
      </c>
      <c r="BQ8" s="88"/>
      <c r="BR8" s="89"/>
      <c r="BS8" s="75"/>
      <c r="BT8" s="55" t="s">
        <v>37</v>
      </c>
      <c r="BU8" s="54">
        <f>(BW5-BX5/2)*3</f>
        <v>7800</v>
      </c>
      <c r="BV8" s="54">
        <f>(BW5+BX5/2)*3</f>
        <v>7860</v>
      </c>
      <c r="BW8" s="10" t="s">
        <v>9</v>
      </c>
      <c r="BX8" s="10" t="s">
        <v>9</v>
      </c>
      <c r="BY8" s="87" t="s">
        <v>35</v>
      </c>
      <c r="BZ8" s="88"/>
      <c r="CA8" s="89"/>
      <c r="CB8" s="75"/>
      <c r="CC8" s="55" t="s">
        <v>37</v>
      </c>
    </row>
    <row r="9" spans="1:81" ht="15">
      <c r="A9" s="54">
        <f>((C5-INT((D5*5)/2)*0.18)-0.2)*4</f>
        <v>10280.560000000001</v>
      </c>
      <c r="B9" s="54">
        <f>((C5-INT((D5*5)/2)*0.18)+0.2)*4</f>
        <v>10282.16</v>
      </c>
      <c r="C9" s="10" t="s">
        <v>9</v>
      </c>
      <c r="D9" s="10" t="s">
        <v>9</v>
      </c>
      <c r="E9" s="90" t="s">
        <v>35</v>
      </c>
      <c r="F9" s="90"/>
      <c r="G9" s="90"/>
      <c r="H9" s="75"/>
      <c r="I9" s="55" t="s">
        <v>38</v>
      </c>
      <c r="J9" s="54">
        <f>((L5-INT((M5*5)/2)*0.18)-0.2)*4</f>
        <v>10370.560000000001</v>
      </c>
      <c r="K9" s="54">
        <f>((L5-INT((M5*5)/2)*0.18)+0.2)*4</f>
        <v>10372.16</v>
      </c>
      <c r="L9" s="10" t="s">
        <v>9</v>
      </c>
      <c r="M9" s="10" t="s">
        <v>9</v>
      </c>
      <c r="N9" s="90" t="s">
        <v>35</v>
      </c>
      <c r="O9" s="90"/>
      <c r="P9" s="90"/>
      <c r="Q9" s="75"/>
      <c r="R9" s="55" t="s">
        <v>38</v>
      </c>
      <c r="S9" s="54">
        <f>((U5+INT((V5*5)/2)*0.18)-0.2)*4</f>
        <v>10477.84</v>
      </c>
      <c r="T9" s="54">
        <f>((U5+INT((V5*5)/2)*0.18)+0.2)*4</f>
        <v>10479.439999999999</v>
      </c>
      <c r="U9" s="10" t="s">
        <v>9</v>
      </c>
      <c r="V9" s="10" t="s">
        <v>9</v>
      </c>
      <c r="W9" s="90" t="s">
        <v>35</v>
      </c>
      <c r="X9" s="90"/>
      <c r="Y9" s="90"/>
      <c r="Z9" s="75"/>
      <c r="AA9" s="55" t="s">
        <v>38</v>
      </c>
      <c r="AB9" s="54">
        <f>(AD5-AE5/2)*4</f>
        <v>10280</v>
      </c>
      <c r="AC9" s="54">
        <f>(AD5+AE5/2)*4</f>
        <v>10300</v>
      </c>
      <c r="AD9" s="10" t="s">
        <v>9</v>
      </c>
      <c r="AE9" s="10" t="s">
        <v>9</v>
      </c>
      <c r="AF9" s="90" t="s">
        <v>35</v>
      </c>
      <c r="AG9" s="90"/>
      <c r="AH9" s="90"/>
      <c r="AI9" s="75"/>
      <c r="AJ9" s="55" t="s">
        <v>38</v>
      </c>
      <c r="AK9" s="54">
        <f>(AM5-AN5/2)*4</f>
        <v>10460</v>
      </c>
      <c r="AL9" s="54">
        <f>(AM5+AN5/2)*4</f>
        <v>10480</v>
      </c>
      <c r="AM9" s="10" t="s">
        <v>9</v>
      </c>
      <c r="AN9" s="10" t="s">
        <v>9</v>
      </c>
      <c r="AO9" s="90" t="s">
        <v>35</v>
      </c>
      <c r="AP9" s="90"/>
      <c r="AQ9" s="90"/>
      <c r="AR9" s="75"/>
      <c r="AS9" s="55" t="s">
        <v>38</v>
      </c>
      <c r="AT9" s="54">
        <f>((AV5-(INT((AW5*5)/2)-0.5)*0.18)-0.2)*4</f>
        <v>10283.560000000001</v>
      </c>
      <c r="AU9" s="54">
        <f>((AV5-(INT((AW5*5)/2)-0.5)*0.18)+0.2)*4</f>
        <v>10285.16</v>
      </c>
      <c r="AV9" s="10" t="s">
        <v>9</v>
      </c>
      <c r="AW9" s="10" t="s">
        <v>9</v>
      </c>
      <c r="AX9" s="90" t="s">
        <v>35</v>
      </c>
      <c r="AY9" s="90"/>
      <c r="AZ9" s="90"/>
      <c r="BA9" s="75"/>
      <c r="BB9" s="55" t="s">
        <v>38</v>
      </c>
      <c r="BC9" s="54">
        <f>((BE5+(INT((BF5*5)/2)-0.5)*0.18)-0.2)*4</f>
        <v>10474.84</v>
      </c>
      <c r="BD9" s="54">
        <f>((BE5+(INT((BF5*5)/2)-0.5)*0.18)+0.2)*4</f>
        <v>10476.439999999999</v>
      </c>
      <c r="BE9" s="10" t="s">
        <v>9</v>
      </c>
      <c r="BF9" s="10" t="s">
        <v>9</v>
      </c>
      <c r="BG9" s="90" t="s">
        <v>35</v>
      </c>
      <c r="BH9" s="90"/>
      <c r="BI9" s="90"/>
      <c r="BJ9" s="75"/>
      <c r="BK9" s="55" t="s">
        <v>38</v>
      </c>
      <c r="BL9" s="54">
        <f>(BN5-BO5/2)*4</f>
        <v>10280</v>
      </c>
      <c r="BM9" s="54">
        <f>(BN5+BO5/2)*4</f>
        <v>10360</v>
      </c>
      <c r="BN9" s="10" t="s">
        <v>9</v>
      </c>
      <c r="BO9" s="10" t="s">
        <v>9</v>
      </c>
      <c r="BP9" s="90" t="s">
        <v>35</v>
      </c>
      <c r="BQ9" s="90"/>
      <c r="BR9" s="90"/>
      <c r="BS9" s="75"/>
      <c r="BT9" s="55" t="s">
        <v>38</v>
      </c>
      <c r="BU9" s="54">
        <f>(BW5-BX5/2)*4</f>
        <v>10400</v>
      </c>
      <c r="BV9" s="54">
        <f>(BW5+BX5/2)*4</f>
        <v>10480</v>
      </c>
      <c r="BW9" s="10" t="s">
        <v>9</v>
      </c>
      <c r="BX9" s="10" t="s">
        <v>9</v>
      </c>
      <c r="BY9" s="90" t="s">
        <v>35</v>
      </c>
      <c r="BZ9" s="90"/>
      <c r="CA9" s="90"/>
      <c r="CB9" s="75"/>
      <c r="CC9" s="55" t="s">
        <v>38</v>
      </c>
    </row>
    <row r="10" spans="1:81" ht="14.25">
      <c r="AT10" s="54"/>
      <c r="BL10" s="56"/>
      <c r="BM10" s="56"/>
    </row>
    <row r="49" spans="1:35">
      <c r="B49" t="s">
        <v>156</v>
      </c>
      <c r="E49" t="s">
        <v>157</v>
      </c>
      <c r="H49" t="s">
        <v>158</v>
      </c>
      <c r="K49" t="s">
        <v>159</v>
      </c>
      <c r="N49" t="s">
        <v>160</v>
      </c>
      <c r="Q49" t="s">
        <v>125</v>
      </c>
      <c r="T49" t="s">
        <v>126</v>
      </c>
      <c r="W49" t="s">
        <v>127</v>
      </c>
      <c r="Z49" t="s">
        <v>128</v>
      </c>
      <c r="AC49" t="s">
        <v>129</v>
      </c>
      <c r="AF49" t="s">
        <v>130</v>
      </c>
      <c r="AI49" t="s">
        <v>131</v>
      </c>
    </row>
    <row r="50" spans="1:35">
      <c r="A50">
        <v>5140280000</v>
      </c>
      <c r="B50" s="72">
        <v>-27.36397934</v>
      </c>
      <c r="D50">
        <v>5185280000</v>
      </c>
      <c r="E50" s="72">
        <v>-28.763664250000001</v>
      </c>
      <c r="G50">
        <v>5238920000</v>
      </c>
      <c r="H50" s="72">
        <v>-31.202991489999999</v>
      </c>
      <c r="J50">
        <v>5141780000</v>
      </c>
      <c r="K50" s="72">
        <v>-26.754596710000001</v>
      </c>
      <c r="M50">
        <v>5237420000</v>
      </c>
      <c r="N50" s="72">
        <v>-30.147167209999999</v>
      </c>
      <c r="P50">
        <v>5238920000</v>
      </c>
      <c r="Q50">
        <v>-30.224941250000001</v>
      </c>
      <c r="S50">
        <v>5141780000</v>
      </c>
      <c r="T50">
        <v>-34.939342500000002</v>
      </c>
      <c r="V50">
        <v>5141780000</v>
      </c>
      <c r="W50">
        <v>-34.899192810000002</v>
      </c>
      <c r="Y50">
        <v>5141780000</v>
      </c>
      <c r="Z50">
        <v>-34.908103939999997</v>
      </c>
      <c r="AB50">
        <v>5237420000</v>
      </c>
      <c r="AC50">
        <v>-30.063350679999999</v>
      </c>
      <c r="AE50">
        <v>5237420000</v>
      </c>
      <c r="AF50">
        <v>-29.839099879999999</v>
      </c>
      <c r="AH50">
        <v>5237420000</v>
      </c>
      <c r="AI50">
        <v>-29.921775820000001</v>
      </c>
    </row>
    <row r="51" spans="1:35">
      <c r="A51">
        <v>5140281603.2064133</v>
      </c>
      <c r="B51" s="72">
        <v>-27.70990372</v>
      </c>
      <c r="D51">
        <v>5185281603.2064133</v>
      </c>
      <c r="E51" s="72">
        <v>-29.68817902</v>
      </c>
      <c r="G51">
        <v>5238921603.2064133</v>
      </c>
      <c r="H51" s="72">
        <v>-32.056980129999999</v>
      </c>
      <c r="J51">
        <v>5141781603.2064133</v>
      </c>
      <c r="K51" s="72">
        <v>-27.476047520000002</v>
      </c>
      <c r="M51">
        <v>5237421603.2064133</v>
      </c>
      <c r="N51" s="72">
        <v>-31.49291229</v>
      </c>
      <c r="P51">
        <v>5238922515.7232704</v>
      </c>
      <c r="Q51">
        <v>-31.19005585</v>
      </c>
      <c r="S51">
        <v>5141782515.7232704</v>
      </c>
      <c r="T51">
        <v>-36.215942380000001</v>
      </c>
      <c r="V51">
        <v>5141782515.7232704</v>
      </c>
      <c r="W51">
        <v>-36.14296341</v>
      </c>
      <c r="Y51">
        <v>5141782515.7232704</v>
      </c>
      <c r="Z51">
        <v>-36.182609560000003</v>
      </c>
      <c r="AB51">
        <v>5237422531.6455698</v>
      </c>
      <c r="AC51">
        <v>-31.57631683</v>
      </c>
      <c r="AE51">
        <v>5237422523.6593056</v>
      </c>
      <c r="AF51">
        <v>-31.476337430000001</v>
      </c>
      <c r="AH51">
        <v>5237422523.6593056</v>
      </c>
      <c r="AI51">
        <v>-31.50321198</v>
      </c>
    </row>
    <row r="52" spans="1:35">
      <c r="A52">
        <v>5140283206.4128265</v>
      </c>
      <c r="B52" s="72">
        <v>-27.22275162</v>
      </c>
      <c r="D52">
        <v>5185283206.4128265</v>
      </c>
      <c r="E52" s="72">
        <v>-29.305614469999998</v>
      </c>
      <c r="G52">
        <v>5238923206.4128265</v>
      </c>
      <c r="H52" s="72">
        <v>-31.669307709999998</v>
      </c>
      <c r="J52">
        <v>5141783206.4128265</v>
      </c>
      <c r="K52" s="72">
        <v>-27.059936520000001</v>
      </c>
      <c r="M52">
        <v>5237423206.4128265</v>
      </c>
      <c r="N52" s="72">
        <v>-31.12858963</v>
      </c>
      <c r="P52">
        <v>5238925031.4465408</v>
      </c>
      <c r="Q52">
        <v>-30.990821839999999</v>
      </c>
      <c r="S52">
        <v>5141785031.4465408</v>
      </c>
      <c r="T52">
        <v>-35.80275726</v>
      </c>
      <c r="V52">
        <v>5141785031.4465408</v>
      </c>
      <c r="W52">
        <v>-35.689636229999998</v>
      </c>
      <c r="Y52">
        <v>5141785031.4465408</v>
      </c>
      <c r="Z52">
        <v>-35.753654480000002</v>
      </c>
      <c r="AB52">
        <v>5237425063.2911396</v>
      </c>
      <c r="AC52">
        <v>-31.347454070000001</v>
      </c>
      <c r="AE52">
        <v>5237425047.3186111</v>
      </c>
      <c r="AF52">
        <v>-31.189064030000001</v>
      </c>
      <c r="AH52">
        <v>5237425047.3186111</v>
      </c>
      <c r="AI52">
        <v>-31.281917570000001</v>
      </c>
    </row>
    <row r="53" spans="1:35">
      <c r="A53">
        <v>5140284809.6192398</v>
      </c>
      <c r="B53" s="72">
        <v>-27.351413730000001</v>
      </c>
      <c r="D53">
        <v>5185284809.6192398</v>
      </c>
      <c r="E53" s="72">
        <v>-29.462135310000001</v>
      </c>
      <c r="G53">
        <v>5238924809.6192398</v>
      </c>
      <c r="H53" s="72">
        <v>-31.83495331</v>
      </c>
      <c r="J53">
        <v>5141784809.6192398</v>
      </c>
      <c r="K53" s="72">
        <v>-26.945682529999999</v>
      </c>
      <c r="M53">
        <v>5237424809.6192398</v>
      </c>
      <c r="N53" s="72">
        <v>-31.217433929999999</v>
      </c>
      <c r="P53">
        <v>5238927547.1698112</v>
      </c>
      <c r="Q53">
        <v>-31.114978789999999</v>
      </c>
      <c r="S53">
        <v>5141787547.1698112</v>
      </c>
      <c r="T53">
        <v>-35.804088589999999</v>
      </c>
      <c r="V53">
        <v>5141787547.1698112</v>
      </c>
      <c r="W53">
        <v>-35.682861330000001</v>
      </c>
      <c r="Y53">
        <v>5141787547.1698112</v>
      </c>
      <c r="Z53">
        <v>-35.750133509999998</v>
      </c>
      <c r="AB53">
        <v>5237427594.9367094</v>
      </c>
      <c r="AC53">
        <v>-31.558628079999998</v>
      </c>
      <c r="AE53">
        <v>5237427570.9779167</v>
      </c>
      <c r="AF53">
        <v>-31.405395510000002</v>
      </c>
      <c r="AH53">
        <v>5237427570.9779167</v>
      </c>
      <c r="AI53">
        <v>-31.492038730000001</v>
      </c>
    </row>
    <row r="54" spans="1:35">
      <c r="A54">
        <v>5140286412.8256531</v>
      </c>
      <c r="B54" s="72">
        <v>-27.917373659999999</v>
      </c>
      <c r="D54">
        <v>5185286412.8256531</v>
      </c>
      <c r="E54" s="72">
        <v>-30.038372039999999</v>
      </c>
      <c r="G54">
        <v>5238926412.8256531</v>
      </c>
      <c r="H54" s="72">
        <v>-32.302917479999998</v>
      </c>
      <c r="J54">
        <v>5141786412.8256531</v>
      </c>
      <c r="K54" s="72">
        <v>-26.2720108</v>
      </c>
      <c r="M54">
        <v>5237426412.8256531</v>
      </c>
      <c r="N54" s="72">
        <v>-30.18489456</v>
      </c>
      <c r="P54">
        <v>5238930062.8930817</v>
      </c>
      <c r="Q54">
        <v>-31.773597720000001</v>
      </c>
      <c r="S54">
        <v>5141790062.8930817</v>
      </c>
      <c r="T54">
        <v>-34.943328860000001</v>
      </c>
      <c r="V54">
        <v>5141790062.8930817</v>
      </c>
      <c r="W54">
        <v>-34.83926392</v>
      </c>
      <c r="Y54">
        <v>5141790062.8930817</v>
      </c>
      <c r="Z54">
        <v>-34.90626907</v>
      </c>
      <c r="AB54">
        <v>5237430126.5822792</v>
      </c>
      <c r="AC54">
        <v>-30.205207819999998</v>
      </c>
      <c r="AE54">
        <v>5237430094.6372223</v>
      </c>
      <c r="AF54">
        <v>-30.059234620000002</v>
      </c>
      <c r="AH54">
        <v>5237430094.6372223</v>
      </c>
      <c r="AI54">
        <v>-30.154182429999999</v>
      </c>
    </row>
    <row r="55" spans="1:35">
      <c r="A55">
        <v>5140288016.0320663</v>
      </c>
      <c r="B55" s="72">
        <v>-26.93173981</v>
      </c>
      <c r="D55">
        <v>5185288016.0320663</v>
      </c>
      <c r="E55" s="72">
        <v>-28.89831543</v>
      </c>
      <c r="G55">
        <v>5238928016.0320663</v>
      </c>
      <c r="H55" s="72">
        <v>-31.35879898</v>
      </c>
      <c r="J55">
        <v>5141788016.0320663</v>
      </c>
      <c r="K55" s="72">
        <v>-27.60611725</v>
      </c>
      <c r="M55">
        <v>5237428016.0320663</v>
      </c>
      <c r="N55" s="72">
        <v>-31.76670837</v>
      </c>
      <c r="P55">
        <v>5238932578.6163521</v>
      </c>
      <c r="Q55">
        <v>-30.15830231</v>
      </c>
      <c r="S55">
        <v>5141792578.6163521</v>
      </c>
      <c r="T55">
        <v>-36.470306399999998</v>
      </c>
      <c r="V55">
        <v>5141792578.6163521</v>
      </c>
      <c r="W55">
        <v>-36.356853489999999</v>
      </c>
      <c r="Y55">
        <v>5141792578.6163521</v>
      </c>
      <c r="Z55">
        <v>-36.411205289999998</v>
      </c>
      <c r="AB55">
        <v>5237432658.227849</v>
      </c>
      <c r="AC55">
        <v>-32.093544010000002</v>
      </c>
      <c r="AE55">
        <v>5237432618.2965279</v>
      </c>
      <c r="AF55">
        <v>-31.95333862</v>
      </c>
      <c r="AH55">
        <v>5237432618.2965279</v>
      </c>
      <c r="AI55">
        <v>-32.036373140000002</v>
      </c>
    </row>
    <row r="56" spans="1:35">
      <c r="A56">
        <v>5140289619.2384796</v>
      </c>
      <c r="B56" s="72">
        <v>-27.334400179999999</v>
      </c>
      <c r="D56">
        <v>5185289619.2384796</v>
      </c>
      <c r="E56" s="72">
        <v>-29.313400269999999</v>
      </c>
      <c r="G56">
        <v>5238929619.2384796</v>
      </c>
      <c r="H56" s="72">
        <v>-31.778419490000001</v>
      </c>
      <c r="J56">
        <v>5141789619.2384796</v>
      </c>
      <c r="K56" s="72">
        <v>-27.430541989999998</v>
      </c>
      <c r="M56">
        <v>5237429619.2384796</v>
      </c>
      <c r="N56" s="72">
        <v>-31.403785710000001</v>
      </c>
      <c r="P56">
        <v>5238935094.3396225</v>
      </c>
      <c r="Q56">
        <v>-30.829105380000001</v>
      </c>
      <c r="S56">
        <v>5141795094.3396225</v>
      </c>
      <c r="T56">
        <v>-36.06929779</v>
      </c>
      <c r="V56">
        <v>5141795094.3396225</v>
      </c>
      <c r="W56">
        <v>-35.91721725</v>
      </c>
      <c r="Y56">
        <v>5141795094.3396225</v>
      </c>
      <c r="Z56">
        <v>-35.960193629999999</v>
      </c>
      <c r="AB56">
        <v>5237435189.8734188</v>
      </c>
      <c r="AC56">
        <v>-31.468303679999998</v>
      </c>
      <c r="AE56">
        <v>5237435141.9558334</v>
      </c>
      <c r="AF56">
        <v>-31.31775665</v>
      </c>
      <c r="AH56">
        <v>5237435141.9558334</v>
      </c>
      <c r="AI56">
        <v>-31.394996639999999</v>
      </c>
    </row>
    <row r="57" spans="1:35">
      <c r="A57">
        <v>5140291222.4448929</v>
      </c>
      <c r="B57" s="72">
        <v>-27.901439669999998</v>
      </c>
      <c r="D57">
        <v>5185291222.4448929</v>
      </c>
      <c r="E57" s="72">
        <v>-30.00053406</v>
      </c>
      <c r="G57">
        <v>5238931222.4448929</v>
      </c>
      <c r="H57" s="72">
        <v>-32.395645139999999</v>
      </c>
      <c r="J57">
        <v>5141791222.4448929</v>
      </c>
      <c r="K57" s="72">
        <v>-26.659557339999999</v>
      </c>
      <c r="M57">
        <v>5237431222.4448929</v>
      </c>
      <c r="N57" s="72">
        <v>-30.753707890000001</v>
      </c>
      <c r="P57">
        <v>5238937610.0628929</v>
      </c>
      <c r="Q57">
        <v>-31.663555150000001</v>
      </c>
      <c r="S57">
        <v>5141797610.0628929</v>
      </c>
      <c r="T57">
        <v>-35.186302189999999</v>
      </c>
      <c r="V57">
        <v>5141797610.0628929</v>
      </c>
      <c r="W57">
        <v>-34.9901123</v>
      </c>
      <c r="Y57">
        <v>5141797610.0628929</v>
      </c>
      <c r="Z57">
        <v>-34.93981934</v>
      </c>
      <c r="AB57">
        <v>5237437721.5189886</v>
      </c>
      <c r="AC57">
        <v>-30.622795100000001</v>
      </c>
      <c r="AE57">
        <v>5237437665.615139</v>
      </c>
      <c r="AF57">
        <v>-30.491817470000001</v>
      </c>
      <c r="AH57">
        <v>5237437665.615139</v>
      </c>
      <c r="AI57">
        <v>-30.58670807</v>
      </c>
    </row>
    <row r="58" spans="1:35">
      <c r="A58">
        <v>5140292825.6513062</v>
      </c>
      <c r="B58" s="72">
        <v>-27.536571500000001</v>
      </c>
      <c r="D58">
        <v>5185292825.6513062</v>
      </c>
      <c r="E58" s="72">
        <v>-29.705890660000001</v>
      </c>
      <c r="G58">
        <v>5238932825.6513062</v>
      </c>
      <c r="H58" s="72">
        <v>-31.82629395</v>
      </c>
      <c r="J58">
        <v>5141792825.6513062</v>
      </c>
      <c r="K58" s="72">
        <v>-27.470260620000001</v>
      </c>
      <c r="M58">
        <v>5237432825.6513062</v>
      </c>
      <c r="N58" s="72">
        <v>-31.846290589999999</v>
      </c>
      <c r="P58">
        <v>5238940125.7861633</v>
      </c>
      <c r="Q58">
        <v>-30.936637879999999</v>
      </c>
      <c r="S58">
        <v>5141800125.7861633</v>
      </c>
      <c r="T58">
        <v>-36.494178769999998</v>
      </c>
      <c r="V58">
        <v>5141800125.7861633</v>
      </c>
      <c r="W58">
        <v>-36.452461239999998</v>
      </c>
      <c r="Y58">
        <v>5141800125.7861633</v>
      </c>
      <c r="Z58">
        <v>-36.480064390000003</v>
      </c>
      <c r="AB58">
        <v>5237440253.1645584</v>
      </c>
      <c r="AC58">
        <v>-32.426456450000003</v>
      </c>
      <c r="AE58">
        <v>5237440189.2744446</v>
      </c>
      <c r="AF58">
        <v>-32.291511540000002</v>
      </c>
      <c r="AH58">
        <v>5237440189.2744446</v>
      </c>
      <c r="AI58">
        <v>-32.379062650000002</v>
      </c>
    </row>
    <row r="59" spans="1:35">
      <c r="A59">
        <v>5140294428.8577194</v>
      </c>
      <c r="B59" s="72">
        <v>-27.002525330000001</v>
      </c>
      <c r="D59">
        <v>5185294428.8577194</v>
      </c>
      <c r="E59" s="72">
        <v>-28.965942380000001</v>
      </c>
      <c r="G59">
        <v>5238934428.8577194</v>
      </c>
      <c r="H59" s="72">
        <v>-31.391063689999999</v>
      </c>
      <c r="J59">
        <v>5141794428.8577194</v>
      </c>
      <c r="K59" s="72">
        <v>-27.505828860000001</v>
      </c>
      <c r="M59">
        <v>5237434428.8577194</v>
      </c>
      <c r="N59" s="72">
        <v>-31.93588257</v>
      </c>
      <c r="P59">
        <v>5238942641.5094337</v>
      </c>
      <c r="Q59">
        <v>-30.297798159999999</v>
      </c>
      <c r="S59">
        <v>5141802641.5094337</v>
      </c>
      <c r="T59">
        <v>-36.637046810000001</v>
      </c>
      <c r="V59">
        <v>5141802641.5094337</v>
      </c>
      <c r="W59">
        <v>-36.588226319999997</v>
      </c>
      <c r="Y59">
        <v>5141802641.5094337</v>
      </c>
      <c r="Z59">
        <v>-36.621288300000003</v>
      </c>
      <c r="AB59">
        <v>5237442784.8101282</v>
      </c>
      <c r="AC59">
        <v>-32.67185593</v>
      </c>
      <c r="AE59">
        <v>5237442712.9337502</v>
      </c>
      <c r="AF59">
        <v>-32.522361760000003</v>
      </c>
      <c r="AH59">
        <v>5237442712.9337502</v>
      </c>
      <c r="AI59">
        <v>-32.617370610000002</v>
      </c>
    </row>
    <row r="60" spans="1:35">
      <c r="A60">
        <v>5140296032.0641327</v>
      </c>
      <c r="B60" s="72">
        <v>-27.415828699999999</v>
      </c>
      <c r="D60">
        <v>5185296032.0641327</v>
      </c>
      <c r="E60" s="72">
        <v>-29.414848330000002</v>
      </c>
      <c r="G60">
        <v>5238936032.0641327</v>
      </c>
      <c r="H60" s="72">
        <v>-31.88428116</v>
      </c>
      <c r="J60">
        <v>5141796032.0641327</v>
      </c>
      <c r="K60" s="72">
        <v>-27.555660249999999</v>
      </c>
      <c r="M60">
        <v>5237436032.0641327</v>
      </c>
      <c r="N60" s="72">
        <v>-32.031764979999998</v>
      </c>
      <c r="P60">
        <v>5238945157.2327042</v>
      </c>
      <c r="Q60">
        <v>-30.757484439999999</v>
      </c>
      <c r="S60">
        <v>5141805157.2327042</v>
      </c>
      <c r="T60">
        <v>-36.518455510000003</v>
      </c>
      <c r="V60">
        <v>5141805157.2327042</v>
      </c>
      <c r="W60">
        <v>-36.474761960000002</v>
      </c>
      <c r="Y60">
        <v>5141805157.2327042</v>
      </c>
      <c r="Z60">
        <v>-36.49718094</v>
      </c>
      <c r="AB60">
        <v>5237445316.455698</v>
      </c>
      <c r="AC60">
        <v>-32.572391510000003</v>
      </c>
      <c r="AE60">
        <v>5237445236.5930557</v>
      </c>
      <c r="AF60">
        <v>-32.433189390000003</v>
      </c>
      <c r="AH60">
        <v>5237445236.5930557</v>
      </c>
      <c r="AI60">
        <v>-32.514869689999998</v>
      </c>
    </row>
    <row r="61" spans="1:35">
      <c r="A61">
        <v>5140297635.270546</v>
      </c>
      <c r="B61" s="72">
        <v>-27.39927673</v>
      </c>
      <c r="D61">
        <v>5185297635.270546</v>
      </c>
      <c r="E61" s="72">
        <v>-29.459571839999999</v>
      </c>
      <c r="G61">
        <v>5238937635.270546</v>
      </c>
      <c r="H61" s="72">
        <v>-31.960151669999998</v>
      </c>
      <c r="J61">
        <v>5141797635.270546</v>
      </c>
      <c r="K61" s="72">
        <v>-27.299251559999998</v>
      </c>
      <c r="M61">
        <v>5237437635.270546</v>
      </c>
      <c r="N61" s="72">
        <v>-31.672813420000001</v>
      </c>
      <c r="P61">
        <v>5238947672.9559746</v>
      </c>
      <c r="Q61">
        <v>-30.981334690000001</v>
      </c>
      <c r="S61">
        <v>5141807672.9559746</v>
      </c>
      <c r="T61">
        <v>-36.360420230000003</v>
      </c>
      <c r="V61">
        <v>5141807672.9559746</v>
      </c>
      <c r="W61">
        <v>-36.312561039999999</v>
      </c>
      <c r="Y61">
        <v>5141807672.9559746</v>
      </c>
      <c r="Z61">
        <v>-36.338733670000003</v>
      </c>
      <c r="AB61">
        <v>5237447848.1012678</v>
      </c>
      <c r="AC61">
        <v>-32.300285340000002</v>
      </c>
      <c r="AE61">
        <v>5237447760.2523613</v>
      </c>
      <c r="AF61">
        <v>-32.155563350000001</v>
      </c>
      <c r="AH61">
        <v>5237447760.2523613</v>
      </c>
      <c r="AI61">
        <v>-32.239337919999997</v>
      </c>
    </row>
    <row r="62" spans="1:35">
      <c r="A62">
        <v>5140299238.4769592</v>
      </c>
      <c r="B62" s="72">
        <v>-26.98485947</v>
      </c>
      <c r="D62">
        <v>5185299238.4769592</v>
      </c>
      <c r="E62" s="72">
        <v>-29.17631149</v>
      </c>
      <c r="G62">
        <v>5238939238.4769592</v>
      </c>
      <c r="H62" s="72">
        <v>-31.551685330000002</v>
      </c>
      <c r="J62">
        <v>5141799238.4769592</v>
      </c>
      <c r="K62" s="72">
        <v>-26.789649959999998</v>
      </c>
      <c r="M62">
        <v>5237439238.4769592</v>
      </c>
      <c r="N62" s="72">
        <v>-31.246471410000002</v>
      </c>
      <c r="P62">
        <v>5238950188.679245</v>
      </c>
      <c r="Q62">
        <v>-30.770660400000001</v>
      </c>
      <c r="S62">
        <v>5141810188.679245</v>
      </c>
      <c r="T62">
        <v>-35.900066379999998</v>
      </c>
      <c r="V62">
        <v>5141810188.679245</v>
      </c>
      <c r="W62">
        <v>-35.840217590000002</v>
      </c>
      <c r="Y62">
        <v>5141810188.679245</v>
      </c>
      <c r="Z62">
        <v>-35.879974369999999</v>
      </c>
      <c r="AB62">
        <v>5237450379.7468376</v>
      </c>
      <c r="AC62">
        <v>-31.889339450000001</v>
      </c>
      <c r="AE62">
        <v>5237450283.9116669</v>
      </c>
      <c r="AF62">
        <v>-31.736820219999998</v>
      </c>
      <c r="AH62">
        <v>5237450283.9116669</v>
      </c>
      <c r="AI62">
        <v>-31.829658510000002</v>
      </c>
    </row>
    <row r="63" spans="1:35">
      <c r="A63">
        <v>5140300841.6833725</v>
      </c>
      <c r="B63" s="72">
        <v>-27.71595001</v>
      </c>
      <c r="D63">
        <v>5185300841.6833725</v>
      </c>
      <c r="E63" s="72">
        <v>-29.937992099999999</v>
      </c>
      <c r="G63">
        <v>5238940841.6833725</v>
      </c>
      <c r="H63" s="72">
        <v>-32.230564119999997</v>
      </c>
      <c r="J63">
        <v>5141800841.6833725</v>
      </c>
      <c r="K63" s="72">
        <v>-26.921066280000002</v>
      </c>
      <c r="M63">
        <v>5237440841.6833725</v>
      </c>
      <c r="N63" s="72">
        <v>-31.182662959999998</v>
      </c>
      <c r="P63">
        <v>5238952704.4025154</v>
      </c>
      <c r="Q63">
        <v>-31.704494480000001</v>
      </c>
      <c r="S63">
        <v>5141812704.4025154</v>
      </c>
      <c r="T63">
        <v>-35.618743899999998</v>
      </c>
      <c r="V63">
        <v>5141812704.4025154</v>
      </c>
      <c r="W63">
        <v>-35.617317200000002</v>
      </c>
      <c r="Y63">
        <v>5141812704.4025154</v>
      </c>
      <c r="Z63">
        <v>-35.62507248</v>
      </c>
      <c r="AB63">
        <v>5237452911.3924074</v>
      </c>
      <c r="AC63">
        <v>-31.41150665</v>
      </c>
      <c r="AE63">
        <v>5237452807.5709724</v>
      </c>
      <c r="AF63">
        <v>-31.26842117</v>
      </c>
      <c r="AH63">
        <v>5237452807.5709724</v>
      </c>
      <c r="AI63">
        <v>-31.3736496</v>
      </c>
    </row>
    <row r="64" spans="1:35">
      <c r="A64">
        <v>5140302444.8897858</v>
      </c>
      <c r="B64" s="72">
        <v>-28.2815361</v>
      </c>
      <c r="D64">
        <v>5185302444.8897858</v>
      </c>
      <c r="E64" s="72">
        <v>-30.50783157</v>
      </c>
      <c r="G64">
        <v>5238942444.8897858</v>
      </c>
      <c r="H64" s="72">
        <v>-32.889583590000001</v>
      </c>
      <c r="J64">
        <v>5141802444.8897858</v>
      </c>
      <c r="K64" s="72">
        <v>-27.904747010000001</v>
      </c>
      <c r="M64">
        <v>5237442444.8897858</v>
      </c>
      <c r="N64" s="72">
        <v>-32.429386139999998</v>
      </c>
      <c r="P64">
        <v>5238955220.1257858</v>
      </c>
      <c r="Q64">
        <v>-32.276817319999999</v>
      </c>
      <c r="S64">
        <v>5141815220.1257858</v>
      </c>
      <c r="T64">
        <v>-37.117656709999999</v>
      </c>
      <c r="V64">
        <v>5141815220.1257858</v>
      </c>
      <c r="W64">
        <v>-37.060546879999997</v>
      </c>
      <c r="Y64">
        <v>5141815220.1257858</v>
      </c>
      <c r="Z64">
        <v>-37.103355409999999</v>
      </c>
      <c r="AB64">
        <v>5237455443.0379772</v>
      </c>
      <c r="AC64">
        <v>-33.228027339999997</v>
      </c>
      <c r="AE64">
        <v>5237455331.230278</v>
      </c>
      <c r="AF64">
        <v>-33.071552279999999</v>
      </c>
      <c r="AH64">
        <v>5237455331.230278</v>
      </c>
      <c r="AI64">
        <v>-33.164367679999998</v>
      </c>
    </row>
    <row r="65" spans="1:35">
      <c r="A65">
        <v>5140304048.096199</v>
      </c>
      <c r="B65" s="72">
        <v>-28.204654690000002</v>
      </c>
      <c r="D65">
        <v>5185304048.096199</v>
      </c>
      <c r="E65" s="72">
        <v>-30.37531281</v>
      </c>
      <c r="G65">
        <v>5238944048.096199</v>
      </c>
      <c r="H65" s="72">
        <v>-32.944969180000001</v>
      </c>
      <c r="J65">
        <v>5141804048.096199</v>
      </c>
      <c r="K65" s="72">
        <v>-27.78149033</v>
      </c>
      <c r="M65">
        <v>5237444048.096199</v>
      </c>
      <c r="N65" s="72">
        <v>-32.428573610000001</v>
      </c>
      <c r="P65">
        <v>5238957735.8490562</v>
      </c>
      <c r="Q65">
        <v>-32.196086880000003</v>
      </c>
      <c r="S65">
        <v>5141817735.8490562</v>
      </c>
      <c r="T65">
        <v>-36.558708189999997</v>
      </c>
      <c r="V65">
        <v>5141817735.8490562</v>
      </c>
      <c r="W65">
        <v>-36.509387969999999</v>
      </c>
      <c r="Y65">
        <v>5141817735.8490562</v>
      </c>
      <c r="Z65">
        <v>-36.547721860000003</v>
      </c>
      <c r="AB65">
        <v>5237457974.683547</v>
      </c>
      <c r="AC65">
        <v>-32.722705840000003</v>
      </c>
      <c r="AE65">
        <v>5237457854.8895836</v>
      </c>
      <c r="AF65">
        <v>-32.595222470000003</v>
      </c>
      <c r="AH65">
        <v>5237457854.8895836</v>
      </c>
      <c r="AI65">
        <v>-32.675960539999998</v>
      </c>
    </row>
    <row r="66" spans="1:35">
      <c r="A66">
        <v>5140305651.3026123</v>
      </c>
      <c r="B66" s="72">
        <v>-26.39964294</v>
      </c>
      <c r="D66">
        <v>5185305651.3026123</v>
      </c>
      <c r="E66" s="72">
        <v>-28.6239624</v>
      </c>
      <c r="G66">
        <v>5238945651.3026123</v>
      </c>
      <c r="H66" s="72">
        <v>-31.02903366</v>
      </c>
      <c r="J66">
        <v>5141805651.3026123</v>
      </c>
      <c r="K66" s="72">
        <v>-25.979057310000002</v>
      </c>
      <c r="M66">
        <v>5237445651.3026123</v>
      </c>
      <c r="N66" s="72">
        <v>-30.31553268</v>
      </c>
      <c r="P66">
        <v>5238960251.5723267</v>
      </c>
      <c r="Q66">
        <v>-30.193901060000002</v>
      </c>
      <c r="S66">
        <v>5141820251.5723267</v>
      </c>
      <c r="T66">
        <v>-34.764366150000001</v>
      </c>
      <c r="V66">
        <v>5141820251.5723267</v>
      </c>
      <c r="W66">
        <v>-34.75347137</v>
      </c>
      <c r="Y66">
        <v>5141820251.5723267</v>
      </c>
      <c r="Z66">
        <v>-34.775249479999999</v>
      </c>
      <c r="AB66">
        <v>5237460506.3291168</v>
      </c>
      <c r="AC66">
        <v>-30.661933900000001</v>
      </c>
      <c r="AE66">
        <v>5237460378.5488892</v>
      </c>
      <c r="AF66">
        <v>-30.530681609999998</v>
      </c>
      <c r="AH66">
        <v>5237460378.5488892</v>
      </c>
      <c r="AI66">
        <v>-30.606132509999998</v>
      </c>
    </row>
    <row r="67" spans="1:35">
      <c r="A67">
        <v>5140307254.5090256</v>
      </c>
      <c r="B67" s="72">
        <v>-26.956710820000001</v>
      </c>
      <c r="D67">
        <v>5185307254.5090256</v>
      </c>
      <c r="E67" s="72">
        <v>-29.15622711</v>
      </c>
      <c r="G67">
        <v>5238947254.5090256</v>
      </c>
      <c r="H67" s="72">
        <v>-31.665927889999999</v>
      </c>
      <c r="J67">
        <v>5141807254.5090256</v>
      </c>
      <c r="K67" s="72">
        <v>-26.901145939999999</v>
      </c>
      <c r="M67">
        <v>5237447254.5090256</v>
      </c>
      <c r="N67" s="72">
        <v>-31.452384949999999</v>
      </c>
      <c r="P67">
        <v>5238962767.2955971</v>
      </c>
      <c r="Q67">
        <v>-31.05487823</v>
      </c>
      <c r="S67">
        <v>5141822767.2955971</v>
      </c>
      <c r="T67">
        <v>-35.668682099999998</v>
      </c>
      <c r="V67">
        <v>5141822767.2955971</v>
      </c>
      <c r="W67">
        <v>-35.629371640000002</v>
      </c>
      <c r="Y67">
        <v>5141822767.2955971</v>
      </c>
      <c r="Z67">
        <v>-35.655353550000001</v>
      </c>
      <c r="AB67">
        <v>5237463037.9746866</v>
      </c>
      <c r="AC67">
        <v>-31.708873749999999</v>
      </c>
      <c r="AE67">
        <v>5237462902.2081947</v>
      </c>
      <c r="AF67">
        <v>-31.573127750000001</v>
      </c>
      <c r="AH67">
        <v>5237462902.2081947</v>
      </c>
      <c r="AI67">
        <v>-31.666389469999999</v>
      </c>
    </row>
    <row r="68" spans="1:35">
      <c r="A68">
        <v>5140308857.7154388</v>
      </c>
      <c r="B68" s="72">
        <v>-27.07453537</v>
      </c>
      <c r="D68">
        <v>5185308857.7154388</v>
      </c>
      <c r="E68" s="72">
        <v>-29.25693893</v>
      </c>
      <c r="G68">
        <v>5238948857.7154388</v>
      </c>
      <c r="H68" s="72">
        <v>-31.87273407</v>
      </c>
      <c r="J68">
        <v>5141808857.7154388</v>
      </c>
      <c r="K68" s="72">
        <v>-26.518981929999999</v>
      </c>
      <c r="M68">
        <v>5237448857.7154388</v>
      </c>
      <c r="N68" s="72">
        <v>-30.770965579999999</v>
      </c>
      <c r="P68">
        <v>5238965283.0188675</v>
      </c>
      <c r="Q68">
        <v>-31.241207119999999</v>
      </c>
      <c r="S68">
        <v>5141825283.0188675</v>
      </c>
      <c r="T68">
        <v>-35.17537308</v>
      </c>
      <c r="V68">
        <v>5141825283.0188675</v>
      </c>
      <c r="W68">
        <v>-35.181877139999997</v>
      </c>
      <c r="Y68">
        <v>5141825283.0188675</v>
      </c>
      <c r="Z68">
        <v>-35.193023680000003</v>
      </c>
      <c r="AB68">
        <v>5237465569.6202564</v>
      </c>
      <c r="AC68">
        <v>-30.99197388</v>
      </c>
      <c r="AE68">
        <v>5237465425.8675003</v>
      </c>
      <c r="AF68">
        <v>-30.875591279999998</v>
      </c>
      <c r="AH68">
        <v>5237465425.8675003</v>
      </c>
      <c r="AI68">
        <v>-30.941059110000001</v>
      </c>
    </row>
    <row r="69" spans="1:35">
      <c r="A69">
        <v>5140310460.9218521</v>
      </c>
      <c r="B69" s="72">
        <v>-27.770988460000002</v>
      </c>
      <c r="D69">
        <v>5185310460.9218521</v>
      </c>
      <c r="E69" s="72">
        <v>-30.003673549999998</v>
      </c>
      <c r="G69">
        <v>5238950460.9218521</v>
      </c>
      <c r="H69" s="72">
        <v>-32.407726289999999</v>
      </c>
      <c r="J69">
        <v>5141810460.9218521</v>
      </c>
      <c r="K69" s="72">
        <v>-27.555030819999999</v>
      </c>
      <c r="M69">
        <v>5237450460.9218521</v>
      </c>
      <c r="N69" s="72">
        <v>-32.083286289999997</v>
      </c>
      <c r="P69">
        <v>5238967798.7421379</v>
      </c>
      <c r="Q69">
        <v>-31.769187930000001</v>
      </c>
      <c r="S69">
        <v>5141827798.7421379</v>
      </c>
      <c r="T69">
        <v>-36.16630936</v>
      </c>
      <c r="V69">
        <v>5141827798.7421379</v>
      </c>
      <c r="W69">
        <v>-36.126220699999998</v>
      </c>
      <c r="Y69">
        <v>5141827798.7421379</v>
      </c>
      <c r="Z69">
        <v>-36.141113279999999</v>
      </c>
      <c r="AB69">
        <v>5237468101.2658262</v>
      </c>
      <c r="AC69">
        <v>-32.158744810000002</v>
      </c>
      <c r="AE69">
        <v>5237467949.5268059</v>
      </c>
      <c r="AF69">
        <v>-32.038414000000003</v>
      </c>
      <c r="AH69">
        <v>5237467949.5268059</v>
      </c>
      <c r="AI69">
        <v>-32.12490845</v>
      </c>
    </row>
    <row r="70" spans="1:35">
      <c r="A70">
        <v>5140312064.1282654</v>
      </c>
      <c r="B70" s="72">
        <v>-27.415958400000001</v>
      </c>
      <c r="D70">
        <v>5185312064.1282654</v>
      </c>
      <c r="E70" s="72">
        <v>-29.642562869999999</v>
      </c>
      <c r="G70">
        <v>5238952064.1282654</v>
      </c>
      <c r="H70" s="72">
        <v>-31.95592499</v>
      </c>
      <c r="J70">
        <v>5141812064.1282654</v>
      </c>
      <c r="K70" s="72">
        <v>-27.31206894</v>
      </c>
      <c r="M70">
        <v>5237452064.1282654</v>
      </c>
      <c r="N70" s="72">
        <v>-31.81838608</v>
      </c>
      <c r="P70">
        <v>5238970314.4654083</v>
      </c>
      <c r="Q70">
        <v>-31.22401047</v>
      </c>
      <c r="S70">
        <v>5141830314.4654083</v>
      </c>
      <c r="T70">
        <v>-36.04270554</v>
      </c>
      <c r="V70">
        <v>5141830314.4654083</v>
      </c>
      <c r="W70">
        <v>-35.947959900000001</v>
      </c>
      <c r="Y70">
        <v>5141830314.4654083</v>
      </c>
      <c r="Z70">
        <v>-36.011802670000002</v>
      </c>
      <c r="AB70">
        <v>5237470632.911396</v>
      </c>
      <c r="AC70">
        <v>-32.195213320000001</v>
      </c>
      <c r="AE70">
        <v>5237470473.1861115</v>
      </c>
      <c r="AF70">
        <v>-32.054389950000001</v>
      </c>
      <c r="AH70">
        <v>5237470473.1861115</v>
      </c>
      <c r="AI70">
        <v>-32.140453340000001</v>
      </c>
    </row>
    <row r="71" spans="1:35">
      <c r="A71">
        <v>5140313667.3346786</v>
      </c>
      <c r="B71" s="72">
        <v>-26.765754699999999</v>
      </c>
      <c r="D71">
        <v>5185313667.3346786</v>
      </c>
      <c r="E71" s="72">
        <v>-28.897792819999999</v>
      </c>
      <c r="G71">
        <v>5238953667.3346786</v>
      </c>
      <c r="H71" s="72">
        <v>-31.395435330000002</v>
      </c>
      <c r="J71">
        <v>5141813667.3346786</v>
      </c>
      <c r="K71" s="72">
        <v>-27.038349149999998</v>
      </c>
      <c r="M71">
        <v>5237453667.3346786</v>
      </c>
      <c r="N71" s="72">
        <v>-31.58420181</v>
      </c>
      <c r="P71">
        <v>5238972830.1886787</v>
      </c>
      <c r="Q71">
        <v>-30.422004699999999</v>
      </c>
      <c r="S71">
        <v>5141832830.1886787</v>
      </c>
      <c r="T71">
        <v>-36.059936520000001</v>
      </c>
      <c r="V71">
        <v>5141832830.1886787</v>
      </c>
      <c r="W71">
        <v>-35.936695100000001</v>
      </c>
      <c r="Y71">
        <v>5141832830.1886787</v>
      </c>
      <c r="Z71">
        <v>-36.01411057</v>
      </c>
      <c r="AB71">
        <v>5237473164.5569658</v>
      </c>
      <c r="AC71">
        <v>-32.139358520000002</v>
      </c>
      <c r="AE71">
        <v>5237472996.845417</v>
      </c>
      <c r="AF71">
        <v>-31.998107910000002</v>
      </c>
      <c r="AH71">
        <v>5237472996.845417</v>
      </c>
      <c r="AI71">
        <v>-32.07520676</v>
      </c>
    </row>
    <row r="72" spans="1:35">
      <c r="A72">
        <v>5140315270.5410919</v>
      </c>
      <c r="B72" s="72">
        <v>-29.364456180000001</v>
      </c>
      <c r="D72">
        <v>5185315270.5410919</v>
      </c>
      <c r="E72" s="72">
        <v>-31.71033478</v>
      </c>
      <c r="G72">
        <v>5238955270.5410919</v>
      </c>
      <c r="H72" s="72">
        <v>-34.169605259999997</v>
      </c>
      <c r="J72">
        <v>5141815270.5410919</v>
      </c>
      <c r="K72" s="72">
        <v>-26.58984375</v>
      </c>
      <c r="M72">
        <v>5237455270.5410919</v>
      </c>
      <c r="N72" s="72">
        <v>-30.987636569999999</v>
      </c>
      <c r="P72">
        <v>5238975345.9119492</v>
      </c>
      <c r="Q72">
        <v>-33.764198299999997</v>
      </c>
      <c r="S72">
        <v>5141835345.9119492</v>
      </c>
      <c r="T72">
        <v>-35.15099335</v>
      </c>
      <c r="V72">
        <v>5141835345.9119492</v>
      </c>
      <c r="W72">
        <v>-35.041542049999997</v>
      </c>
      <c r="Y72">
        <v>5141835345.9119492</v>
      </c>
      <c r="Z72">
        <v>-35.119964600000003</v>
      </c>
      <c r="AB72">
        <v>5237475696.2025356</v>
      </c>
      <c r="AC72">
        <v>-31.079677579999998</v>
      </c>
      <c r="AE72">
        <v>5237475520.5047226</v>
      </c>
      <c r="AF72">
        <v>-30.951541899999999</v>
      </c>
      <c r="AH72">
        <v>5237475520.5047226</v>
      </c>
      <c r="AI72">
        <v>-31.038234710000001</v>
      </c>
    </row>
    <row r="73" spans="1:35">
      <c r="A73">
        <v>5140316873.7475052</v>
      </c>
      <c r="B73" s="72">
        <v>-26.581184390000001</v>
      </c>
      <c r="D73">
        <v>5185316873.7475052</v>
      </c>
      <c r="E73" s="72">
        <v>-28.7857132</v>
      </c>
      <c r="G73">
        <v>5238956873.7475052</v>
      </c>
      <c r="H73" s="72">
        <v>-31.26379013</v>
      </c>
      <c r="J73">
        <v>5141816873.7475052</v>
      </c>
      <c r="K73" s="72">
        <v>-27.029121400000001</v>
      </c>
      <c r="M73">
        <v>5237456873.7475052</v>
      </c>
      <c r="N73" s="72">
        <v>-31.59710312</v>
      </c>
      <c r="P73">
        <v>5238977861.6352196</v>
      </c>
      <c r="Q73">
        <v>-30.458419800000001</v>
      </c>
      <c r="S73">
        <v>5141837861.6352196</v>
      </c>
      <c r="T73">
        <v>-36.014244079999997</v>
      </c>
      <c r="V73">
        <v>5141837861.6352196</v>
      </c>
      <c r="W73">
        <v>-35.89650726</v>
      </c>
      <c r="Y73">
        <v>5141837861.6352196</v>
      </c>
      <c r="Z73">
        <v>-35.967140200000003</v>
      </c>
      <c r="AB73">
        <v>5237478227.8481054</v>
      </c>
      <c r="AC73">
        <v>-32.094234470000004</v>
      </c>
      <c r="AE73">
        <v>5237478044.1640282</v>
      </c>
      <c r="AF73">
        <v>-31.948997500000001</v>
      </c>
      <c r="AH73">
        <v>5237478044.1640282</v>
      </c>
      <c r="AI73">
        <v>-32.037281040000003</v>
      </c>
    </row>
    <row r="74" spans="1:35">
      <c r="A74">
        <v>5140318476.9539185</v>
      </c>
      <c r="B74" s="72">
        <v>-27.34698105</v>
      </c>
      <c r="D74">
        <v>5185318476.9539185</v>
      </c>
      <c r="E74" s="72">
        <v>-29.49279022</v>
      </c>
      <c r="G74">
        <v>5238958476.9539185</v>
      </c>
      <c r="H74" s="72">
        <v>-31.905353550000001</v>
      </c>
      <c r="J74">
        <v>5141818476.9539185</v>
      </c>
      <c r="K74" s="72">
        <v>-26.8542366</v>
      </c>
      <c r="M74">
        <v>5237458476.9539185</v>
      </c>
      <c r="N74" s="72">
        <v>-31.14665222</v>
      </c>
      <c r="P74">
        <v>5238980377.35849</v>
      </c>
      <c r="Q74">
        <v>-31.093284610000001</v>
      </c>
      <c r="S74">
        <v>5141840377.35849</v>
      </c>
      <c r="T74">
        <v>-35.501625060000002</v>
      </c>
      <c r="V74">
        <v>5141840377.35849</v>
      </c>
      <c r="W74">
        <v>-35.393249509999997</v>
      </c>
      <c r="Y74">
        <v>5141840377.35849</v>
      </c>
      <c r="Z74">
        <v>-35.466987609999997</v>
      </c>
      <c r="AB74">
        <v>5237480759.4936752</v>
      </c>
      <c r="AC74">
        <v>-31.419113159999998</v>
      </c>
      <c r="AE74">
        <v>5237480567.8233337</v>
      </c>
      <c r="AF74">
        <v>-31.287193299999998</v>
      </c>
      <c r="AH74">
        <v>5237480567.8233337</v>
      </c>
      <c r="AI74">
        <v>-31.373847959999999</v>
      </c>
    </row>
    <row r="75" spans="1:35">
      <c r="A75">
        <v>5140320080.1603317</v>
      </c>
      <c r="B75" s="72">
        <v>-27.556297300000001</v>
      </c>
      <c r="D75">
        <v>5185320080.1603317</v>
      </c>
      <c r="E75" s="72">
        <v>-29.717636110000001</v>
      </c>
      <c r="G75">
        <v>5238960080.1603317</v>
      </c>
      <c r="H75" s="72">
        <v>-32.181362149999998</v>
      </c>
      <c r="J75">
        <v>5141820080.1603317</v>
      </c>
      <c r="K75" s="72">
        <v>-25.987762450000002</v>
      </c>
      <c r="M75">
        <v>5237460080.1603317</v>
      </c>
      <c r="N75" s="72">
        <v>-30.437458039999999</v>
      </c>
      <c r="P75">
        <v>5238982893.0817604</v>
      </c>
      <c r="Q75">
        <v>-31.381446839999999</v>
      </c>
      <c r="S75">
        <v>5141842893.0817604</v>
      </c>
      <c r="T75">
        <v>-34.833324429999998</v>
      </c>
      <c r="V75">
        <v>5141842893.0817604</v>
      </c>
      <c r="W75">
        <v>-34.731910710000001</v>
      </c>
      <c r="Y75">
        <v>5141842893.0817604</v>
      </c>
      <c r="Z75">
        <v>-34.80268478</v>
      </c>
      <c r="AB75">
        <v>5237483291.139245</v>
      </c>
      <c r="AC75">
        <v>-30.767738340000001</v>
      </c>
      <c r="AE75">
        <v>5237483091.4826393</v>
      </c>
      <c r="AF75">
        <v>-30.629299159999999</v>
      </c>
      <c r="AH75">
        <v>5237483091.4826393</v>
      </c>
      <c r="AI75">
        <v>-30.722576140000001</v>
      </c>
    </row>
    <row r="76" spans="1:35">
      <c r="A76">
        <v>5140321683.366745</v>
      </c>
      <c r="B76" s="72">
        <v>-26.98919296</v>
      </c>
      <c r="D76">
        <v>5185321683.366745</v>
      </c>
      <c r="E76" s="72">
        <v>-29.05516815</v>
      </c>
      <c r="G76">
        <v>5238961683.366745</v>
      </c>
      <c r="H76" s="72">
        <v>-31.706371310000002</v>
      </c>
      <c r="J76">
        <v>5141821683.366745</v>
      </c>
      <c r="K76" s="72">
        <v>-28.229011539999998</v>
      </c>
      <c r="M76">
        <v>5237461683.366745</v>
      </c>
      <c r="N76" s="72">
        <v>-32.811824799999997</v>
      </c>
      <c r="P76">
        <v>5238985408.8050308</v>
      </c>
      <c r="Q76">
        <v>-30.47732925</v>
      </c>
      <c r="S76">
        <v>5141845408.8050308</v>
      </c>
      <c r="T76">
        <v>-37.304920199999998</v>
      </c>
      <c r="V76">
        <v>5141845408.8050308</v>
      </c>
      <c r="W76">
        <v>-37.202129360000001</v>
      </c>
      <c r="Y76">
        <v>5141845408.8050308</v>
      </c>
      <c r="Z76">
        <v>-37.274925230000001</v>
      </c>
      <c r="AB76">
        <v>5237485822.7848148</v>
      </c>
      <c r="AC76">
        <v>-33.454010009999998</v>
      </c>
      <c r="AE76">
        <v>5237485615.1419449</v>
      </c>
      <c r="AF76">
        <v>-33.30608368</v>
      </c>
      <c r="AH76">
        <v>5237485615.1419449</v>
      </c>
      <c r="AI76">
        <v>-33.39802933</v>
      </c>
    </row>
    <row r="77" spans="1:35">
      <c r="A77">
        <v>5140323286.5731583</v>
      </c>
      <c r="B77" s="72">
        <v>-29.31380081</v>
      </c>
      <c r="D77">
        <v>5185323286.5731583</v>
      </c>
      <c r="E77" s="72">
        <v>-31.644729609999999</v>
      </c>
      <c r="G77">
        <v>5238963286.5731583</v>
      </c>
      <c r="H77" s="72">
        <v>-34.179428100000003</v>
      </c>
      <c r="J77">
        <v>5141823286.5731583</v>
      </c>
      <c r="K77" s="72">
        <v>-26.849426269999999</v>
      </c>
      <c r="M77">
        <v>5237463286.5731583</v>
      </c>
      <c r="N77" s="72">
        <v>-30.862648010000001</v>
      </c>
      <c r="P77">
        <v>5238987924.5283012</v>
      </c>
      <c r="Q77">
        <v>-33.686828609999999</v>
      </c>
      <c r="S77">
        <v>5141847924.5283012</v>
      </c>
      <c r="T77">
        <v>-34.877235409999997</v>
      </c>
      <c r="V77">
        <v>5141847924.5283012</v>
      </c>
      <c r="W77">
        <v>-34.792095179999997</v>
      </c>
      <c r="Y77">
        <v>5141847924.5283012</v>
      </c>
      <c r="Z77">
        <v>-34.860443119999999</v>
      </c>
      <c r="AB77">
        <v>5237488354.4303846</v>
      </c>
      <c r="AC77">
        <v>-30.48548126</v>
      </c>
      <c r="AE77">
        <v>5237488138.8012505</v>
      </c>
      <c r="AF77">
        <v>-30.375343319999999</v>
      </c>
      <c r="AH77">
        <v>5237488138.8012505</v>
      </c>
      <c r="AI77">
        <v>-30.43914032</v>
      </c>
    </row>
    <row r="78" spans="1:35">
      <c r="A78">
        <v>5140324889.7795715</v>
      </c>
      <c r="B78" s="72">
        <v>-26.53983307</v>
      </c>
      <c r="D78">
        <v>5185324889.7795715</v>
      </c>
      <c r="E78" s="72">
        <v>-28.75043488</v>
      </c>
      <c r="G78">
        <v>5238964889.7795715</v>
      </c>
      <c r="H78" s="72">
        <v>-31.2738266</v>
      </c>
      <c r="J78">
        <v>5141824889.7795715</v>
      </c>
      <c r="K78" s="72">
        <v>-26.117031099999998</v>
      </c>
      <c r="M78">
        <v>5237464889.7795715</v>
      </c>
      <c r="N78" s="72">
        <v>-30.640243529999999</v>
      </c>
      <c r="P78">
        <v>5238990440.2515717</v>
      </c>
      <c r="Q78">
        <v>-30.395767209999999</v>
      </c>
      <c r="S78">
        <v>5141850440.2515717</v>
      </c>
      <c r="T78">
        <v>-34.815143589999998</v>
      </c>
      <c r="V78">
        <v>5141850440.2515717</v>
      </c>
      <c r="W78">
        <v>-34.697105409999999</v>
      </c>
      <c r="Y78">
        <v>5141850440.2515717</v>
      </c>
      <c r="Z78">
        <v>-34.798301700000003</v>
      </c>
      <c r="AB78">
        <v>5237490886.0759544</v>
      </c>
      <c r="AC78">
        <v>-30.87924576</v>
      </c>
      <c r="AE78">
        <v>5237490662.460556</v>
      </c>
      <c r="AF78">
        <v>-30.75489044</v>
      </c>
      <c r="AH78">
        <v>5237490662.460556</v>
      </c>
      <c r="AI78">
        <v>-30.83379364</v>
      </c>
    </row>
    <row r="79" spans="1:35">
      <c r="A79">
        <v>5140326492.9859848</v>
      </c>
      <c r="B79" s="72">
        <v>-28.523166660000001</v>
      </c>
      <c r="D79">
        <v>5185326492.9859848</v>
      </c>
      <c r="E79" s="72">
        <v>-30.688137050000002</v>
      </c>
      <c r="G79">
        <v>5238966492.9859848</v>
      </c>
      <c r="H79" s="72">
        <v>-33.171035770000003</v>
      </c>
      <c r="J79">
        <v>5141826492.9859848</v>
      </c>
      <c r="K79" s="72">
        <v>-27.56235504</v>
      </c>
      <c r="M79">
        <v>5237466492.9859848</v>
      </c>
      <c r="N79" s="72">
        <v>-32.096565249999998</v>
      </c>
      <c r="P79">
        <v>5238992955.9748421</v>
      </c>
      <c r="Q79">
        <v>-32.4996109</v>
      </c>
      <c r="S79">
        <v>5141852955.9748421</v>
      </c>
      <c r="T79">
        <v>-36.532875060000002</v>
      </c>
      <c r="V79">
        <v>5141852955.9748421</v>
      </c>
      <c r="W79">
        <v>-36.40236282</v>
      </c>
      <c r="Y79">
        <v>5141852955.9748421</v>
      </c>
      <c r="Z79">
        <v>-36.48905182</v>
      </c>
      <c r="AB79">
        <v>5237493417.7215242</v>
      </c>
      <c r="AC79">
        <v>-32.577915189999999</v>
      </c>
      <c r="AE79">
        <v>5237493186.1198616</v>
      </c>
      <c r="AF79">
        <v>-32.42325211</v>
      </c>
      <c r="AH79">
        <v>5237493186.1198616</v>
      </c>
      <c r="AI79">
        <v>-32.514759060000003</v>
      </c>
    </row>
    <row r="80" spans="1:35">
      <c r="A80">
        <v>5140328096.1923981</v>
      </c>
      <c r="B80" s="72">
        <v>-26.416801450000001</v>
      </c>
      <c r="D80">
        <v>5185328096.1923981</v>
      </c>
      <c r="E80" s="72">
        <v>-28.576709749999999</v>
      </c>
      <c r="G80">
        <v>5238968096.1923981</v>
      </c>
      <c r="H80" s="72">
        <v>-31.095329280000001</v>
      </c>
      <c r="J80">
        <v>5141828096.1923981</v>
      </c>
      <c r="K80" s="72">
        <v>-26.23806381</v>
      </c>
      <c r="M80">
        <v>5237468096.1923981</v>
      </c>
      <c r="N80" s="72">
        <v>-30.620567319999999</v>
      </c>
      <c r="P80">
        <v>5238995471.6981125</v>
      </c>
      <c r="Q80">
        <v>-30.181980129999999</v>
      </c>
      <c r="S80">
        <v>5141855471.6981125</v>
      </c>
      <c r="T80">
        <v>-34.771751399999999</v>
      </c>
      <c r="V80">
        <v>5141855471.6981125</v>
      </c>
      <c r="W80">
        <v>-34.660713200000004</v>
      </c>
      <c r="Y80">
        <v>5141855471.6981125</v>
      </c>
      <c r="Z80">
        <v>-34.754722600000001</v>
      </c>
      <c r="AB80">
        <v>5237495949.367094</v>
      </c>
      <c r="AC80">
        <v>-30.703838350000002</v>
      </c>
      <c r="AE80">
        <v>5237495709.7791672</v>
      </c>
      <c r="AF80">
        <v>-30.559215550000001</v>
      </c>
      <c r="AH80">
        <v>5237495709.7791672</v>
      </c>
      <c r="AI80">
        <v>-30.646617890000002</v>
      </c>
    </row>
    <row r="81" spans="1:35">
      <c r="A81">
        <v>5140329699.3988113</v>
      </c>
      <c r="B81" s="72">
        <v>-26.777141570000001</v>
      </c>
      <c r="D81">
        <v>5185329699.3988113</v>
      </c>
      <c r="E81" s="72">
        <v>-28.879287720000001</v>
      </c>
      <c r="G81">
        <v>5238969699.3988113</v>
      </c>
      <c r="H81" s="72">
        <v>-31.347785949999999</v>
      </c>
      <c r="J81">
        <v>5141829699.3988113</v>
      </c>
      <c r="K81" s="72">
        <v>-26.355792999999998</v>
      </c>
      <c r="M81">
        <v>5237469699.3988113</v>
      </c>
      <c r="N81" s="72">
        <v>-30.73068619</v>
      </c>
      <c r="P81">
        <v>5238997987.4213829</v>
      </c>
      <c r="Q81">
        <v>-30.240287779999999</v>
      </c>
      <c r="S81">
        <v>5141857987.4213829</v>
      </c>
      <c r="T81">
        <v>-35.047870639999999</v>
      </c>
      <c r="V81">
        <v>5141857987.4213829</v>
      </c>
      <c r="W81">
        <v>-34.924030299999998</v>
      </c>
      <c r="Y81">
        <v>5141857987.4213829</v>
      </c>
      <c r="Z81">
        <v>-35.01755524</v>
      </c>
      <c r="AB81">
        <v>5237498481.0126638</v>
      </c>
      <c r="AC81">
        <v>-30.883285520000001</v>
      </c>
      <c r="AE81">
        <v>5237498233.4384727</v>
      </c>
      <c r="AF81">
        <v>-30.747119900000001</v>
      </c>
      <c r="AH81">
        <v>5237498233.4384727</v>
      </c>
      <c r="AI81">
        <v>-30.82903671</v>
      </c>
    </row>
    <row r="82" spans="1:35">
      <c r="A82">
        <v>5140331302.6052246</v>
      </c>
      <c r="B82" s="72">
        <v>-28.93301773</v>
      </c>
      <c r="D82">
        <v>5185331302.6052246</v>
      </c>
      <c r="E82" s="72">
        <v>-31.210586549999999</v>
      </c>
      <c r="G82">
        <v>5238971302.6052246</v>
      </c>
      <c r="H82" s="72">
        <v>-33.755966190000002</v>
      </c>
      <c r="J82">
        <v>5141831302.6052246</v>
      </c>
      <c r="K82" s="72">
        <v>-27.377864840000001</v>
      </c>
      <c r="M82">
        <v>5237471302.6052246</v>
      </c>
      <c r="N82" s="72">
        <v>-31.96894073</v>
      </c>
      <c r="P82">
        <v>5239000503.1446533</v>
      </c>
      <c r="Q82">
        <v>-33.030513759999998</v>
      </c>
      <c r="S82">
        <v>5141860503.1446533</v>
      </c>
      <c r="T82">
        <v>-36.354148860000002</v>
      </c>
      <c r="V82">
        <v>5141860503.1446533</v>
      </c>
      <c r="W82">
        <v>-36.237243650000003</v>
      </c>
      <c r="Y82">
        <v>5141860503.1446533</v>
      </c>
      <c r="Z82">
        <v>-36.316303249999997</v>
      </c>
      <c r="AB82">
        <v>5237501012.6582336</v>
      </c>
      <c r="AC82">
        <v>-32.477592469999998</v>
      </c>
      <c r="AE82">
        <v>5237500757.0977783</v>
      </c>
      <c r="AF82">
        <v>-32.327877039999997</v>
      </c>
      <c r="AH82">
        <v>5237500757.0977783</v>
      </c>
      <c r="AI82">
        <v>-32.413082119999999</v>
      </c>
    </row>
    <row r="83" spans="1:35">
      <c r="A83">
        <v>5140332905.8116379</v>
      </c>
      <c r="B83" s="72">
        <v>-27.509056090000001</v>
      </c>
      <c r="D83">
        <v>5185332905.8116379</v>
      </c>
      <c r="E83" s="72">
        <v>-29.689796449999999</v>
      </c>
      <c r="G83">
        <v>5238972905.8116379</v>
      </c>
      <c r="H83" s="72">
        <v>-32.302680969999997</v>
      </c>
      <c r="J83">
        <v>5141832905.8116379</v>
      </c>
      <c r="K83" s="72">
        <v>-27.41184998</v>
      </c>
      <c r="M83">
        <v>5237472905.8116379</v>
      </c>
      <c r="N83" s="72">
        <v>-32.080158230000002</v>
      </c>
      <c r="P83">
        <v>5239003018.8679237</v>
      </c>
      <c r="Q83">
        <v>-31.56999588</v>
      </c>
      <c r="S83">
        <v>5141863018.8679237</v>
      </c>
      <c r="T83">
        <v>-36.498390200000003</v>
      </c>
      <c r="V83">
        <v>5141863018.8679237</v>
      </c>
      <c r="W83">
        <v>-36.400280000000002</v>
      </c>
      <c r="Y83">
        <v>5141863018.8679237</v>
      </c>
      <c r="Z83">
        <v>-36.476928710000003</v>
      </c>
      <c r="AB83">
        <v>5237503544.3038034</v>
      </c>
      <c r="AC83">
        <v>-32.667167659999997</v>
      </c>
      <c r="AE83">
        <v>5237503280.7570839</v>
      </c>
      <c r="AF83">
        <v>-32.520416259999998</v>
      </c>
      <c r="AH83">
        <v>5237503280.7570839</v>
      </c>
      <c r="AI83">
        <v>-32.584896090000001</v>
      </c>
    </row>
    <row r="84" spans="1:35">
      <c r="A84">
        <v>5140334509.0180511</v>
      </c>
      <c r="B84" s="72">
        <v>-28.240486149999999</v>
      </c>
      <c r="D84">
        <v>5185334509.0180511</v>
      </c>
      <c r="E84" s="72">
        <v>-30.493213650000001</v>
      </c>
      <c r="G84">
        <v>5238974509.0180511</v>
      </c>
      <c r="H84" s="72">
        <v>-33.057064060000002</v>
      </c>
      <c r="J84">
        <v>5141834509.0180511</v>
      </c>
      <c r="K84" s="72">
        <v>-27.199977870000001</v>
      </c>
      <c r="M84">
        <v>5237474509.0180511</v>
      </c>
      <c r="N84" s="72">
        <v>-31.84543991</v>
      </c>
      <c r="P84">
        <v>5239005534.5911942</v>
      </c>
      <c r="Q84">
        <v>-32.357112880000003</v>
      </c>
      <c r="S84">
        <v>5141865534.5911942</v>
      </c>
      <c r="T84">
        <v>-35.862731930000002</v>
      </c>
      <c r="V84">
        <v>5141865534.5911942</v>
      </c>
      <c r="W84">
        <v>-35.735240939999997</v>
      </c>
      <c r="Y84">
        <v>5141865534.5911942</v>
      </c>
      <c r="Z84">
        <v>-35.816730499999998</v>
      </c>
      <c r="AB84">
        <v>5237506075.9493732</v>
      </c>
      <c r="AC84">
        <v>-31.989688869999998</v>
      </c>
      <c r="AE84">
        <v>5237505804.4163895</v>
      </c>
      <c r="AF84">
        <v>-31.83316422</v>
      </c>
      <c r="AH84">
        <v>5237505804.4163895</v>
      </c>
      <c r="AI84">
        <v>-31.938869480000001</v>
      </c>
    </row>
    <row r="85" spans="1:35">
      <c r="A85">
        <v>5140336112.2244644</v>
      </c>
      <c r="B85" s="72">
        <v>-27.259197239999999</v>
      </c>
      <c r="D85">
        <v>5185336112.2244644</v>
      </c>
      <c r="E85" s="72">
        <v>-29.429069519999999</v>
      </c>
      <c r="G85">
        <v>5238976112.2244644</v>
      </c>
      <c r="H85" s="72">
        <v>-31.94893265</v>
      </c>
      <c r="J85">
        <v>5141836112.2244644</v>
      </c>
      <c r="K85" s="72">
        <v>-27.068130490000001</v>
      </c>
      <c r="M85">
        <v>5237476112.2244644</v>
      </c>
      <c r="N85" s="72">
        <v>-31.652790070000002</v>
      </c>
      <c r="P85">
        <v>5239008050.3144646</v>
      </c>
      <c r="Q85">
        <v>-31.025283810000001</v>
      </c>
      <c r="S85">
        <v>5141868050.3144646</v>
      </c>
      <c r="T85">
        <v>-36.042869570000001</v>
      </c>
      <c r="V85">
        <v>5141868050.3144646</v>
      </c>
      <c r="W85">
        <v>-35.921184539999999</v>
      </c>
      <c r="Y85">
        <v>5141868050.3144646</v>
      </c>
      <c r="Z85">
        <v>-35.99642944</v>
      </c>
      <c r="AB85">
        <v>5237508607.594943</v>
      </c>
      <c r="AC85">
        <v>-32.15094757</v>
      </c>
      <c r="AE85">
        <v>5237508328.075695</v>
      </c>
      <c r="AF85">
        <v>-32.002639770000002</v>
      </c>
      <c r="AH85">
        <v>5237508328.075695</v>
      </c>
      <c r="AI85">
        <v>-32.090583799999997</v>
      </c>
    </row>
    <row r="86" spans="1:35">
      <c r="A86">
        <v>5140337715.4308777</v>
      </c>
      <c r="B86" s="72">
        <v>-27.540035249999999</v>
      </c>
      <c r="D86">
        <v>5185337715.4308777</v>
      </c>
      <c r="E86" s="72">
        <v>-29.666393280000001</v>
      </c>
      <c r="G86">
        <v>5238977715.4308777</v>
      </c>
      <c r="H86" s="72">
        <v>-32.142894740000003</v>
      </c>
      <c r="J86">
        <v>5141837715.4308777</v>
      </c>
      <c r="K86" s="72">
        <v>-26.833614350000001</v>
      </c>
      <c r="M86">
        <v>5237477715.4308777</v>
      </c>
      <c r="N86" s="72">
        <v>-31.47258759</v>
      </c>
      <c r="P86">
        <v>5239010566.037735</v>
      </c>
      <c r="Q86">
        <v>-31.137626650000001</v>
      </c>
      <c r="S86">
        <v>5141870566.037735</v>
      </c>
      <c r="T86">
        <v>-35.831134800000001</v>
      </c>
      <c r="V86">
        <v>5141870566.037735</v>
      </c>
      <c r="W86">
        <v>-35.719524380000003</v>
      </c>
      <c r="Y86">
        <v>5141870566.037735</v>
      </c>
      <c r="Z86">
        <v>-35.796600339999998</v>
      </c>
      <c r="AB86">
        <v>5237511139.2405128</v>
      </c>
      <c r="AC86">
        <v>-31.95705414</v>
      </c>
      <c r="AE86">
        <v>5237510851.7350006</v>
      </c>
      <c r="AF86">
        <v>-31.815906519999999</v>
      </c>
      <c r="AH86">
        <v>5237510851.7350006</v>
      </c>
      <c r="AI86">
        <v>-31.89421463</v>
      </c>
    </row>
    <row r="87" spans="1:35">
      <c r="A87">
        <v>5140339318.637291</v>
      </c>
      <c r="B87" s="72">
        <v>-27.73644638</v>
      </c>
      <c r="D87">
        <v>5185339318.637291</v>
      </c>
      <c r="E87" s="72">
        <v>-29.9384613</v>
      </c>
      <c r="G87">
        <v>5238979318.637291</v>
      </c>
      <c r="H87" s="72">
        <v>-32.547267910000002</v>
      </c>
      <c r="J87">
        <v>5141839318.637291</v>
      </c>
      <c r="K87" s="72">
        <v>-26.975555419999999</v>
      </c>
      <c r="M87">
        <v>5237479318.637291</v>
      </c>
      <c r="N87" s="72">
        <v>-31.732624049999998</v>
      </c>
      <c r="P87">
        <v>5239013081.7610054</v>
      </c>
      <c r="Q87">
        <v>-31.61252975</v>
      </c>
      <c r="S87">
        <v>5141873081.7610054</v>
      </c>
      <c r="T87">
        <v>-36.038715359999998</v>
      </c>
      <c r="V87">
        <v>5141873081.7610054</v>
      </c>
      <c r="W87">
        <v>-35.907951349999998</v>
      </c>
      <c r="Y87">
        <v>5141873081.7610054</v>
      </c>
      <c r="Z87">
        <v>-35.995689390000003</v>
      </c>
      <c r="AB87">
        <v>5237513670.8860826</v>
      </c>
      <c r="AC87">
        <v>-32.221778870000001</v>
      </c>
      <c r="AE87">
        <v>5237513375.3943062</v>
      </c>
      <c r="AF87">
        <v>-32.080883030000003</v>
      </c>
      <c r="AH87">
        <v>5237513375.3943062</v>
      </c>
      <c r="AI87">
        <v>-32.162578580000002</v>
      </c>
    </row>
    <row r="88" spans="1:35">
      <c r="A88">
        <v>5140340921.8437042</v>
      </c>
      <c r="B88" s="72">
        <v>-28.39824677</v>
      </c>
      <c r="D88">
        <v>5185340921.8437042</v>
      </c>
      <c r="E88" s="72">
        <v>-30.670433039999999</v>
      </c>
      <c r="G88">
        <v>5238980921.8437042</v>
      </c>
      <c r="H88" s="72">
        <v>-33.239543910000002</v>
      </c>
      <c r="J88">
        <v>5141840921.8437042</v>
      </c>
      <c r="K88" s="72">
        <v>-27.029617309999999</v>
      </c>
      <c r="M88">
        <v>5237480921.8437042</v>
      </c>
      <c r="N88" s="72">
        <v>-31.631465909999999</v>
      </c>
      <c r="P88">
        <v>5239015597.4842758</v>
      </c>
      <c r="Q88">
        <v>-32.486183169999997</v>
      </c>
      <c r="S88">
        <v>5141875597.4842758</v>
      </c>
      <c r="T88">
        <v>-35.838878630000004</v>
      </c>
      <c r="V88">
        <v>5141875597.4842758</v>
      </c>
      <c r="W88">
        <v>-35.714740749999997</v>
      </c>
      <c r="Y88">
        <v>5141875597.4842758</v>
      </c>
      <c r="Z88">
        <v>-35.800285340000002</v>
      </c>
      <c r="AB88">
        <v>5237516202.5316525</v>
      </c>
      <c r="AC88">
        <v>-31.907585139999998</v>
      </c>
      <c r="AE88">
        <v>5237515899.0536118</v>
      </c>
      <c r="AF88">
        <v>-31.77384567</v>
      </c>
      <c r="AH88">
        <v>5237515899.0536118</v>
      </c>
      <c r="AI88">
        <v>-31.847805019999999</v>
      </c>
    </row>
    <row r="89" spans="1:35">
      <c r="A89">
        <v>5140342525.0501175</v>
      </c>
      <c r="B89" s="72">
        <v>-26.338619229999999</v>
      </c>
      <c r="D89">
        <v>5185342525.0501175</v>
      </c>
      <c r="E89" s="72">
        <v>-28.472019199999998</v>
      </c>
      <c r="G89">
        <v>5238982525.0501175</v>
      </c>
      <c r="H89" s="72">
        <v>-31.014759059999999</v>
      </c>
      <c r="J89">
        <v>5141842525.0501175</v>
      </c>
      <c r="K89" s="72">
        <v>-26.504333500000001</v>
      </c>
      <c r="M89">
        <v>5237482525.0501175</v>
      </c>
      <c r="N89" s="72">
        <v>-31.180065160000002</v>
      </c>
      <c r="P89">
        <v>5239018113.2075462</v>
      </c>
      <c r="Q89">
        <v>-30.03527832</v>
      </c>
      <c r="S89">
        <v>5141878113.2075462</v>
      </c>
      <c r="T89">
        <v>-35.4761734</v>
      </c>
      <c r="V89">
        <v>5141878113.2075462</v>
      </c>
      <c r="W89">
        <v>-35.36193085</v>
      </c>
      <c r="Y89">
        <v>5141878113.2075462</v>
      </c>
      <c r="Z89">
        <v>-35.445667270000001</v>
      </c>
      <c r="AB89">
        <v>5237518734.1772223</v>
      </c>
      <c r="AC89">
        <v>-31.594581600000001</v>
      </c>
      <c r="AE89">
        <v>5237518422.7129173</v>
      </c>
      <c r="AF89">
        <v>-31.455524440000001</v>
      </c>
      <c r="AH89">
        <v>5237518422.7129173</v>
      </c>
      <c r="AI89">
        <v>-31.538852689999999</v>
      </c>
    </row>
    <row r="90" spans="1:35">
      <c r="A90">
        <v>5140344128.2565308</v>
      </c>
      <c r="B90" s="72">
        <v>-26.454296110000001</v>
      </c>
      <c r="D90">
        <v>5185344128.2565308</v>
      </c>
      <c r="E90" s="72">
        <v>-28.710060120000001</v>
      </c>
      <c r="G90">
        <v>5238984128.2565308</v>
      </c>
      <c r="H90" s="72">
        <v>-31.31568146</v>
      </c>
      <c r="J90">
        <v>5141844128.2565308</v>
      </c>
      <c r="K90" s="72">
        <v>-25.400741579999998</v>
      </c>
      <c r="M90">
        <v>5237484128.2565308</v>
      </c>
      <c r="N90" s="72">
        <v>-29.945873259999999</v>
      </c>
      <c r="P90">
        <v>5239020628.9308167</v>
      </c>
      <c r="Q90">
        <v>-30.49274445</v>
      </c>
      <c r="S90">
        <v>5141880628.9308167</v>
      </c>
      <c r="T90">
        <v>-33.953662870000002</v>
      </c>
      <c r="V90">
        <v>5141880628.9308167</v>
      </c>
      <c r="W90">
        <v>-33.823314670000002</v>
      </c>
      <c r="Y90">
        <v>5141880628.9308167</v>
      </c>
      <c r="Z90">
        <v>-33.909942630000003</v>
      </c>
      <c r="AB90">
        <v>5237521265.8227921</v>
      </c>
      <c r="AC90">
        <v>-29.999458310000001</v>
      </c>
      <c r="AE90">
        <v>5237520946.3722229</v>
      </c>
      <c r="AF90">
        <v>-29.854747769999999</v>
      </c>
      <c r="AH90">
        <v>5237520946.3722229</v>
      </c>
      <c r="AI90">
        <v>-29.94451141</v>
      </c>
    </row>
    <row r="91" spans="1:35">
      <c r="A91">
        <v>5140345731.462944</v>
      </c>
      <c r="B91" s="72">
        <v>-27.776603699999999</v>
      </c>
      <c r="D91">
        <v>5185345731.462944</v>
      </c>
      <c r="E91" s="72">
        <v>-30.1043129</v>
      </c>
      <c r="G91">
        <v>5238985731.462944</v>
      </c>
      <c r="H91" s="72">
        <v>-32.62772751</v>
      </c>
      <c r="J91">
        <v>5141845731.462944</v>
      </c>
      <c r="K91" s="72">
        <v>-27.308795929999999</v>
      </c>
      <c r="M91">
        <v>5237485731.462944</v>
      </c>
      <c r="N91" s="72">
        <v>-31.944416050000001</v>
      </c>
      <c r="P91">
        <v>5239023144.6540871</v>
      </c>
      <c r="Q91">
        <v>-31.85013962</v>
      </c>
      <c r="S91">
        <v>5141883144.6540871</v>
      </c>
      <c r="T91">
        <v>-36.214607239999999</v>
      </c>
      <c r="V91">
        <v>5141883144.6540871</v>
      </c>
      <c r="W91">
        <v>-36.091606140000003</v>
      </c>
      <c r="Y91">
        <v>5141883144.6540871</v>
      </c>
      <c r="Z91">
        <v>-36.171184539999999</v>
      </c>
      <c r="AB91">
        <v>5237523797.4683619</v>
      </c>
      <c r="AC91">
        <v>-32.317527769999998</v>
      </c>
      <c r="AE91">
        <v>5237523470.0315285</v>
      </c>
      <c r="AF91">
        <v>-32.17838287</v>
      </c>
      <c r="AH91">
        <v>5237523470.0315285</v>
      </c>
      <c r="AI91">
        <v>-32.261344909999998</v>
      </c>
    </row>
    <row r="92" spans="1:35">
      <c r="A92">
        <v>5140347334.6693573</v>
      </c>
      <c r="B92" s="72">
        <v>-26.90953064</v>
      </c>
      <c r="D92">
        <v>5185347334.6693573</v>
      </c>
      <c r="E92" s="72">
        <v>-29.155681609999998</v>
      </c>
      <c r="G92">
        <v>5238987334.6693573</v>
      </c>
      <c r="H92" s="72">
        <v>-31.451107029999999</v>
      </c>
      <c r="J92">
        <v>5141847334.6693573</v>
      </c>
      <c r="K92" s="72">
        <v>-26.36809921</v>
      </c>
      <c r="M92">
        <v>5237487334.6693573</v>
      </c>
      <c r="N92" s="72">
        <v>-30.80012894</v>
      </c>
      <c r="P92">
        <v>5239025660.3773575</v>
      </c>
      <c r="Q92">
        <v>-30.683975220000001</v>
      </c>
      <c r="S92">
        <v>5141885660.3773575</v>
      </c>
      <c r="T92">
        <v>-34.888221739999999</v>
      </c>
      <c r="V92">
        <v>5141885660.3773575</v>
      </c>
      <c r="W92">
        <v>-34.768714899999999</v>
      </c>
      <c r="Y92">
        <v>5141885660.3773575</v>
      </c>
      <c r="Z92">
        <v>-34.862548830000001</v>
      </c>
      <c r="AB92">
        <v>5237526329.1139317</v>
      </c>
      <c r="AC92">
        <v>-30.754562379999999</v>
      </c>
      <c r="AE92">
        <v>5237525993.690834</v>
      </c>
      <c r="AF92">
        <v>-30.61757278</v>
      </c>
      <c r="AH92">
        <v>5237525993.690834</v>
      </c>
      <c r="AI92">
        <v>-30.714927670000002</v>
      </c>
    </row>
    <row r="93" spans="1:35">
      <c r="A93">
        <v>5140348937.8757706</v>
      </c>
      <c r="B93" s="72">
        <v>-27.171493529999999</v>
      </c>
      <c r="D93">
        <v>5185348937.8757706</v>
      </c>
      <c r="E93" s="72">
        <v>-29.475879670000001</v>
      </c>
      <c r="G93">
        <v>5238988937.8757706</v>
      </c>
      <c r="H93" s="72">
        <v>-31.945255280000001</v>
      </c>
      <c r="J93">
        <v>5141848937.8757706</v>
      </c>
      <c r="K93" s="72">
        <v>-26.92392349</v>
      </c>
      <c r="M93">
        <v>5237488937.8757706</v>
      </c>
      <c r="N93" s="72">
        <v>-31.258640289999999</v>
      </c>
      <c r="P93">
        <v>5239028176.1006279</v>
      </c>
      <c r="Q93">
        <v>-31.338794709999998</v>
      </c>
      <c r="S93">
        <v>5141888176.1006279</v>
      </c>
      <c r="T93">
        <v>-35.474113459999998</v>
      </c>
      <c r="V93">
        <v>5141888176.1006279</v>
      </c>
      <c r="W93">
        <v>-35.371513370000002</v>
      </c>
      <c r="Y93">
        <v>5141888176.1006279</v>
      </c>
      <c r="Z93">
        <v>-35.451988219999997</v>
      </c>
      <c r="AB93">
        <v>5237528860.7595015</v>
      </c>
      <c r="AC93">
        <v>-31.370765689999999</v>
      </c>
      <c r="AE93">
        <v>5237528517.3501396</v>
      </c>
      <c r="AF93">
        <v>-31.234020229999999</v>
      </c>
      <c r="AH93">
        <v>5237528517.3501396</v>
      </c>
      <c r="AI93">
        <v>-31.310207370000001</v>
      </c>
    </row>
    <row r="94" spans="1:35">
      <c r="A94">
        <v>5140350541.0821838</v>
      </c>
      <c r="B94" s="72">
        <v>-26.931957239999999</v>
      </c>
      <c r="D94">
        <v>5185350541.0821838</v>
      </c>
      <c r="E94" s="72">
        <v>-29.30150604</v>
      </c>
      <c r="G94">
        <v>5238990541.0821838</v>
      </c>
      <c r="H94" s="72">
        <v>-31.768665309999999</v>
      </c>
      <c r="J94">
        <v>5141850541.0821838</v>
      </c>
      <c r="K94" s="72">
        <v>-26.740272520000001</v>
      </c>
      <c r="M94">
        <v>5237490541.0821838</v>
      </c>
      <c r="N94" s="72">
        <v>-31.382465360000001</v>
      </c>
      <c r="P94">
        <v>5239030691.8238983</v>
      </c>
      <c r="Q94">
        <v>-30.92681885</v>
      </c>
      <c r="S94">
        <v>5141890691.8238983</v>
      </c>
      <c r="T94">
        <v>-35.484901430000001</v>
      </c>
      <c r="V94">
        <v>5141890691.8238983</v>
      </c>
      <c r="W94">
        <v>-35.350730900000002</v>
      </c>
      <c r="Y94">
        <v>5141890691.8238983</v>
      </c>
      <c r="Z94">
        <v>-35.443756100000002</v>
      </c>
      <c r="AB94">
        <v>5237531392.4050713</v>
      </c>
      <c r="AC94">
        <v>-31.612091060000001</v>
      </c>
      <c r="AE94">
        <v>5237531041.0094452</v>
      </c>
      <c r="AF94">
        <v>-31.465599059999999</v>
      </c>
      <c r="AH94">
        <v>5237531041.0094452</v>
      </c>
      <c r="AI94">
        <v>-31.56497955</v>
      </c>
    </row>
    <row r="95" spans="1:35">
      <c r="A95">
        <v>5140352144.2885971</v>
      </c>
      <c r="B95" s="72">
        <v>-27.134944919999999</v>
      </c>
      <c r="D95">
        <v>5185352144.2885971</v>
      </c>
      <c r="E95" s="72">
        <v>-28.914161679999999</v>
      </c>
      <c r="G95">
        <v>5238992144.2885971</v>
      </c>
      <c r="H95" s="72">
        <v>-30.65123749</v>
      </c>
      <c r="J95">
        <v>5141852144.2885971</v>
      </c>
      <c r="K95" s="72">
        <v>-25.960128780000002</v>
      </c>
      <c r="M95">
        <v>5237492144.2885971</v>
      </c>
      <c r="N95" s="72">
        <v>-29.528415679999998</v>
      </c>
      <c r="P95">
        <v>5239033207.5471687</v>
      </c>
      <c r="Q95">
        <v>-30.071018219999999</v>
      </c>
      <c r="S95">
        <v>5141893207.5471687</v>
      </c>
      <c r="T95">
        <v>-34.190288539999997</v>
      </c>
      <c r="V95">
        <v>5141893207.5471687</v>
      </c>
      <c r="W95">
        <v>-34.238212590000003</v>
      </c>
      <c r="Y95">
        <v>5141893207.5471687</v>
      </c>
      <c r="Z95">
        <v>-34.260051730000001</v>
      </c>
      <c r="AB95">
        <v>5237533924.0506411</v>
      </c>
      <c r="AC95">
        <v>-29.24199677</v>
      </c>
      <c r="AE95">
        <v>5237533564.6687508</v>
      </c>
      <c r="AF95">
        <v>-29.248405460000001</v>
      </c>
      <c r="AH95">
        <v>5237533564.6687508</v>
      </c>
      <c r="AI95">
        <v>-29.300048830000001</v>
      </c>
    </row>
    <row r="96" spans="1:35">
      <c r="A96">
        <v>5140353747.4950104</v>
      </c>
      <c r="B96" s="72">
        <v>-26.18535614</v>
      </c>
      <c r="D96">
        <v>5185353747.4950104</v>
      </c>
      <c r="E96" s="72">
        <v>-28.168003079999998</v>
      </c>
      <c r="G96">
        <v>5238993747.4950104</v>
      </c>
      <c r="H96" s="72">
        <v>-30.050724030000001</v>
      </c>
      <c r="J96">
        <v>5141853747.4950104</v>
      </c>
      <c r="K96" s="72">
        <v>-26.9341507</v>
      </c>
      <c r="M96">
        <v>5237493747.4950104</v>
      </c>
      <c r="N96" s="72">
        <v>-30.85395432</v>
      </c>
      <c r="P96">
        <v>5239035723.2704391</v>
      </c>
      <c r="Q96">
        <v>-29.185871120000002</v>
      </c>
      <c r="S96">
        <v>5141895723.2704391</v>
      </c>
      <c r="T96">
        <v>-35.597461699999997</v>
      </c>
      <c r="V96">
        <v>5141895723.2704391</v>
      </c>
      <c r="W96">
        <v>-35.627563479999999</v>
      </c>
      <c r="Y96">
        <v>5141895723.2704391</v>
      </c>
      <c r="Z96">
        <v>-35.67944336</v>
      </c>
      <c r="AB96">
        <v>5237536455.6962109</v>
      </c>
      <c r="AC96">
        <v>-30.81001663</v>
      </c>
      <c r="AE96">
        <v>5237536088.3280563</v>
      </c>
      <c r="AF96">
        <v>-30.86277771</v>
      </c>
      <c r="AH96">
        <v>5237536088.3280563</v>
      </c>
      <c r="AI96">
        <v>-30.927768709999999</v>
      </c>
    </row>
    <row r="97" spans="1:35">
      <c r="A97">
        <v>5140355350.7014236</v>
      </c>
      <c r="B97" s="72">
        <v>-27.093334200000001</v>
      </c>
      <c r="D97">
        <v>5185355350.7014236</v>
      </c>
      <c r="E97" s="72">
        <v>-29.34295273</v>
      </c>
      <c r="G97">
        <v>5238995350.7014236</v>
      </c>
      <c r="H97" s="72">
        <v>-30.964015960000001</v>
      </c>
      <c r="J97">
        <v>5141855350.7014236</v>
      </c>
      <c r="K97" s="72">
        <v>-27.177188869999998</v>
      </c>
      <c r="M97">
        <v>5237495350.7014236</v>
      </c>
      <c r="N97" s="72">
        <v>-31.271209720000002</v>
      </c>
      <c r="P97">
        <v>5239038238.9937096</v>
      </c>
      <c r="Q97">
        <v>-30.8176384</v>
      </c>
      <c r="S97">
        <v>5141898238.9937096</v>
      </c>
      <c r="T97">
        <v>-35.899192810000002</v>
      </c>
      <c r="V97">
        <v>5141898238.9937096</v>
      </c>
      <c r="W97">
        <v>-35.993663789999999</v>
      </c>
      <c r="Y97">
        <v>5141898238.9937096</v>
      </c>
      <c r="Z97">
        <v>-36.015953060000001</v>
      </c>
      <c r="AB97">
        <v>5237538987.3417807</v>
      </c>
      <c r="AC97">
        <v>-31.417308810000002</v>
      </c>
      <c r="AE97">
        <v>5237538611.9873619</v>
      </c>
      <c r="AF97">
        <v>-31.466999049999998</v>
      </c>
      <c r="AH97">
        <v>5237538611.9873619</v>
      </c>
      <c r="AI97">
        <v>-31.4605751</v>
      </c>
    </row>
    <row r="98" spans="1:35">
      <c r="A98">
        <v>5140356953.9078369</v>
      </c>
      <c r="B98" s="72">
        <v>-26.121532439999999</v>
      </c>
      <c r="D98">
        <v>5185356953.9078369</v>
      </c>
      <c r="E98" s="72">
        <v>-28.354999540000001</v>
      </c>
      <c r="G98">
        <v>5238996953.9078369</v>
      </c>
      <c r="H98" s="72">
        <v>-30.036396029999999</v>
      </c>
      <c r="J98">
        <v>5141856953.9078369</v>
      </c>
      <c r="K98" s="72">
        <v>-25.784664150000001</v>
      </c>
      <c r="M98">
        <v>5237496953.9078369</v>
      </c>
      <c r="N98" s="72">
        <v>-30.06502914</v>
      </c>
      <c r="P98">
        <v>5239040754.71698</v>
      </c>
      <c r="Q98">
        <v>-29.67788315</v>
      </c>
      <c r="S98">
        <v>5141900754.71698</v>
      </c>
      <c r="T98">
        <v>-34.495159149999999</v>
      </c>
      <c r="V98">
        <v>5141900754.71698</v>
      </c>
      <c r="W98">
        <v>-34.588481899999998</v>
      </c>
      <c r="Y98">
        <v>5141900754.71698</v>
      </c>
      <c r="Z98">
        <v>-34.592510220000001</v>
      </c>
      <c r="AB98">
        <v>5237541518.9873505</v>
      </c>
      <c r="AC98">
        <v>-30.21628952</v>
      </c>
      <c r="AE98">
        <v>5237541135.6466675</v>
      </c>
      <c r="AF98">
        <v>-30.289817809999999</v>
      </c>
      <c r="AH98">
        <v>5237541135.6466675</v>
      </c>
      <c r="AI98">
        <v>-30.27705765</v>
      </c>
    </row>
    <row r="99" spans="1:35">
      <c r="A99">
        <v>5140358557.1142502</v>
      </c>
      <c r="B99" s="72">
        <v>-27.441589359999998</v>
      </c>
      <c r="D99">
        <v>5185358557.1142502</v>
      </c>
      <c r="E99" s="72">
        <v>-29.610206600000001</v>
      </c>
      <c r="G99">
        <v>5238998557.1142502</v>
      </c>
      <c r="H99" s="72">
        <v>-31.177078250000001</v>
      </c>
      <c r="J99">
        <v>5141858557.1142502</v>
      </c>
      <c r="K99" s="72">
        <v>-26.292964940000001</v>
      </c>
      <c r="M99">
        <v>5237498557.1142502</v>
      </c>
      <c r="N99" s="72">
        <v>-30.211929319999999</v>
      </c>
      <c r="P99">
        <v>5239043270.4402504</v>
      </c>
      <c r="Q99">
        <v>-31.088237759999998</v>
      </c>
      <c r="S99">
        <v>5141903270.4402504</v>
      </c>
      <c r="T99">
        <v>-34.873119350000003</v>
      </c>
      <c r="V99">
        <v>5141903270.4402504</v>
      </c>
      <c r="W99">
        <v>-34.989959720000002</v>
      </c>
      <c r="Y99">
        <v>5141903270.4402504</v>
      </c>
      <c r="Z99">
        <v>-35.01330566</v>
      </c>
      <c r="AB99">
        <v>5237544050.6329203</v>
      </c>
      <c r="AC99">
        <v>-30.102760310000001</v>
      </c>
      <c r="AE99">
        <v>5237543659.3059731</v>
      </c>
      <c r="AF99">
        <v>-30.161952970000002</v>
      </c>
      <c r="AH99">
        <v>5237543659.3059731</v>
      </c>
      <c r="AI99">
        <v>-30.158985139999999</v>
      </c>
    </row>
    <row r="100" spans="1:35">
      <c r="A100">
        <v>5140360160.3206635</v>
      </c>
      <c r="B100" s="72">
        <v>-26.606399540000002</v>
      </c>
      <c r="D100">
        <v>5185360160.3206635</v>
      </c>
      <c r="E100" s="72">
        <v>-28.839839940000001</v>
      </c>
      <c r="G100">
        <v>5239000160.3206635</v>
      </c>
      <c r="H100" s="72">
        <v>-30.653026579999999</v>
      </c>
      <c r="J100">
        <v>5141860160.3206635</v>
      </c>
      <c r="K100" s="72">
        <v>-26.642921449999999</v>
      </c>
      <c r="M100">
        <v>5237500160.3206635</v>
      </c>
      <c r="N100" s="72">
        <v>-30.83126068</v>
      </c>
      <c r="P100">
        <v>5239045786.1635208</v>
      </c>
      <c r="Q100">
        <v>-29.739589689999999</v>
      </c>
      <c r="S100">
        <v>5141905786.1635208</v>
      </c>
      <c r="T100">
        <v>-35.300403590000002</v>
      </c>
      <c r="V100">
        <v>5141905786.1635208</v>
      </c>
      <c r="W100">
        <v>-35.378673550000002</v>
      </c>
      <c r="Y100">
        <v>5141905786.1635208</v>
      </c>
      <c r="Z100">
        <v>-35.401771549999999</v>
      </c>
      <c r="AB100">
        <v>5237546582.2784901</v>
      </c>
      <c r="AC100">
        <v>-30.918434139999999</v>
      </c>
      <c r="AE100">
        <v>5237546182.9652786</v>
      </c>
      <c r="AF100">
        <v>-30.981212620000001</v>
      </c>
      <c r="AH100">
        <v>5237546182.9652786</v>
      </c>
      <c r="AI100">
        <v>-30.985347749999999</v>
      </c>
    </row>
    <row r="101" spans="1:35">
      <c r="A101">
        <v>5140361763.5270767</v>
      </c>
      <c r="B101" s="72">
        <v>-27.981140140000001</v>
      </c>
      <c r="D101">
        <v>5185361763.5270767</v>
      </c>
      <c r="E101" s="72">
        <v>-30.10973358</v>
      </c>
      <c r="G101">
        <v>5239001763.5270767</v>
      </c>
      <c r="H101" s="72">
        <v>-31.84476089</v>
      </c>
      <c r="J101">
        <v>5141861763.5270767</v>
      </c>
      <c r="K101" s="72">
        <v>-26.759685520000001</v>
      </c>
      <c r="M101">
        <v>5237501763.5270767</v>
      </c>
      <c r="N101" s="72">
        <v>-30.771709439999999</v>
      </c>
      <c r="P101">
        <v>5239048301.8867912</v>
      </c>
      <c r="Q101">
        <v>-31.742321010000001</v>
      </c>
      <c r="S101">
        <v>5141908301.8867912</v>
      </c>
      <c r="T101">
        <v>-35.25226593</v>
      </c>
      <c r="V101">
        <v>5141908301.8867912</v>
      </c>
      <c r="W101">
        <v>-35.337074280000003</v>
      </c>
      <c r="Y101">
        <v>5141908301.8867912</v>
      </c>
      <c r="Z101">
        <v>-35.345497129999998</v>
      </c>
      <c r="AB101">
        <v>5237549113.9240599</v>
      </c>
      <c r="AC101">
        <v>-30.685832980000001</v>
      </c>
      <c r="AE101">
        <v>5237548706.6245842</v>
      </c>
      <c r="AF101">
        <v>-30.757728579999998</v>
      </c>
      <c r="AH101">
        <v>5237548706.6245842</v>
      </c>
      <c r="AI101">
        <v>-30.749935149999999</v>
      </c>
    </row>
    <row r="102" spans="1:35">
      <c r="A102">
        <v>5140363366.73349</v>
      </c>
      <c r="B102" s="72">
        <v>-26.047904970000001</v>
      </c>
      <c r="D102">
        <v>5185363366.73349</v>
      </c>
      <c r="E102" s="72">
        <v>-28.17103577</v>
      </c>
      <c r="G102">
        <v>5239003366.73349</v>
      </c>
      <c r="H102" s="72">
        <v>-30.041557310000002</v>
      </c>
      <c r="J102">
        <v>5141863366.73349</v>
      </c>
      <c r="K102" s="72">
        <v>-26.431938169999999</v>
      </c>
      <c r="M102">
        <v>5237503366.73349</v>
      </c>
      <c r="N102" s="72">
        <v>-30.449047090000001</v>
      </c>
      <c r="P102">
        <v>5239050817.6100616</v>
      </c>
      <c r="Q102">
        <v>-29.2816391</v>
      </c>
      <c r="S102">
        <v>5141910817.6100616</v>
      </c>
      <c r="T102">
        <v>-34.75091553</v>
      </c>
      <c r="V102">
        <v>5141910817.6100616</v>
      </c>
      <c r="W102">
        <v>-34.729938509999997</v>
      </c>
      <c r="Y102">
        <v>5141910817.6100616</v>
      </c>
      <c r="Z102">
        <v>-34.674903870000001</v>
      </c>
      <c r="AB102">
        <v>5237551645.5696297</v>
      </c>
      <c r="AC102">
        <v>-30.170219419999999</v>
      </c>
      <c r="AE102">
        <v>5237551230.2838898</v>
      </c>
      <c r="AF102">
        <v>-30.229274749999998</v>
      </c>
      <c r="AH102">
        <v>5237551230.2838898</v>
      </c>
      <c r="AI102">
        <v>-30.231498720000001</v>
      </c>
    </row>
    <row r="103" spans="1:35">
      <c r="A103">
        <v>5140364969.9399033</v>
      </c>
      <c r="B103" s="72">
        <v>-27.232219700000002</v>
      </c>
      <c r="D103">
        <v>5185364969.9399033</v>
      </c>
      <c r="E103" s="72">
        <v>-29.44977188</v>
      </c>
      <c r="G103">
        <v>5239004969.9399033</v>
      </c>
      <c r="H103" s="72">
        <v>-30.88447571</v>
      </c>
      <c r="J103">
        <v>5141864969.9399033</v>
      </c>
      <c r="K103" s="72">
        <v>-26.702682500000002</v>
      </c>
      <c r="M103">
        <v>5237504969.9399033</v>
      </c>
      <c r="N103" s="72">
        <v>-31.172760010000001</v>
      </c>
      <c r="P103">
        <v>5239053333.3333321</v>
      </c>
      <c r="Q103">
        <v>-30.582847600000001</v>
      </c>
      <c r="S103">
        <v>5141913333.3333321</v>
      </c>
      <c r="T103">
        <v>-35.672401430000001</v>
      </c>
      <c r="V103">
        <v>5141913333.3333321</v>
      </c>
      <c r="W103">
        <v>-35.72075272</v>
      </c>
      <c r="Y103">
        <v>5141913333.3333321</v>
      </c>
      <c r="Z103">
        <v>-35.676200870000002</v>
      </c>
      <c r="AB103">
        <v>5237554177.2151995</v>
      </c>
      <c r="AC103">
        <v>-31.55118942</v>
      </c>
      <c r="AE103">
        <v>5237553753.9431953</v>
      </c>
      <c r="AF103">
        <v>-31.615951540000001</v>
      </c>
      <c r="AH103">
        <v>5237553753.9431953</v>
      </c>
      <c r="AI103">
        <v>-31.608005519999999</v>
      </c>
    </row>
    <row r="104" spans="1:35">
      <c r="A104">
        <v>5140366573.1463165</v>
      </c>
      <c r="B104" s="72">
        <v>-26.009418490000002</v>
      </c>
      <c r="D104">
        <v>5185366573.1463165</v>
      </c>
      <c r="E104" s="72">
        <v>-28.250591279999998</v>
      </c>
      <c r="G104">
        <v>5239006573.1463165</v>
      </c>
      <c r="H104" s="72">
        <v>-30.080036159999999</v>
      </c>
      <c r="J104">
        <v>5141866573.1463165</v>
      </c>
      <c r="K104" s="72">
        <v>-26.87897873</v>
      </c>
      <c r="M104">
        <v>5237506573.1463165</v>
      </c>
      <c r="N104" s="72">
        <v>-31.354442599999999</v>
      </c>
      <c r="P104">
        <v>5239055849.0566025</v>
      </c>
      <c r="Q104">
        <v>-29.38801956</v>
      </c>
      <c r="S104">
        <v>5141915849.0566025</v>
      </c>
      <c r="T104">
        <v>-36.036266329999997</v>
      </c>
      <c r="V104">
        <v>5141915849.0566025</v>
      </c>
      <c r="W104">
        <v>-36.080554960000001</v>
      </c>
      <c r="Y104">
        <v>5141915849.0566025</v>
      </c>
      <c r="Z104">
        <v>-36.042072300000001</v>
      </c>
      <c r="AB104">
        <v>5237556708.8607693</v>
      </c>
      <c r="AC104">
        <v>-31.937202450000001</v>
      </c>
      <c r="AE104">
        <v>5237556277.6025009</v>
      </c>
      <c r="AF104">
        <v>-32.013465879999998</v>
      </c>
      <c r="AH104">
        <v>5237556277.6025009</v>
      </c>
      <c r="AI104">
        <v>-31.996276859999998</v>
      </c>
    </row>
    <row r="105" spans="1:35">
      <c r="A105">
        <v>5140368176.3527298</v>
      </c>
      <c r="B105" s="72">
        <v>-28.612022400000001</v>
      </c>
      <c r="D105">
        <v>5185368176.3527298</v>
      </c>
      <c r="E105" s="72">
        <v>-30.83796692</v>
      </c>
      <c r="G105">
        <v>5239008176.3527298</v>
      </c>
      <c r="H105" s="72">
        <v>-32.437694550000003</v>
      </c>
      <c r="J105">
        <v>5141868176.3527298</v>
      </c>
      <c r="K105" s="72">
        <v>-26.732761379999999</v>
      </c>
      <c r="M105">
        <v>5237508176.3527298</v>
      </c>
      <c r="N105" s="72">
        <v>-31.309387210000001</v>
      </c>
      <c r="P105">
        <v>5239058364.7798729</v>
      </c>
      <c r="Q105">
        <v>-32.313980100000002</v>
      </c>
      <c r="S105">
        <v>5141918364.7798729</v>
      </c>
      <c r="T105">
        <v>-35.738971710000001</v>
      </c>
      <c r="V105">
        <v>5141918364.7798729</v>
      </c>
      <c r="W105">
        <v>-35.783771510000001</v>
      </c>
      <c r="Y105">
        <v>5141918364.7798729</v>
      </c>
      <c r="Z105">
        <v>-35.745796200000001</v>
      </c>
      <c r="AB105">
        <v>5237559240.5063391</v>
      </c>
      <c r="AC105">
        <v>-31.721576689999999</v>
      </c>
      <c r="AE105">
        <v>5237558801.2618065</v>
      </c>
      <c r="AF105">
        <v>-31.786548610000001</v>
      </c>
      <c r="AH105">
        <v>5237558801.2618065</v>
      </c>
      <c r="AI105">
        <v>-31.7784996</v>
      </c>
    </row>
    <row r="106" spans="1:35">
      <c r="A106">
        <v>5140369779.5591431</v>
      </c>
      <c r="B106" s="72">
        <v>-25.917587279999999</v>
      </c>
      <c r="D106">
        <v>5185369779.5591431</v>
      </c>
      <c r="E106" s="72">
        <v>-28.12237549</v>
      </c>
      <c r="G106">
        <v>5239009779.5591431</v>
      </c>
      <c r="H106" s="72">
        <v>-30.01523972</v>
      </c>
      <c r="J106">
        <v>5141869779.5591431</v>
      </c>
      <c r="K106" s="72">
        <v>-26.995162959999998</v>
      </c>
      <c r="M106">
        <v>5237509779.5591431</v>
      </c>
      <c r="N106" s="72">
        <v>-31.422580719999999</v>
      </c>
      <c r="P106">
        <v>5239060880.5031433</v>
      </c>
      <c r="Q106">
        <v>-29.226375579999999</v>
      </c>
      <c r="S106">
        <v>5141920880.5031433</v>
      </c>
      <c r="T106">
        <v>-35.99436188</v>
      </c>
      <c r="V106">
        <v>5141920880.5031433</v>
      </c>
      <c r="W106">
        <v>-36.040946959999999</v>
      </c>
      <c r="Y106">
        <v>5141920880.5031433</v>
      </c>
      <c r="Z106">
        <v>-36.003776549999998</v>
      </c>
      <c r="AB106">
        <v>5237561772.1519089</v>
      </c>
      <c r="AC106">
        <v>-31.863483429999999</v>
      </c>
      <c r="AE106">
        <v>5237561324.9211121</v>
      </c>
      <c r="AF106">
        <v>-31.929576869999998</v>
      </c>
      <c r="AH106">
        <v>5237561324.9211121</v>
      </c>
      <c r="AI106">
        <v>-31.921764369999998</v>
      </c>
    </row>
    <row r="107" spans="1:35">
      <c r="A107">
        <v>5140371382.7655563</v>
      </c>
      <c r="B107" s="72">
        <v>-26.278862</v>
      </c>
      <c r="D107">
        <v>5185371382.7655563</v>
      </c>
      <c r="E107" s="72">
        <v>-28.456821439999999</v>
      </c>
      <c r="G107">
        <v>5239011382.7655563</v>
      </c>
      <c r="H107" s="72">
        <v>-30.22178268</v>
      </c>
      <c r="J107">
        <v>5141871382.7655563</v>
      </c>
      <c r="K107" s="72">
        <v>-26.474334720000002</v>
      </c>
      <c r="M107">
        <v>5237511382.7655563</v>
      </c>
      <c r="N107" s="72">
        <v>-30.99172974</v>
      </c>
      <c r="P107">
        <v>5239063396.2264137</v>
      </c>
      <c r="Q107">
        <v>-29.910167690000002</v>
      </c>
      <c r="S107">
        <v>5141923396.2264137</v>
      </c>
      <c r="T107">
        <v>-35.569374080000003</v>
      </c>
      <c r="V107">
        <v>5141923396.2264137</v>
      </c>
      <c r="W107">
        <v>-35.615032200000002</v>
      </c>
      <c r="Y107">
        <v>5141923396.2264137</v>
      </c>
      <c r="Z107">
        <v>-35.57937622</v>
      </c>
      <c r="AB107">
        <v>5237564303.7974787</v>
      </c>
      <c r="AC107">
        <v>-31.481033329999999</v>
      </c>
      <c r="AE107">
        <v>5237563848.5804176</v>
      </c>
      <c r="AF107">
        <v>-31.549713130000001</v>
      </c>
      <c r="AH107">
        <v>5237563848.5804176</v>
      </c>
      <c r="AI107">
        <v>-31.537376399999999</v>
      </c>
    </row>
    <row r="108" spans="1:35">
      <c r="A108">
        <v>5140372985.9719696</v>
      </c>
      <c r="B108" s="72">
        <v>-27.479194639999999</v>
      </c>
      <c r="D108">
        <v>5185372985.9719696</v>
      </c>
      <c r="E108" s="72">
        <v>-29.87748337</v>
      </c>
      <c r="G108">
        <v>5239012985.9719696</v>
      </c>
      <c r="H108" s="72">
        <v>-31.408603670000002</v>
      </c>
      <c r="J108">
        <v>5141872985.9719696</v>
      </c>
      <c r="K108" s="72">
        <v>-26.247905729999999</v>
      </c>
      <c r="M108">
        <v>5237512985.9719696</v>
      </c>
      <c r="N108" s="72">
        <v>-30.5519371</v>
      </c>
      <c r="P108">
        <v>5239065911.9496841</v>
      </c>
      <c r="Q108">
        <v>-31.435741419999999</v>
      </c>
      <c r="S108">
        <v>5141925911.9496841</v>
      </c>
      <c r="T108">
        <v>-34.953590390000002</v>
      </c>
      <c r="V108">
        <v>5141925911.9496841</v>
      </c>
      <c r="W108">
        <v>-35.020935059999999</v>
      </c>
      <c r="Y108">
        <v>5141925911.9496841</v>
      </c>
      <c r="Z108">
        <v>-34.981922150000003</v>
      </c>
      <c r="AB108">
        <v>5237566835.4430485</v>
      </c>
      <c r="AC108">
        <v>-30.62601471</v>
      </c>
      <c r="AE108">
        <v>5237566372.2397232</v>
      </c>
      <c r="AF108">
        <v>-30.69847107</v>
      </c>
      <c r="AH108">
        <v>5237566372.2397232</v>
      </c>
      <c r="AI108">
        <v>-30.69244385</v>
      </c>
    </row>
    <row r="109" spans="1:35">
      <c r="A109">
        <v>5140374589.1783829</v>
      </c>
      <c r="B109" s="72">
        <v>-26.873180390000002</v>
      </c>
      <c r="D109">
        <v>5185374589.1783829</v>
      </c>
      <c r="E109" s="72">
        <v>-29.22032166</v>
      </c>
      <c r="G109">
        <v>5239014589.1783829</v>
      </c>
      <c r="H109" s="72">
        <v>-30.873905180000001</v>
      </c>
      <c r="J109">
        <v>5141874589.1783829</v>
      </c>
      <c r="K109" s="72">
        <v>-27.19121552</v>
      </c>
      <c r="M109">
        <v>5237514589.1783829</v>
      </c>
      <c r="N109" s="72">
        <v>-31.776878360000001</v>
      </c>
      <c r="P109">
        <v>5239068427.6729546</v>
      </c>
      <c r="Q109">
        <v>-30.772602079999999</v>
      </c>
      <c r="S109">
        <v>5141928427.6729546</v>
      </c>
      <c r="T109">
        <v>-36.392444609999998</v>
      </c>
      <c r="V109">
        <v>5141928427.6729546</v>
      </c>
      <c r="W109">
        <v>-36.441123959999999</v>
      </c>
      <c r="Y109">
        <v>5141928427.6729546</v>
      </c>
      <c r="Z109">
        <v>-36.395069120000002</v>
      </c>
      <c r="AB109">
        <v>5237569367.0886183</v>
      </c>
      <c r="AC109">
        <v>-32.393302919999996</v>
      </c>
      <c r="AE109">
        <v>5237568895.8990288</v>
      </c>
      <c r="AF109">
        <v>-32.470405579999998</v>
      </c>
      <c r="AH109">
        <v>5237568895.8990288</v>
      </c>
      <c r="AI109">
        <v>-32.463802340000001</v>
      </c>
    </row>
    <row r="110" spans="1:35">
      <c r="A110">
        <v>5140376192.3847961</v>
      </c>
      <c r="B110" s="72">
        <v>-27.496280670000001</v>
      </c>
      <c r="D110">
        <v>5185376192.3847961</v>
      </c>
      <c r="E110" s="72">
        <v>-29.839252470000002</v>
      </c>
      <c r="G110">
        <v>5239016192.3847961</v>
      </c>
      <c r="H110" s="72">
        <v>-31.654293060000001</v>
      </c>
      <c r="J110">
        <v>5141876192.3847961</v>
      </c>
      <c r="K110" s="72">
        <v>-26.978157039999999</v>
      </c>
      <c r="M110">
        <v>5237516192.3847961</v>
      </c>
      <c r="N110" s="72">
        <v>-31.63684082</v>
      </c>
      <c r="P110">
        <v>5239070943.396225</v>
      </c>
      <c r="Q110">
        <v>-31.423477170000002</v>
      </c>
      <c r="S110">
        <v>5141930943.396225</v>
      </c>
      <c r="T110">
        <v>-35.751861570000003</v>
      </c>
      <c r="V110">
        <v>5141930943.396225</v>
      </c>
      <c r="W110">
        <v>-35.811408999999998</v>
      </c>
      <c r="Y110">
        <v>5141930943.396225</v>
      </c>
      <c r="Z110">
        <v>-35.79079437</v>
      </c>
      <c r="AB110">
        <v>5237571898.7341881</v>
      </c>
      <c r="AC110">
        <v>-31.836799620000001</v>
      </c>
      <c r="AE110">
        <v>5237571419.5583344</v>
      </c>
      <c r="AF110">
        <v>-31.90605545</v>
      </c>
      <c r="AH110">
        <v>5237571419.5583344</v>
      </c>
      <c r="AI110">
        <v>-31.896499630000001</v>
      </c>
    </row>
    <row r="111" spans="1:35">
      <c r="A111">
        <v>5140377795.5912094</v>
      </c>
      <c r="B111" s="72">
        <v>-26.611431119999999</v>
      </c>
      <c r="D111">
        <v>5185377795.5912094</v>
      </c>
      <c r="E111" s="72">
        <v>-28.9066124</v>
      </c>
      <c r="G111">
        <v>5239017795.5912094</v>
      </c>
      <c r="H111" s="72">
        <v>-30.646488189999999</v>
      </c>
      <c r="J111">
        <v>5141877795.5912094</v>
      </c>
      <c r="K111" s="72">
        <v>-26.257434839999998</v>
      </c>
      <c r="M111">
        <v>5237517795.5912094</v>
      </c>
      <c r="N111" s="72">
        <v>-30.640823359999999</v>
      </c>
      <c r="P111">
        <v>5239073459.1194954</v>
      </c>
      <c r="Q111">
        <v>-30.328395839999999</v>
      </c>
      <c r="S111">
        <v>5141933459.1194954</v>
      </c>
      <c r="T111">
        <v>-34.94721603</v>
      </c>
      <c r="V111">
        <v>5141933459.1194954</v>
      </c>
      <c r="W111">
        <v>-35.021015169999998</v>
      </c>
      <c r="Y111">
        <v>5141933459.1194954</v>
      </c>
      <c r="Z111">
        <v>-34.98630524</v>
      </c>
      <c r="AB111">
        <v>5237574430.3797579</v>
      </c>
      <c r="AC111">
        <v>-30.799728389999999</v>
      </c>
      <c r="AE111">
        <v>5237573943.2176399</v>
      </c>
      <c r="AF111">
        <v>-30.8718605</v>
      </c>
      <c r="AH111">
        <v>5237573943.2176399</v>
      </c>
      <c r="AI111">
        <v>-30.864906309999999</v>
      </c>
    </row>
    <row r="112" spans="1:35">
      <c r="A112">
        <v>5140379398.7976227</v>
      </c>
      <c r="B112" s="72">
        <v>-26.458854680000002</v>
      </c>
      <c r="D112">
        <v>5185379398.7976227</v>
      </c>
      <c r="E112" s="72">
        <v>-28.81879807</v>
      </c>
      <c r="G112">
        <v>5239019398.7976227</v>
      </c>
      <c r="H112" s="72">
        <v>-30.595378879999998</v>
      </c>
      <c r="J112">
        <v>5141879398.7976227</v>
      </c>
      <c r="K112" s="72">
        <v>-25.79920959</v>
      </c>
      <c r="M112">
        <v>5237519398.7976227</v>
      </c>
      <c r="N112" s="72">
        <v>-30.315773010000001</v>
      </c>
      <c r="P112">
        <v>5239075974.8427658</v>
      </c>
      <c r="Q112">
        <v>-30.508708949999999</v>
      </c>
      <c r="S112">
        <v>5141935974.8427658</v>
      </c>
      <c r="T112">
        <v>-34.5586853</v>
      </c>
      <c r="V112">
        <v>5141935974.8427658</v>
      </c>
      <c r="W112">
        <v>-34.622192380000001</v>
      </c>
      <c r="Y112">
        <v>5141935974.8427658</v>
      </c>
      <c r="Z112">
        <v>-34.597228999999999</v>
      </c>
      <c r="AB112">
        <v>5237576962.0253277</v>
      </c>
      <c r="AC112">
        <v>-30.437747959999999</v>
      </c>
      <c r="AE112">
        <v>5237576466.8769455</v>
      </c>
      <c r="AF112">
        <v>-30.511947630000002</v>
      </c>
      <c r="AH112">
        <v>5237576466.8769455</v>
      </c>
      <c r="AI112">
        <v>-30.518863679999999</v>
      </c>
    </row>
    <row r="113" spans="1:35">
      <c r="A113">
        <v>5140381002.0040359</v>
      </c>
      <c r="B113" s="72">
        <v>-26.61617279</v>
      </c>
      <c r="D113">
        <v>5185381002.0040359</v>
      </c>
      <c r="E113" s="72">
        <v>-29.065692899999998</v>
      </c>
      <c r="G113">
        <v>5239021002.0040359</v>
      </c>
      <c r="H113" s="72">
        <v>-30.879207610000002</v>
      </c>
      <c r="J113">
        <v>5141881002.0040359</v>
      </c>
      <c r="K113" s="72">
        <v>-26.227466580000002</v>
      </c>
      <c r="M113">
        <v>5237521002.0040359</v>
      </c>
      <c r="N113" s="72">
        <v>-30.617362979999999</v>
      </c>
      <c r="P113">
        <v>5239078490.5660362</v>
      </c>
      <c r="Q113">
        <v>-30.872478489999999</v>
      </c>
      <c r="S113">
        <v>5141938490.5660362</v>
      </c>
      <c r="T113">
        <v>-34.866905209999999</v>
      </c>
      <c r="V113">
        <v>5141938490.5660362</v>
      </c>
      <c r="W113">
        <v>-34.939350130000001</v>
      </c>
      <c r="Y113">
        <v>5141938490.5660362</v>
      </c>
      <c r="Z113">
        <v>-34.898559570000003</v>
      </c>
      <c r="AB113">
        <v>5237579493.6708975</v>
      </c>
      <c r="AC113">
        <v>-30.679866789999998</v>
      </c>
      <c r="AE113">
        <v>5237578990.5362511</v>
      </c>
      <c r="AF113">
        <v>-30.745277399999999</v>
      </c>
      <c r="AH113">
        <v>5237578990.5362511</v>
      </c>
      <c r="AI113">
        <v>-30.7537117</v>
      </c>
    </row>
    <row r="114" spans="1:35">
      <c r="A114">
        <v>5140382605.2104492</v>
      </c>
      <c r="B114" s="72">
        <v>-26.759059910000001</v>
      </c>
      <c r="D114">
        <v>5185382605.2104492</v>
      </c>
      <c r="E114" s="72">
        <v>-29.091445920000002</v>
      </c>
      <c r="G114">
        <v>5239022605.2104492</v>
      </c>
      <c r="H114" s="72">
        <v>-30.82323456</v>
      </c>
      <c r="J114">
        <v>5141882605.2104492</v>
      </c>
      <c r="K114" s="72">
        <v>-26.869243619999999</v>
      </c>
      <c r="M114">
        <v>5237522605.2104492</v>
      </c>
      <c r="N114" s="72">
        <v>-31.304149630000001</v>
      </c>
      <c r="P114">
        <v>5239081006.2893066</v>
      </c>
      <c r="Q114">
        <v>-30.61636734</v>
      </c>
      <c r="S114">
        <v>5141941006.2893066</v>
      </c>
      <c r="T114">
        <v>-35.445777890000002</v>
      </c>
      <c r="V114">
        <v>5141941006.2893066</v>
      </c>
      <c r="W114">
        <v>-35.493370059999997</v>
      </c>
      <c r="Y114">
        <v>5141941006.2893066</v>
      </c>
      <c r="Z114">
        <v>-35.485443119999999</v>
      </c>
      <c r="AB114">
        <v>5237582025.3164673</v>
      </c>
      <c r="AC114">
        <v>-31.241889950000001</v>
      </c>
      <c r="AE114">
        <v>5237581514.1955566</v>
      </c>
      <c r="AF114">
        <v>-31.314414979999999</v>
      </c>
      <c r="AH114">
        <v>5237581514.1955566</v>
      </c>
      <c r="AI114">
        <v>-31.314464569999998</v>
      </c>
    </row>
    <row r="115" spans="1:35">
      <c r="A115">
        <v>5140384208.4168625</v>
      </c>
      <c r="B115" s="72">
        <v>-26.782897949999999</v>
      </c>
      <c r="D115">
        <v>5185384208.4168625</v>
      </c>
      <c r="E115" s="72">
        <v>-29.036060330000002</v>
      </c>
      <c r="G115">
        <v>5239024208.4168625</v>
      </c>
      <c r="H115" s="72">
        <v>-30.69972229</v>
      </c>
      <c r="J115">
        <v>5141884208.4168625</v>
      </c>
      <c r="K115" s="72">
        <v>-26.88474274</v>
      </c>
      <c r="M115">
        <v>5237524208.4168625</v>
      </c>
      <c r="N115" s="72">
        <v>-31.508762359999999</v>
      </c>
      <c r="P115">
        <v>5239083522.0125771</v>
      </c>
      <c r="Q115">
        <v>-30.427211759999999</v>
      </c>
      <c r="S115">
        <v>5141943522.0125771</v>
      </c>
      <c r="T115">
        <v>-35.679260249999999</v>
      </c>
      <c r="V115">
        <v>5141943522.0125771</v>
      </c>
      <c r="W115">
        <v>-35.636333469999997</v>
      </c>
      <c r="Y115">
        <v>5141943522.0125771</v>
      </c>
      <c r="Z115">
        <v>-35.691322329999998</v>
      </c>
      <c r="AB115">
        <v>5237584556.9620371</v>
      </c>
      <c r="AC115">
        <v>-31.727825159999998</v>
      </c>
      <c r="AE115">
        <v>5237584037.8548622</v>
      </c>
      <c r="AF115">
        <v>-31.796596529999999</v>
      </c>
      <c r="AH115">
        <v>5237584037.8548622</v>
      </c>
      <c r="AI115">
        <v>-31.772842409999999</v>
      </c>
    </row>
    <row r="116" spans="1:35">
      <c r="A116">
        <v>5140385811.6232758</v>
      </c>
      <c r="B116" s="72">
        <v>-26.26104355</v>
      </c>
      <c r="D116">
        <v>5185385811.6232758</v>
      </c>
      <c r="E116" s="72">
        <v>-28.528385159999999</v>
      </c>
      <c r="G116">
        <v>5239025811.6232758</v>
      </c>
      <c r="H116" s="72">
        <v>-30.363681790000001</v>
      </c>
      <c r="J116">
        <v>5141885811.6232758</v>
      </c>
      <c r="K116" s="72">
        <v>-26.503189089999999</v>
      </c>
      <c r="M116">
        <v>5237525811.6232758</v>
      </c>
      <c r="N116" s="72">
        <v>-31.18557358</v>
      </c>
      <c r="P116">
        <v>5239086037.7358475</v>
      </c>
      <c r="Q116">
        <v>-29.89067459</v>
      </c>
      <c r="S116">
        <v>5141946037.7358475</v>
      </c>
      <c r="T116">
        <v>-35.546978000000003</v>
      </c>
      <c r="V116">
        <v>5141946037.7358475</v>
      </c>
      <c r="W116">
        <v>-35.515369419999999</v>
      </c>
      <c r="Y116">
        <v>5141946037.7358475</v>
      </c>
      <c r="Z116">
        <v>-35.544654850000001</v>
      </c>
      <c r="AB116">
        <v>5237587088.6076069</v>
      </c>
      <c r="AC116">
        <v>-31.549915309999999</v>
      </c>
      <c r="AE116">
        <v>5237586561.5141678</v>
      </c>
      <c r="AF116">
        <v>-31.629756929999999</v>
      </c>
      <c r="AH116">
        <v>5237586561.5141678</v>
      </c>
      <c r="AI116">
        <v>-31.602611540000002</v>
      </c>
    </row>
    <row r="117" spans="1:35">
      <c r="A117">
        <v>5140387414.829689</v>
      </c>
      <c r="B117" s="72">
        <v>-28.75262833</v>
      </c>
      <c r="D117">
        <v>5185387414.829689</v>
      </c>
      <c r="E117" s="72">
        <v>-31.167888640000001</v>
      </c>
      <c r="G117">
        <v>5239027414.829689</v>
      </c>
      <c r="H117" s="72">
        <v>-32.855922700000001</v>
      </c>
      <c r="J117">
        <v>5141887414.829689</v>
      </c>
      <c r="K117" s="72">
        <v>-25.78715897</v>
      </c>
      <c r="M117">
        <v>5237527414.829689</v>
      </c>
      <c r="N117" s="72">
        <v>-30.31317902</v>
      </c>
      <c r="P117">
        <v>5239088553.4591179</v>
      </c>
      <c r="Q117">
        <v>-33.042831419999999</v>
      </c>
      <c r="S117">
        <v>5141948553.4591179</v>
      </c>
      <c r="T117">
        <v>-34.449401860000002</v>
      </c>
      <c r="V117">
        <v>5141948553.4591179</v>
      </c>
      <c r="W117">
        <v>-34.391490939999997</v>
      </c>
      <c r="Y117">
        <v>5141948553.4591179</v>
      </c>
      <c r="Z117">
        <v>-34.456077579999999</v>
      </c>
      <c r="AB117">
        <v>5237589620.2531767</v>
      </c>
      <c r="AC117">
        <v>-30.264072420000002</v>
      </c>
      <c r="AE117">
        <v>5237589085.1734734</v>
      </c>
      <c r="AF117">
        <v>-30.330146790000001</v>
      </c>
      <c r="AH117">
        <v>5237589085.1734734</v>
      </c>
      <c r="AI117">
        <v>-30.309314730000001</v>
      </c>
    </row>
    <row r="118" spans="1:35">
      <c r="A118">
        <v>5140389018.0361023</v>
      </c>
      <c r="B118" s="72">
        <v>-26.407665250000001</v>
      </c>
      <c r="D118">
        <v>5185389018.0361023</v>
      </c>
      <c r="E118" s="72">
        <v>-28.836906429999999</v>
      </c>
      <c r="G118">
        <v>5239029018.0361023</v>
      </c>
      <c r="H118" s="72">
        <v>-30.60448456</v>
      </c>
      <c r="J118">
        <v>5141889018.0361023</v>
      </c>
      <c r="K118" s="72">
        <v>-26.498477940000001</v>
      </c>
      <c r="M118">
        <v>5237529018.0361023</v>
      </c>
      <c r="N118" s="72">
        <v>-31.113082890000001</v>
      </c>
      <c r="P118">
        <v>5239091069.1823883</v>
      </c>
      <c r="Q118">
        <v>-30.266235349999999</v>
      </c>
      <c r="S118">
        <v>5141951069.1823883</v>
      </c>
      <c r="T118">
        <v>-35.555274959999998</v>
      </c>
      <c r="V118">
        <v>5141951069.1823883</v>
      </c>
      <c r="W118">
        <v>-35.53681564</v>
      </c>
      <c r="Y118">
        <v>5141951069.1823883</v>
      </c>
      <c r="Z118">
        <v>-35.564002989999999</v>
      </c>
      <c r="AB118">
        <v>5237592151.8987465</v>
      </c>
      <c r="AC118">
        <v>-31.491504670000001</v>
      </c>
      <c r="AE118">
        <v>5237591608.8327789</v>
      </c>
      <c r="AF118">
        <v>-31.573921200000001</v>
      </c>
      <c r="AH118">
        <v>5237591608.8327789</v>
      </c>
      <c r="AI118">
        <v>-31.548484800000001</v>
      </c>
    </row>
    <row r="119" spans="1:35">
      <c r="A119">
        <v>5140390621.2425156</v>
      </c>
      <c r="B119" s="72">
        <v>-26.51501846</v>
      </c>
      <c r="D119">
        <v>5185390621.2425156</v>
      </c>
      <c r="E119" s="72">
        <v>-28.79928207</v>
      </c>
      <c r="G119">
        <v>5239030621.2425156</v>
      </c>
      <c r="H119" s="72">
        <v>-30.524803160000001</v>
      </c>
      <c r="J119">
        <v>5141890621.2425156</v>
      </c>
      <c r="K119" s="72">
        <v>-26.865024569999999</v>
      </c>
      <c r="M119">
        <v>5237530621.2425156</v>
      </c>
      <c r="N119" s="72">
        <v>-31.31435776</v>
      </c>
      <c r="P119">
        <v>5239093584.9056587</v>
      </c>
      <c r="Q119">
        <v>-30.209362030000001</v>
      </c>
      <c r="S119">
        <v>5141953584.9056587</v>
      </c>
      <c r="T119">
        <v>-35.546062470000003</v>
      </c>
      <c r="V119">
        <v>5141953584.9056587</v>
      </c>
      <c r="W119">
        <v>-35.495048519999997</v>
      </c>
      <c r="Y119">
        <v>5141953584.9056587</v>
      </c>
      <c r="Z119">
        <v>-35.567527769999998</v>
      </c>
      <c r="AB119">
        <v>5237594683.5443163</v>
      </c>
      <c r="AC119">
        <v>-31.389568329999999</v>
      </c>
      <c r="AE119">
        <v>5237594132.4920845</v>
      </c>
      <c r="AF119">
        <v>-31.453491209999999</v>
      </c>
      <c r="AH119">
        <v>5237594132.4920845</v>
      </c>
      <c r="AI119">
        <v>-31.44524384</v>
      </c>
    </row>
    <row r="120" spans="1:35">
      <c r="A120">
        <v>5140392224.4489288</v>
      </c>
      <c r="B120" s="72">
        <v>-26.882801059999998</v>
      </c>
      <c r="D120">
        <v>5185392224.4489288</v>
      </c>
      <c r="E120" s="72">
        <v>-29.188495639999999</v>
      </c>
      <c r="G120">
        <v>5239032224.4489288</v>
      </c>
      <c r="H120" s="72">
        <v>-30.929199220000001</v>
      </c>
      <c r="J120">
        <v>5141892224.4489288</v>
      </c>
      <c r="K120" s="72">
        <v>-25.845024110000001</v>
      </c>
      <c r="M120">
        <v>5237532224.4489288</v>
      </c>
      <c r="N120" s="72">
        <v>-30.47460937</v>
      </c>
      <c r="P120">
        <v>5239096100.6289291</v>
      </c>
      <c r="Q120">
        <v>-30.673099520000001</v>
      </c>
      <c r="S120">
        <v>5141956100.6289291</v>
      </c>
      <c r="T120">
        <v>-34.988666530000003</v>
      </c>
      <c r="V120">
        <v>5141956100.6289291</v>
      </c>
      <c r="W120">
        <v>-34.968914030000001</v>
      </c>
      <c r="Y120">
        <v>5141956100.6289291</v>
      </c>
      <c r="Z120">
        <v>-34.989013669999999</v>
      </c>
      <c r="AB120">
        <v>5237597215.1898861</v>
      </c>
      <c r="AC120">
        <v>-30.8960495</v>
      </c>
      <c r="AE120">
        <v>5237596656.1513901</v>
      </c>
      <c r="AF120">
        <v>-30.976696010000001</v>
      </c>
      <c r="AH120">
        <v>5237596656.1513901</v>
      </c>
      <c r="AI120">
        <v>-30.958614350000001</v>
      </c>
    </row>
    <row r="121" spans="1:35">
      <c r="A121">
        <v>5140393827.6553421</v>
      </c>
      <c r="B121" s="72">
        <v>-26.605575559999998</v>
      </c>
      <c r="D121">
        <v>5185393827.6553421</v>
      </c>
      <c r="E121" s="72">
        <v>-28.89134979</v>
      </c>
      <c r="G121">
        <v>5239033827.6553421</v>
      </c>
      <c r="H121" s="72">
        <v>-30.890636440000002</v>
      </c>
      <c r="J121">
        <v>5141893827.6553421</v>
      </c>
      <c r="K121" s="72">
        <v>-26.55948257</v>
      </c>
      <c r="M121">
        <v>5237533827.6553421</v>
      </c>
      <c r="N121" s="72">
        <v>-31.188686369999999</v>
      </c>
      <c r="P121">
        <v>5239098616.3521996</v>
      </c>
      <c r="Q121">
        <v>-30.122612</v>
      </c>
      <c r="S121">
        <v>5141958616.3521996</v>
      </c>
      <c r="T121">
        <v>-35.387290950000001</v>
      </c>
      <c r="V121">
        <v>5141958616.3521996</v>
      </c>
      <c r="W121">
        <v>-35.355335240000002</v>
      </c>
      <c r="Y121">
        <v>5141958616.3521996</v>
      </c>
      <c r="Z121">
        <v>-35.403820039999999</v>
      </c>
      <c r="AB121">
        <v>5237599746.8354559</v>
      </c>
      <c r="AC121">
        <v>-31.31151581</v>
      </c>
      <c r="AE121">
        <v>5237599179.8106956</v>
      </c>
      <c r="AF121">
        <v>-31.370475769999999</v>
      </c>
      <c r="AH121">
        <v>5237599179.8106956</v>
      </c>
      <c r="AI121">
        <v>-31.358383180000001</v>
      </c>
    </row>
    <row r="122" spans="1:35">
      <c r="A122">
        <v>5140395430.8617554</v>
      </c>
      <c r="B122" s="72">
        <v>-28.322429660000001</v>
      </c>
      <c r="D122">
        <v>5185395430.8617554</v>
      </c>
      <c r="E122" s="72">
        <v>-30.601333619999998</v>
      </c>
      <c r="G122">
        <v>5239035430.8617554</v>
      </c>
      <c r="H122" s="72">
        <v>-32.527980800000002</v>
      </c>
      <c r="J122">
        <v>5141895430.8617554</v>
      </c>
      <c r="K122" s="72">
        <v>-26.048278809999999</v>
      </c>
      <c r="M122">
        <v>5237535430.8617554</v>
      </c>
      <c r="N122" s="72">
        <v>-30.294940950000001</v>
      </c>
      <c r="P122">
        <v>5239101132.07547</v>
      </c>
      <c r="Q122">
        <v>-32.432090760000001</v>
      </c>
      <c r="S122">
        <v>5141961132.07547</v>
      </c>
      <c r="T122">
        <v>-34.288135529999998</v>
      </c>
      <c r="V122">
        <v>5141961132.07547</v>
      </c>
      <c r="W122">
        <v>-34.168354030000003</v>
      </c>
      <c r="Y122">
        <v>5141961132.07547</v>
      </c>
      <c r="Z122">
        <v>-34.299537659999999</v>
      </c>
      <c r="AB122">
        <v>5237602278.4810257</v>
      </c>
      <c r="AC122">
        <v>-29.789817809999999</v>
      </c>
      <c r="AE122">
        <v>5237601703.4700012</v>
      </c>
      <c r="AF122">
        <v>-29.855892180000001</v>
      </c>
      <c r="AH122">
        <v>5237601703.4700012</v>
      </c>
      <c r="AI122">
        <v>-29.843513489999999</v>
      </c>
    </row>
    <row r="123" spans="1:35">
      <c r="A123">
        <v>5140397034.0681686</v>
      </c>
      <c r="B123" s="72">
        <v>-26.147415160000001</v>
      </c>
      <c r="D123">
        <v>5185397034.0681686</v>
      </c>
      <c r="E123" s="72">
        <v>-28.509010310000001</v>
      </c>
      <c r="G123">
        <v>5239037034.0681686</v>
      </c>
      <c r="H123" s="72">
        <v>-30.32800293</v>
      </c>
      <c r="J123">
        <v>5141897034.0681686</v>
      </c>
      <c r="K123" s="72">
        <v>-25.674922939999998</v>
      </c>
      <c r="M123">
        <v>5237537034.0681686</v>
      </c>
      <c r="N123" s="72">
        <v>-30.322811130000002</v>
      </c>
      <c r="P123">
        <v>5239103647.7987404</v>
      </c>
      <c r="Q123">
        <v>-29.951118470000001</v>
      </c>
      <c r="S123">
        <v>5141963647.7987404</v>
      </c>
      <c r="T123">
        <v>-34.457843779999997</v>
      </c>
      <c r="V123">
        <v>5141963647.7987404</v>
      </c>
      <c r="W123">
        <v>-34.453498840000002</v>
      </c>
      <c r="Y123">
        <v>5141963647.7987404</v>
      </c>
      <c r="Z123">
        <v>-34.504161830000001</v>
      </c>
      <c r="AB123">
        <v>5237604810.1265955</v>
      </c>
      <c r="AC123">
        <v>-30.434089660000001</v>
      </c>
      <c r="AE123">
        <v>5237604227.1293068</v>
      </c>
      <c r="AF123">
        <v>-30.511100769999999</v>
      </c>
      <c r="AH123">
        <v>5237604227.1293068</v>
      </c>
      <c r="AI123">
        <v>-30.491504670000001</v>
      </c>
    </row>
    <row r="124" spans="1:35">
      <c r="A124">
        <v>5140398637.2745819</v>
      </c>
      <c r="B124" s="72">
        <v>-27.77568054</v>
      </c>
      <c r="D124">
        <v>5185398637.2745819</v>
      </c>
      <c r="E124" s="72">
        <v>-30.09772873</v>
      </c>
      <c r="G124">
        <v>5239038637.2745819</v>
      </c>
      <c r="H124" s="72">
        <v>-31.854858400000001</v>
      </c>
      <c r="J124">
        <v>5141898637.2745819</v>
      </c>
      <c r="K124" s="72">
        <v>-26.82824707</v>
      </c>
      <c r="M124">
        <v>5237538637.2745819</v>
      </c>
      <c r="N124" s="72">
        <v>-31.503021239999999</v>
      </c>
      <c r="P124">
        <v>5239106163.5220108</v>
      </c>
      <c r="Q124">
        <v>-31.697814940000001</v>
      </c>
      <c r="S124">
        <v>5141966163.5220108</v>
      </c>
      <c r="T124">
        <v>-35.84174728</v>
      </c>
      <c r="V124">
        <v>5141966163.5220108</v>
      </c>
      <c r="W124">
        <v>-35.830993650000003</v>
      </c>
      <c r="Y124">
        <v>5141966163.5220108</v>
      </c>
      <c r="Z124">
        <v>-35.871570589999997</v>
      </c>
      <c r="AB124">
        <v>5237607341.7721653</v>
      </c>
      <c r="AC124">
        <v>-31.809501650000001</v>
      </c>
      <c r="AE124">
        <v>5237606750.7886124</v>
      </c>
      <c r="AF124">
        <v>-31.880947110000001</v>
      </c>
      <c r="AH124">
        <v>5237606750.7886124</v>
      </c>
      <c r="AI124">
        <v>-31.866394039999999</v>
      </c>
    </row>
    <row r="125" spans="1:35">
      <c r="A125">
        <v>5140400240.4809952</v>
      </c>
      <c r="B125" s="72">
        <v>-26.08586502</v>
      </c>
      <c r="D125">
        <v>5185400240.4809952</v>
      </c>
      <c r="E125" s="72">
        <v>-28.406501769999998</v>
      </c>
      <c r="G125">
        <v>5239040240.4809952</v>
      </c>
      <c r="H125" s="72">
        <v>-30.256931300000002</v>
      </c>
      <c r="J125">
        <v>5141900240.4809952</v>
      </c>
      <c r="K125" s="72">
        <v>-25.685157780000001</v>
      </c>
      <c r="M125">
        <v>5237540240.4809952</v>
      </c>
      <c r="N125" s="72">
        <v>-30.21794891</v>
      </c>
      <c r="P125">
        <v>5239108679.2452812</v>
      </c>
      <c r="Q125">
        <v>-29.790809629999998</v>
      </c>
      <c r="S125">
        <v>5141968679.2452812</v>
      </c>
      <c r="T125">
        <v>-34.358970640000003</v>
      </c>
      <c r="V125">
        <v>5141968679.2452812</v>
      </c>
      <c r="W125">
        <v>-34.331993099999998</v>
      </c>
      <c r="Y125">
        <v>5141968679.2452812</v>
      </c>
      <c r="Z125">
        <v>-34.404438020000001</v>
      </c>
      <c r="AB125">
        <v>5237609873.4177351</v>
      </c>
      <c r="AC125">
        <v>-30.16006088</v>
      </c>
      <c r="AE125">
        <v>5237609274.4479179</v>
      </c>
      <c r="AF125">
        <v>-30.243255619999999</v>
      </c>
      <c r="AH125">
        <v>5237609274.4479179</v>
      </c>
      <c r="AI125">
        <v>-30.229564669999998</v>
      </c>
    </row>
    <row r="126" spans="1:35">
      <c r="A126">
        <v>5140401843.6874084</v>
      </c>
      <c r="B126" s="72">
        <v>-27.02630997</v>
      </c>
      <c r="D126">
        <v>5185401843.6874084</v>
      </c>
      <c r="E126" s="72">
        <v>-29.343162540000002</v>
      </c>
      <c r="G126">
        <v>5239041843.6874084</v>
      </c>
      <c r="H126" s="72">
        <v>-31.073719019999999</v>
      </c>
      <c r="J126">
        <v>5141901843.6874084</v>
      </c>
      <c r="K126" s="72">
        <v>-25.685798649999999</v>
      </c>
      <c r="M126">
        <v>5237541843.6874084</v>
      </c>
      <c r="N126" s="72">
        <v>-30.27944565</v>
      </c>
      <c r="P126">
        <v>5239111194.9685516</v>
      </c>
      <c r="Q126">
        <v>-30.567596439999999</v>
      </c>
      <c r="S126">
        <v>5141971194.9685516</v>
      </c>
      <c r="T126">
        <v>-34.490165709999999</v>
      </c>
      <c r="V126">
        <v>5141971194.9685516</v>
      </c>
      <c r="W126">
        <v>-34.465629579999998</v>
      </c>
      <c r="Y126">
        <v>5141971194.9685516</v>
      </c>
      <c r="Z126">
        <v>-34.514331820000002</v>
      </c>
      <c r="AB126">
        <v>5237612405.0633049</v>
      </c>
      <c r="AC126">
        <v>-30.267036439999998</v>
      </c>
      <c r="AE126">
        <v>5237611798.1072235</v>
      </c>
      <c r="AF126">
        <v>-30.339256290000002</v>
      </c>
      <c r="AH126">
        <v>5237611798.1072235</v>
      </c>
      <c r="AI126">
        <v>-30.323440550000001</v>
      </c>
    </row>
    <row r="127" spans="1:35">
      <c r="A127">
        <v>5140403446.8938217</v>
      </c>
      <c r="B127" s="72">
        <v>-26.872623440000002</v>
      </c>
      <c r="D127">
        <v>5185403446.8938217</v>
      </c>
      <c r="E127" s="72">
        <v>-29.216567990000001</v>
      </c>
      <c r="G127">
        <v>5239043446.8938217</v>
      </c>
      <c r="H127" s="72">
        <v>-31.106212620000001</v>
      </c>
      <c r="J127">
        <v>5141903446.8938217</v>
      </c>
      <c r="K127" s="72">
        <v>-26.850738530000001</v>
      </c>
      <c r="M127">
        <v>5237543446.8938217</v>
      </c>
      <c r="N127" s="72">
        <v>-31.624763489999999</v>
      </c>
      <c r="P127">
        <v>5239113710.6918221</v>
      </c>
      <c r="Q127">
        <v>-30.70821381</v>
      </c>
      <c r="S127">
        <v>5141973710.6918221</v>
      </c>
      <c r="T127">
        <v>-35.862934109999998</v>
      </c>
      <c r="V127">
        <v>5141973710.6918221</v>
      </c>
      <c r="W127">
        <v>-35.846923830000001</v>
      </c>
      <c r="Y127">
        <v>5141973710.6918221</v>
      </c>
      <c r="Z127">
        <v>-35.879692079999998</v>
      </c>
      <c r="AB127">
        <v>5237614936.7088747</v>
      </c>
      <c r="AC127">
        <v>-31.915161130000001</v>
      </c>
      <c r="AE127">
        <v>5237614321.7665291</v>
      </c>
      <c r="AF127">
        <v>-31.992530819999999</v>
      </c>
      <c r="AH127">
        <v>5237614321.7665291</v>
      </c>
      <c r="AI127">
        <v>-31.969970700000001</v>
      </c>
    </row>
    <row r="128" spans="1:35">
      <c r="A128">
        <v>5140405050.100235</v>
      </c>
      <c r="B128" s="72">
        <v>-27.04372025</v>
      </c>
      <c r="D128">
        <v>5185405050.100235</v>
      </c>
      <c r="E128" s="72">
        <v>-29.408836359999999</v>
      </c>
      <c r="G128">
        <v>5239045050.100235</v>
      </c>
      <c r="H128" s="72">
        <v>-31.314773559999999</v>
      </c>
      <c r="J128">
        <v>5141905050.100235</v>
      </c>
      <c r="K128" s="72">
        <v>-27.416412350000002</v>
      </c>
      <c r="M128">
        <v>5237545050.100235</v>
      </c>
      <c r="N128" s="72">
        <v>-32.212177279999999</v>
      </c>
      <c r="P128">
        <v>5239116226.4150925</v>
      </c>
      <c r="Q128">
        <v>-31.068519590000001</v>
      </c>
      <c r="S128">
        <v>5141976226.4150925</v>
      </c>
      <c r="T128">
        <v>-36.658531189999998</v>
      </c>
      <c r="V128">
        <v>5141976226.4150925</v>
      </c>
      <c r="W128">
        <v>-36.657459260000003</v>
      </c>
      <c r="Y128">
        <v>5141976226.4150925</v>
      </c>
      <c r="Z128">
        <v>-36.67486572</v>
      </c>
      <c r="AB128">
        <v>5237617468.3544445</v>
      </c>
      <c r="AC128">
        <v>-32.738121030000002</v>
      </c>
      <c r="AE128">
        <v>5237616845.4258347</v>
      </c>
      <c r="AF128">
        <v>-32.820346829999998</v>
      </c>
      <c r="AH128">
        <v>5237616845.4258347</v>
      </c>
      <c r="AI128">
        <v>-32.787635799999997</v>
      </c>
    </row>
    <row r="129" spans="1:35">
      <c r="A129">
        <v>5140406653.3066483</v>
      </c>
      <c r="B129" s="72">
        <v>-27.400520319999998</v>
      </c>
      <c r="D129">
        <v>5185406653.3066483</v>
      </c>
      <c r="E129" s="72">
        <v>-29.862525940000001</v>
      </c>
      <c r="G129">
        <v>5239046653.3066483</v>
      </c>
      <c r="H129" s="72">
        <v>-31.660533910000002</v>
      </c>
      <c r="J129">
        <v>5141906653.3066483</v>
      </c>
      <c r="K129" s="72">
        <v>-25.957290650000001</v>
      </c>
      <c r="M129">
        <v>5237546653.3066483</v>
      </c>
      <c r="N129" s="72">
        <v>-30.723514560000002</v>
      </c>
      <c r="P129">
        <v>5239118742.1383629</v>
      </c>
      <c r="Q129">
        <v>-31.48974991</v>
      </c>
      <c r="S129">
        <v>5141978742.1383629</v>
      </c>
      <c r="T129">
        <v>-34.71709061</v>
      </c>
      <c r="V129">
        <v>5141978742.1383629</v>
      </c>
      <c r="W129">
        <v>-34.696319580000001</v>
      </c>
      <c r="Y129">
        <v>5141978742.1383629</v>
      </c>
      <c r="Z129">
        <v>-34.73934174</v>
      </c>
      <c r="AB129">
        <v>5237620000.0000143</v>
      </c>
      <c r="AC129">
        <v>-30.724235530000001</v>
      </c>
      <c r="AE129">
        <v>5237619369.0851402</v>
      </c>
      <c r="AF129">
        <v>-30.79906845</v>
      </c>
      <c r="AH129">
        <v>5237619369.0851402</v>
      </c>
      <c r="AI129">
        <v>-30.779411320000001</v>
      </c>
    </row>
    <row r="130" spans="1:35">
      <c r="A130">
        <v>5140408256.5130615</v>
      </c>
      <c r="B130" s="72">
        <v>-26.95399475</v>
      </c>
      <c r="D130">
        <v>5185408256.5130615</v>
      </c>
      <c r="E130" s="72">
        <v>-29.278461459999999</v>
      </c>
      <c r="G130">
        <v>5239048256.5130615</v>
      </c>
      <c r="H130" s="72">
        <v>-31.185413359999998</v>
      </c>
      <c r="J130">
        <v>5141908256.5130615</v>
      </c>
      <c r="K130" s="72">
        <v>-26.609962459999998</v>
      </c>
      <c r="M130">
        <v>5237548256.5130615</v>
      </c>
      <c r="N130" s="72">
        <v>-31.361610410000001</v>
      </c>
      <c r="P130">
        <v>5239121257.8616333</v>
      </c>
      <c r="Q130">
        <v>-30.69697571</v>
      </c>
      <c r="S130">
        <v>5141981257.8616333</v>
      </c>
      <c r="T130">
        <v>-35.629577640000001</v>
      </c>
      <c r="V130">
        <v>5141981257.8616333</v>
      </c>
      <c r="W130">
        <v>-35.614246369999996</v>
      </c>
      <c r="Y130">
        <v>5141981257.8616333</v>
      </c>
      <c r="Z130">
        <v>-35.632587430000001</v>
      </c>
      <c r="AB130">
        <v>5237622531.6455841</v>
      </c>
      <c r="AC130">
        <v>-31.668479919999999</v>
      </c>
      <c r="AE130">
        <v>5237621892.7444458</v>
      </c>
      <c r="AF130">
        <v>-31.7358017</v>
      </c>
      <c r="AH130">
        <v>5237621892.7444458</v>
      </c>
      <c r="AI130">
        <v>-31.71768951</v>
      </c>
    </row>
    <row r="131" spans="1:35">
      <c r="A131">
        <v>5140409859.7194748</v>
      </c>
      <c r="B131" s="72">
        <v>-27.035991670000001</v>
      </c>
      <c r="D131">
        <v>5185409859.7194748</v>
      </c>
      <c r="E131" s="72">
        <v>-29.323242189999998</v>
      </c>
      <c r="G131">
        <v>5239049859.7194748</v>
      </c>
      <c r="H131" s="72">
        <v>-31.138759610000001</v>
      </c>
      <c r="J131">
        <v>5141909859.7194748</v>
      </c>
      <c r="K131" s="72">
        <v>-26.517292019999999</v>
      </c>
      <c r="M131">
        <v>5237549859.7194748</v>
      </c>
      <c r="N131" s="72">
        <v>-31.28368378</v>
      </c>
      <c r="P131">
        <v>5239123773.5849037</v>
      </c>
      <c r="Q131">
        <v>-30.606052399999999</v>
      </c>
      <c r="S131">
        <v>5141983773.5849037</v>
      </c>
      <c r="T131">
        <v>-35.53872681</v>
      </c>
      <c r="V131">
        <v>5141983773.5849037</v>
      </c>
      <c r="W131">
        <v>-35.518535610000001</v>
      </c>
      <c r="Y131">
        <v>5141983773.5849037</v>
      </c>
      <c r="Z131">
        <v>-35.549114230000001</v>
      </c>
      <c r="AB131">
        <v>5237625063.2911539</v>
      </c>
      <c r="AC131">
        <v>-31.57100677</v>
      </c>
      <c r="AE131">
        <v>5237624416.4037514</v>
      </c>
      <c r="AF131">
        <v>-31.648056029999999</v>
      </c>
      <c r="AH131">
        <v>5237624416.4037514</v>
      </c>
      <c r="AI131">
        <v>-31.62818146</v>
      </c>
    </row>
    <row r="132" spans="1:35">
      <c r="A132">
        <v>5140411462.9258881</v>
      </c>
      <c r="B132" s="72">
        <v>-27.01307297</v>
      </c>
      <c r="D132">
        <v>5185411462.9258881</v>
      </c>
      <c r="E132" s="72">
        <v>-29.36371231</v>
      </c>
      <c r="G132">
        <v>5239051462.9258881</v>
      </c>
      <c r="H132" s="72">
        <v>-31.307746890000001</v>
      </c>
      <c r="J132">
        <v>5141911462.9258881</v>
      </c>
      <c r="K132" s="72">
        <v>-26.43477631</v>
      </c>
      <c r="M132">
        <v>5237551462.9258881</v>
      </c>
      <c r="N132" s="72">
        <v>-31.29330444</v>
      </c>
      <c r="P132">
        <v>5239126289.3081741</v>
      </c>
      <c r="Q132">
        <v>-30.86381149</v>
      </c>
      <c r="S132">
        <v>5141986289.3081741</v>
      </c>
      <c r="T132">
        <v>-35.572460169999999</v>
      </c>
      <c r="V132">
        <v>5141986289.3081741</v>
      </c>
      <c r="W132">
        <v>-35.577648160000003</v>
      </c>
      <c r="Y132">
        <v>5141986289.3081741</v>
      </c>
      <c r="Z132">
        <v>-35.59526443</v>
      </c>
      <c r="AB132">
        <v>5237627594.9367237</v>
      </c>
      <c r="AC132">
        <v>-31.659217829999999</v>
      </c>
      <c r="AE132">
        <v>5237626940.0630569</v>
      </c>
      <c r="AF132">
        <v>-31.741565699999999</v>
      </c>
      <c r="AH132">
        <v>5237626940.0630569</v>
      </c>
      <c r="AI132">
        <v>-31.719116209999999</v>
      </c>
    </row>
    <row r="133" spans="1:35">
      <c r="A133">
        <v>5140413066.1323013</v>
      </c>
      <c r="B133" s="72">
        <v>-27.881565089999999</v>
      </c>
      <c r="D133">
        <v>5185413066.1323013</v>
      </c>
      <c r="E133" s="72">
        <v>-30.266983029999999</v>
      </c>
      <c r="G133">
        <v>5239053066.1323013</v>
      </c>
      <c r="H133" s="72">
        <v>-32.14733124</v>
      </c>
      <c r="J133">
        <v>5141913066.1323013</v>
      </c>
      <c r="K133" s="72">
        <v>-26.66866684</v>
      </c>
      <c r="M133">
        <v>5237553066.1323013</v>
      </c>
      <c r="N133" s="72">
        <v>-31.46156693</v>
      </c>
      <c r="P133">
        <v>5239128805.0314445</v>
      </c>
      <c r="Q133">
        <v>-31.890903470000001</v>
      </c>
      <c r="S133">
        <v>5141988805.0314445</v>
      </c>
      <c r="T133">
        <v>-35.570617679999998</v>
      </c>
      <c r="V133">
        <v>5141988805.0314445</v>
      </c>
      <c r="W133">
        <v>-35.551563260000002</v>
      </c>
      <c r="Y133">
        <v>5141988805.0314445</v>
      </c>
      <c r="Z133">
        <v>-35.602466579999998</v>
      </c>
      <c r="AB133">
        <v>5237630126.5822935</v>
      </c>
      <c r="AC133">
        <v>-31.578613279999999</v>
      </c>
      <c r="AE133">
        <v>5237629463.7223625</v>
      </c>
      <c r="AF133">
        <v>-31.649837489999999</v>
      </c>
      <c r="AH133">
        <v>5237629463.7223625</v>
      </c>
      <c r="AI133">
        <v>-31.625415799999999</v>
      </c>
    </row>
    <row r="134" spans="1:35">
      <c r="A134">
        <v>5140414669.3387146</v>
      </c>
      <c r="B134" s="72">
        <v>-27.264015199999999</v>
      </c>
      <c r="D134">
        <v>5185414669.3387146</v>
      </c>
      <c r="E134" s="72">
        <v>-29.749633790000001</v>
      </c>
      <c r="G134">
        <v>5239054669.3387146</v>
      </c>
      <c r="H134" s="72">
        <v>-31.41657257</v>
      </c>
      <c r="J134">
        <v>5141914669.3387146</v>
      </c>
      <c r="K134" s="72">
        <v>-25.996929170000001</v>
      </c>
      <c r="M134">
        <v>5237554669.3387146</v>
      </c>
      <c r="N134" s="72">
        <v>-30.761829380000002</v>
      </c>
      <c r="P134">
        <v>5239131320.754715</v>
      </c>
      <c r="Q134">
        <v>-31.356693270000001</v>
      </c>
      <c r="S134">
        <v>5141991320.754715</v>
      </c>
      <c r="T134">
        <v>-35.041614529999997</v>
      </c>
      <c r="V134">
        <v>5141991320.754715</v>
      </c>
      <c r="W134">
        <v>-35.032096860000003</v>
      </c>
      <c r="Y134">
        <v>5141991320.754715</v>
      </c>
      <c r="Z134">
        <v>-35.05271149</v>
      </c>
      <c r="AB134">
        <v>5237632658.2278633</v>
      </c>
      <c r="AC134">
        <v>-31.047245029999999</v>
      </c>
      <c r="AE134">
        <v>5237631987.3816681</v>
      </c>
      <c r="AF134">
        <v>-31.13500595</v>
      </c>
      <c r="AH134">
        <v>5237631987.3816681</v>
      </c>
      <c r="AI134">
        <v>-31.111755370000001</v>
      </c>
    </row>
    <row r="135" spans="1:35">
      <c r="A135">
        <v>5140416272.5451279</v>
      </c>
      <c r="B135" s="72">
        <v>-25.444412230000001</v>
      </c>
      <c r="D135">
        <v>5185416272.5451279</v>
      </c>
      <c r="E135" s="72">
        <v>-27.761581419999999</v>
      </c>
      <c r="G135">
        <v>5239056272.5451279</v>
      </c>
      <c r="H135" s="72">
        <v>-29.75130463</v>
      </c>
      <c r="J135">
        <v>5141916272.5451279</v>
      </c>
      <c r="K135" s="72">
        <v>-25.066463469999999</v>
      </c>
      <c r="M135">
        <v>5237556272.5451279</v>
      </c>
      <c r="N135" s="72">
        <v>-29.79198456</v>
      </c>
      <c r="P135">
        <v>5239133836.4779854</v>
      </c>
      <c r="Q135">
        <v>-29.153488159999998</v>
      </c>
      <c r="S135">
        <v>5141993836.4779854</v>
      </c>
      <c r="T135">
        <v>-33.817882539999999</v>
      </c>
      <c r="V135">
        <v>5141993836.4779854</v>
      </c>
      <c r="W135">
        <v>-33.789661410000001</v>
      </c>
      <c r="Y135">
        <v>5141993836.4779854</v>
      </c>
      <c r="Z135">
        <v>-33.847087860000002</v>
      </c>
      <c r="AB135">
        <v>5237635189.8734331</v>
      </c>
      <c r="AC135">
        <v>-29.762775420000001</v>
      </c>
      <c r="AE135">
        <v>5237634511.0409737</v>
      </c>
      <c r="AF135">
        <v>-29.84246826</v>
      </c>
      <c r="AH135">
        <v>5237634511.0409737</v>
      </c>
      <c r="AI135">
        <v>-29.817459110000001</v>
      </c>
    </row>
    <row r="136" spans="1:35">
      <c r="A136">
        <v>5140417875.7515411</v>
      </c>
      <c r="B136" s="72">
        <v>-26.602832790000001</v>
      </c>
      <c r="D136">
        <v>5185417875.7515411</v>
      </c>
      <c r="E136" s="72">
        <v>-28.905761720000001</v>
      </c>
      <c r="G136">
        <v>5239057875.7515411</v>
      </c>
      <c r="H136" s="72">
        <v>-30.82323074</v>
      </c>
      <c r="J136">
        <v>5141917875.7515411</v>
      </c>
      <c r="K136" s="72">
        <v>-26.088745119999999</v>
      </c>
      <c r="M136">
        <v>5237557875.7515411</v>
      </c>
      <c r="N136" s="72">
        <v>-30.924667360000001</v>
      </c>
      <c r="P136">
        <v>5239136352.2012558</v>
      </c>
      <c r="Q136">
        <v>-30.4419632</v>
      </c>
      <c r="S136">
        <v>5141996352.2012558</v>
      </c>
      <c r="T136">
        <v>-34.843406680000001</v>
      </c>
      <c r="V136">
        <v>5141996352.2012558</v>
      </c>
      <c r="W136">
        <v>-34.826385500000001</v>
      </c>
      <c r="Y136">
        <v>5141996352.2012558</v>
      </c>
      <c r="Z136">
        <v>-34.877880099999999</v>
      </c>
      <c r="AB136">
        <v>5237637721.5190029</v>
      </c>
      <c r="AC136">
        <v>-30.941322329999998</v>
      </c>
      <c r="AE136">
        <v>5237637034.7002792</v>
      </c>
      <c r="AF136">
        <v>-31.007514950000001</v>
      </c>
      <c r="AH136">
        <v>5237637034.7002792</v>
      </c>
      <c r="AI136">
        <v>-31.004856109999999</v>
      </c>
    </row>
    <row r="137" spans="1:35">
      <c r="A137">
        <v>5140419478.9579544</v>
      </c>
      <c r="B137" s="72">
        <v>-26.202995300000001</v>
      </c>
      <c r="D137">
        <v>5185419478.9579544</v>
      </c>
      <c r="E137" s="72">
        <v>-28.630416870000001</v>
      </c>
      <c r="G137">
        <v>5239059478.9579544</v>
      </c>
      <c r="H137" s="72">
        <v>-30.24346542</v>
      </c>
      <c r="J137">
        <v>5141919478.9579544</v>
      </c>
      <c r="K137" s="72">
        <v>-25.766693119999999</v>
      </c>
      <c r="M137">
        <v>5237559478.9579544</v>
      </c>
      <c r="N137" s="72">
        <v>-30.33557892</v>
      </c>
      <c r="P137">
        <v>5239138867.9245262</v>
      </c>
      <c r="Q137">
        <v>-29.969673159999999</v>
      </c>
      <c r="S137">
        <v>5141998867.9245262</v>
      </c>
      <c r="T137">
        <v>-34.44682693</v>
      </c>
      <c r="V137">
        <v>5141998867.9245262</v>
      </c>
      <c r="W137">
        <v>-34.431739810000003</v>
      </c>
      <c r="Y137">
        <v>5141998867.9245262</v>
      </c>
      <c r="Z137">
        <v>-34.501720429999999</v>
      </c>
      <c r="AB137">
        <v>5237640253.1645727</v>
      </c>
      <c r="AC137">
        <v>-30.18607712</v>
      </c>
      <c r="AE137">
        <v>5237639558.3595848</v>
      </c>
      <c r="AF137">
        <v>-30.26656723</v>
      </c>
      <c r="AH137">
        <v>5237639558.3595848</v>
      </c>
      <c r="AI137">
        <v>-30.24206161</v>
      </c>
    </row>
    <row r="138" spans="1:35">
      <c r="A138">
        <v>5140421082.1643677</v>
      </c>
      <c r="B138" s="72">
        <v>-27.11188507</v>
      </c>
      <c r="D138">
        <v>5185421082.1643677</v>
      </c>
      <c r="E138" s="72">
        <v>-29.605762479999999</v>
      </c>
      <c r="G138">
        <v>5239061082.1643677</v>
      </c>
      <c r="H138" s="72">
        <v>-31.35679245</v>
      </c>
      <c r="J138">
        <v>5141921082.1643677</v>
      </c>
      <c r="K138" s="72">
        <v>-26.489593509999999</v>
      </c>
      <c r="M138">
        <v>5237561082.1643677</v>
      </c>
      <c r="N138" s="72">
        <v>-31.044925689999999</v>
      </c>
      <c r="P138">
        <v>5239141383.6477966</v>
      </c>
      <c r="Q138">
        <v>-31.29680634</v>
      </c>
      <c r="S138">
        <v>5142001383.6477966</v>
      </c>
      <c r="T138">
        <v>-35.127216339999997</v>
      </c>
      <c r="V138">
        <v>5142001383.6477966</v>
      </c>
      <c r="W138">
        <v>-35.108570100000001</v>
      </c>
      <c r="Y138">
        <v>5142001383.6477966</v>
      </c>
      <c r="Z138">
        <v>-35.174541470000001</v>
      </c>
      <c r="AB138">
        <v>5237642784.8101425</v>
      </c>
      <c r="AC138">
        <v>-30.965248110000001</v>
      </c>
      <c r="AE138">
        <v>5237642082.0188904</v>
      </c>
      <c r="AF138">
        <v>-31.042892460000001</v>
      </c>
      <c r="AH138">
        <v>5237642082.0188904</v>
      </c>
      <c r="AI138">
        <v>-31.02117157</v>
      </c>
    </row>
    <row r="139" spans="1:35">
      <c r="A139">
        <v>5140422685.3707809</v>
      </c>
      <c r="B139" s="72">
        <v>-26.8216629</v>
      </c>
      <c r="D139">
        <v>5185422685.3707809</v>
      </c>
      <c r="E139" s="72">
        <v>-29.164527889999999</v>
      </c>
      <c r="G139">
        <v>5239062685.3707809</v>
      </c>
      <c r="H139" s="72">
        <v>-30.962581629999999</v>
      </c>
      <c r="J139">
        <v>5141922685.3707809</v>
      </c>
      <c r="K139" s="72">
        <v>-26.298942570000001</v>
      </c>
      <c r="M139">
        <v>5237562685.3707809</v>
      </c>
      <c r="N139" s="72">
        <v>-31.016628269999998</v>
      </c>
      <c r="P139">
        <v>5239143899.371067</v>
      </c>
      <c r="Q139">
        <v>-30.79837036</v>
      </c>
      <c r="S139">
        <v>5142003899.371067</v>
      </c>
      <c r="T139">
        <v>-35.136634829999998</v>
      </c>
      <c r="V139">
        <v>5142003899.371067</v>
      </c>
      <c r="W139">
        <v>-35.141670230000003</v>
      </c>
      <c r="Y139">
        <v>5142003899.371067</v>
      </c>
      <c r="Z139">
        <v>-35.181175230000001</v>
      </c>
      <c r="AB139">
        <v>5237645316.4557123</v>
      </c>
      <c r="AC139">
        <v>-31.12487793</v>
      </c>
      <c r="AE139">
        <v>5237644605.678196</v>
      </c>
      <c r="AF139">
        <v>-31.20710373</v>
      </c>
      <c r="AH139">
        <v>5237644605.678196</v>
      </c>
      <c r="AI139">
        <v>-31.184089660000001</v>
      </c>
    </row>
    <row r="140" spans="1:35">
      <c r="A140">
        <v>5140424288.5771942</v>
      </c>
      <c r="B140" s="72">
        <v>-26.07460403</v>
      </c>
      <c r="D140">
        <v>5185424288.5771942</v>
      </c>
      <c r="E140" s="72">
        <v>-27.697017670000001</v>
      </c>
      <c r="G140">
        <v>5239064288.5771942</v>
      </c>
      <c r="H140" s="72">
        <v>-29.940078740000001</v>
      </c>
      <c r="J140">
        <v>5141924288.5771942</v>
      </c>
      <c r="K140" s="72">
        <v>-26.278049469999999</v>
      </c>
      <c r="M140">
        <v>5237564288.5771942</v>
      </c>
      <c r="N140" s="72">
        <v>-30.095973969999999</v>
      </c>
      <c r="P140">
        <v>5239146415.0943375</v>
      </c>
      <c r="Q140">
        <v>-28.922279360000001</v>
      </c>
      <c r="S140">
        <v>5142006415.0943375</v>
      </c>
      <c r="T140">
        <v>-34.889862059999999</v>
      </c>
      <c r="V140">
        <v>5142006415.0943375</v>
      </c>
      <c r="W140">
        <v>-34.921241760000001</v>
      </c>
      <c r="Y140">
        <v>5142006415.0943375</v>
      </c>
      <c r="Z140">
        <v>-34.950328829999997</v>
      </c>
      <c r="AB140">
        <v>5237647848.1012821</v>
      </c>
      <c r="AC140">
        <v>-30.332885739999998</v>
      </c>
      <c r="AE140">
        <v>5237647129.3375015</v>
      </c>
      <c r="AF140">
        <v>-30.241485600000001</v>
      </c>
      <c r="AH140">
        <v>5237647129.3375015</v>
      </c>
      <c r="AI140">
        <v>-30.299957280000001</v>
      </c>
    </row>
    <row r="141" spans="1:35">
      <c r="A141">
        <v>5140425891.7836075</v>
      </c>
      <c r="B141" s="72">
        <v>-25.847820280000001</v>
      </c>
      <c r="D141">
        <v>5185425891.7836075</v>
      </c>
      <c r="E141" s="72">
        <v>-27.778945920000002</v>
      </c>
      <c r="G141">
        <v>5239065891.7836075</v>
      </c>
      <c r="H141" s="72">
        <v>-30.218852999999999</v>
      </c>
      <c r="J141">
        <v>5141925891.7836075</v>
      </c>
      <c r="K141" s="72">
        <v>-25.459930419999999</v>
      </c>
      <c r="M141">
        <v>5237565891.7836075</v>
      </c>
      <c r="N141" s="72">
        <v>-29.270309449999999</v>
      </c>
      <c r="P141">
        <v>5239148930.8176079</v>
      </c>
      <c r="Q141">
        <v>-28.779262540000001</v>
      </c>
      <c r="S141">
        <v>5142008930.8176079</v>
      </c>
      <c r="T141">
        <v>-33.833656310000002</v>
      </c>
      <c r="V141">
        <v>5142008930.8176079</v>
      </c>
      <c r="W141">
        <v>-33.808673859999999</v>
      </c>
      <c r="Y141">
        <v>5142008930.8176079</v>
      </c>
      <c r="Z141">
        <v>-33.840492249999997</v>
      </c>
      <c r="AB141">
        <v>5237650379.7468519</v>
      </c>
      <c r="AC141">
        <v>-28.90280151</v>
      </c>
      <c r="AE141">
        <v>5237649652.9968071</v>
      </c>
      <c r="AF141">
        <v>-28.863849640000002</v>
      </c>
      <c r="AH141">
        <v>5237649652.9968071</v>
      </c>
      <c r="AI141">
        <v>-28.944969180000001</v>
      </c>
    </row>
    <row r="142" spans="1:35">
      <c r="A142">
        <v>5140427494.9900208</v>
      </c>
      <c r="B142" s="72">
        <v>-26.526363369999999</v>
      </c>
      <c r="D142">
        <v>5185427494.9900208</v>
      </c>
      <c r="E142" s="72">
        <v>-28.663318629999999</v>
      </c>
      <c r="G142">
        <v>5239067494.9900208</v>
      </c>
      <c r="H142" s="72">
        <v>-30.949924469999999</v>
      </c>
      <c r="J142">
        <v>5141927494.9900208</v>
      </c>
      <c r="K142" s="72">
        <v>-26.489715579999999</v>
      </c>
      <c r="M142">
        <v>5237567494.9900208</v>
      </c>
      <c r="N142" s="72">
        <v>-30.77782822</v>
      </c>
      <c r="P142">
        <v>5239151446.5408783</v>
      </c>
      <c r="Q142">
        <v>-30.16869354</v>
      </c>
      <c r="S142">
        <v>5142011446.5408783</v>
      </c>
      <c r="T142">
        <v>-35.383441929999996</v>
      </c>
      <c r="V142">
        <v>5142011446.5408783</v>
      </c>
      <c r="W142">
        <v>-35.261650090000003</v>
      </c>
      <c r="Y142">
        <v>5142011446.5408783</v>
      </c>
      <c r="Z142">
        <v>-35.391307830000002</v>
      </c>
      <c r="AB142">
        <v>5237652911.3924217</v>
      </c>
      <c r="AC142">
        <v>-30.940795900000001</v>
      </c>
      <c r="AE142">
        <v>5237652176.6561127</v>
      </c>
      <c r="AF142">
        <v>-30.9228363</v>
      </c>
      <c r="AH142">
        <v>5237652176.6561127</v>
      </c>
      <c r="AI142">
        <v>-30.970115660000001</v>
      </c>
    </row>
    <row r="143" spans="1:35">
      <c r="A143">
        <v>5140429098.196434</v>
      </c>
      <c r="B143" s="72">
        <v>-25.785743709999998</v>
      </c>
      <c r="D143">
        <v>5185429098.196434</v>
      </c>
      <c r="E143" s="72">
        <v>-27.87302017</v>
      </c>
      <c r="G143">
        <v>5239069098.196434</v>
      </c>
      <c r="H143" s="72">
        <v>-30.26436996</v>
      </c>
      <c r="J143">
        <v>5141929098.196434</v>
      </c>
      <c r="K143" s="72">
        <v>-25.337924959999999</v>
      </c>
      <c r="M143">
        <v>5237569098.196434</v>
      </c>
      <c r="N143" s="72">
        <v>-29.678535459999999</v>
      </c>
      <c r="P143">
        <v>5239153962.2641487</v>
      </c>
      <c r="Q143">
        <v>-29.326103209999999</v>
      </c>
      <c r="S143">
        <v>5142013962.2641487</v>
      </c>
      <c r="T143">
        <v>-34.275672909999997</v>
      </c>
      <c r="V143">
        <v>5142013962.2641487</v>
      </c>
      <c r="W143">
        <v>-34.18161774</v>
      </c>
      <c r="Y143">
        <v>5142013962.2641487</v>
      </c>
      <c r="Z143">
        <v>-34.27900314</v>
      </c>
      <c r="AB143">
        <v>5237655443.0379915</v>
      </c>
      <c r="AC143">
        <v>-29.938827509999999</v>
      </c>
      <c r="AE143">
        <v>5237654700.3154182</v>
      </c>
      <c r="AF143">
        <v>-29.92069244</v>
      </c>
      <c r="AH143">
        <v>5237654700.3154182</v>
      </c>
      <c r="AI143">
        <v>-29.975013730000001</v>
      </c>
    </row>
    <row r="144" spans="1:35">
      <c r="A144">
        <v>5140430701.4028473</v>
      </c>
      <c r="B144" s="72">
        <v>-27.042099</v>
      </c>
      <c r="D144">
        <v>5185430701.4028473</v>
      </c>
      <c r="E144" s="72">
        <v>-29.258789060000002</v>
      </c>
      <c r="G144">
        <v>5239070701.4028473</v>
      </c>
      <c r="H144" s="72">
        <v>-31.482353209999999</v>
      </c>
      <c r="J144">
        <v>5141930701.4028473</v>
      </c>
      <c r="K144" s="72">
        <v>-25.788356780000001</v>
      </c>
      <c r="M144">
        <v>5237570701.4028473</v>
      </c>
      <c r="N144" s="72">
        <v>-29.882026669999998</v>
      </c>
      <c r="P144">
        <v>5239156477.9874191</v>
      </c>
      <c r="Q144">
        <v>-30.733528140000001</v>
      </c>
      <c r="S144">
        <v>5142016477.9874191</v>
      </c>
      <c r="T144">
        <v>-34.55883789</v>
      </c>
      <c r="V144">
        <v>5142016477.9874191</v>
      </c>
      <c r="W144">
        <v>-34.468048099999997</v>
      </c>
      <c r="Y144">
        <v>5142016477.9874191</v>
      </c>
      <c r="Z144">
        <v>-34.606803890000002</v>
      </c>
      <c r="AB144">
        <v>5237657974.6835613</v>
      </c>
      <c r="AC144">
        <v>-29.789299010000001</v>
      </c>
      <c r="AE144">
        <v>5237657223.9747238</v>
      </c>
      <c r="AF144">
        <v>-29.78561783</v>
      </c>
      <c r="AH144">
        <v>5237657223.9747238</v>
      </c>
      <c r="AI144">
        <v>-29.832794190000001</v>
      </c>
    </row>
    <row r="145" spans="1:35">
      <c r="A145">
        <v>5140432304.6092606</v>
      </c>
      <c r="B145" s="72">
        <v>-27.073265079999999</v>
      </c>
      <c r="D145">
        <v>5185432304.6092606</v>
      </c>
      <c r="E145" s="72">
        <v>-29.025642399999999</v>
      </c>
      <c r="G145">
        <v>5239072304.6092606</v>
      </c>
      <c r="H145" s="72">
        <v>-31.419593809999999</v>
      </c>
      <c r="J145">
        <v>5141932304.6092606</v>
      </c>
      <c r="K145" s="72">
        <v>-26.15904999</v>
      </c>
      <c r="M145">
        <v>5237572304.6092606</v>
      </c>
      <c r="N145" s="72">
        <v>-30.416694639999999</v>
      </c>
      <c r="P145">
        <v>5239158993.7106895</v>
      </c>
      <c r="Q145">
        <v>-30.266777040000001</v>
      </c>
      <c r="S145">
        <v>5142018993.7106895</v>
      </c>
      <c r="T145">
        <v>-35.049182889999997</v>
      </c>
      <c r="V145">
        <v>5142018993.7106895</v>
      </c>
      <c r="W145">
        <v>-34.951396940000002</v>
      </c>
      <c r="Y145">
        <v>5142018993.7106895</v>
      </c>
      <c r="Z145">
        <v>-35.06307983</v>
      </c>
      <c r="AB145">
        <v>5237660506.3291311</v>
      </c>
      <c r="AC145">
        <v>-30.57892609</v>
      </c>
      <c r="AE145">
        <v>5237659747.6340294</v>
      </c>
      <c r="AF145">
        <v>-30.574939730000001</v>
      </c>
      <c r="AH145">
        <v>5237659747.6340294</v>
      </c>
      <c r="AI145">
        <v>-30.62090302</v>
      </c>
    </row>
    <row r="146" spans="1:35">
      <c r="A146">
        <v>5140433907.8156738</v>
      </c>
      <c r="B146" s="72">
        <v>-26.142494200000002</v>
      </c>
      <c r="D146">
        <v>5185433907.8156738</v>
      </c>
      <c r="E146" s="72">
        <v>-28.264686579999999</v>
      </c>
      <c r="G146">
        <v>5239073907.8156738</v>
      </c>
      <c r="H146" s="72">
        <v>-30.69611359</v>
      </c>
      <c r="J146">
        <v>5141933907.8156738</v>
      </c>
      <c r="K146" s="72">
        <v>-25.62751007</v>
      </c>
      <c r="M146">
        <v>5237573907.8156738</v>
      </c>
      <c r="N146" s="72">
        <v>-29.87666321</v>
      </c>
      <c r="P146">
        <v>5239161509.43396</v>
      </c>
      <c r="Q146">
        <v>-29.594097139999999</v>
      </c>
      <c r="S146">
        <v>5142021509.43396</v>
      </c>
      <c r="T146">
        <v>-34.483978270000001</v>
      </c>
      <c r="V146">
        <v>5142021509.43396</v>
      </c>
      <c r="W146">
        <v>-34.370048519999997</v>
      </c>
      <c r="Y146">
        <v>5142021509.43396</v>
      </c>
      <c r="Z146">
        <v>-34.482948299999997</v>
      </c>
      <c r="AB146">
        <v>5237663037.9747009</v>
      </c>
      <c r="AC146">
        <v>-29.893150330000001</v>
      </c>
      <c r="AE146">
        <v>5237662271.293335</v>
      </c>
      <c r="AF146">
        <v>-29.875469209999999</v>
      </c>
      <c r="AH146">
        <v>5237662271.293335</v>
      </c>
      <c r="AI146">
        <v>-29.924461359999999</v>
      </c>
    </row>
    <row r="147" spans="1:35">
      <c r="A147">
        <v>5140435511.0220871</v>
      </c>
      <c r="B147" s="72">
        <v>-25.831314089999999</v>
      </c>
      <c r="D147">
        <v>5185435511.0220871</v>
      </c>
      <c r="E147" s="72">
        <v>-27.85180664</v>
      </c>
      <c r="G147">
        <v>5239075511.0220871</v>
      </c>
      <c r="H147" s="72">
        <v>-30.321655270000001</v>
      </c>
      <c r="J147">
        <v>5141935511.0220871</v>
      </c>
      <c r="K147" s="72">
        <v>-25.742080690000002</v>
      </c>
      <c r="M147">
        <v>5237575511.0220871</v>
      </c>
      <c r="N147" s="72">
        <v>-29.962207790000001</v>
      </c>
      <c r="P147">
        <v>5239164025.1572304</v>
      </c>
      <c r="Q147">
        <v>-28.969779970000001</v>
      </c>
      <c r="S147">
        <v>5142024025.1572304</v>
      </c>
      <c r="T147">
        <v>-34.42977905</v>
      </c>
      <c r="V147">
        <v>5142024025.1572304</v>
      </c>
      <c r="W147">
        <v>-34.23345947</v>
      </c>
      <c r="Y147">
        <v>5142024025.1572304</v>
      </c>
      <c r="Z147">
        <v>-34.301353450000001</v>
      </c>
      <c r="AB147">
        <v>5237665569.6202707</v>
      </c>
      <c r="AC147">
        <v>-29.737342829999999</v>
      </c>
      <c r="AE147">
        <v>5237664794.9526405</v>
      </c>
      <c r="AF147">
        <v>-29.70577621</v>
      </c>
      <c r="AH147">
        <v>5237664794.9526405</v>
      </c>
      <c r="AI147">
        <v>-29.78484344</v>
      </c>
    </row>
    <row r="148" spans="1:35">
      <c r="A148">
        <v>5140437114.2285004</v>
      </c>
      <c r="B148" s="72">
        <v>-26.550666809999999</v>
      </c>
      <c r="D148">
        <v>5185437114.2285004</v>
      </c>
      <c r="E148" s="72">
        <v>-28.658676150000002</v>
      </c>
      <c r="G148">
        <v>5239077114.2285004</v>
      </c>
      <c r="H148" s="72">
        <v>-30.77931976</v>
      </c>
      <c r="J148">
        <v>5141937114.2285004</v>
      </c>
      <c r="K148" s="72">
        <v>-26.239845280000001</v>
      </c>
      <c r="M148">
        <v>5237577114.2285004</v>
      </c>
      <c r="N148" s="72">
        <v>-30.725776669999998</v>
      </c>
      <c r="P148">
        <v>5239166540.8805008</v>
      </c>
      <c r="Q148">
        <v>-29.846736910000001</v>
      </c>
      <c r="S148">
        <v>5142026540.8805008</v>
      </c>
      <c r="T148">
        <v>-35.422740939999997</v>
      </c>
      <c r="V148">
        <v>5142026540.8805008</v>
      </c>
      <c r="W148">
        <v>-35.35006714</v>
      </c>
      <c r="Y148">
        <v>5142026540.8805008</v>
      </c>
      <c r="Z148">
        <v>-35.408428190000002</v>
      </c>
      <c r="AB148">
        <v>5237668101.2658405</v>
      </c>
      <c r="AC148">
        <v>-31.241867070000001</v>
      </c>
      <c r="AE148">
        <v>5237667318.6119461</v>
      </c>
      <c r="AF148">
        <v>-31.199069980000001</v>
      </c>
      <c r="AH148">
        <v>5237667318.6119461</v>
      </c>
      <c r="AI148">
        <v>-31.286857600000001</v>
      </c>
    </row>
    <row r="149" spans="1:35">
      <c r="A149">
        <v>5140438717.4349136</v>
      </c>
      <c r="B149" s="72">
        <v>-26.71443176</v>
      </c>
      <c r="D149">
        <v>5185438717.4349136</v>
      </c>
      <c r="E149" s="72">
        <v>-28.816627499999999</v>
      </c>
      <c r="G149">
        <v>5239078717.4349136</v>
      </c>
      <c r="H149" s="72">
        <v>-31.204967499999999</v>
      </c>
      <c r="J149">
        <v>5141938717.4349136</v>
      </c>
      <c r="K149" s="72">
        <v>-26.62562943</v>
      </c>
      <c r="M149">
        <v>5237578717.4349136</v>
      </c>
      <c r="N149" s="72">
        <v>-31.244903560000001</v>
      </c>
      <c r="P149">
        <v>5239169056.6037712</v>
      </c>
      <c r="Q149">
        <v>-30.133640289999999</v>
      </c>
      <c r="S149">
        <v>5142029056.6037712</v>
      </c>
      <c r="T149">
        <v>-35.881847380000004</v>
      </c>
      <c r="V149">
        <v>5142029056.6037712</v>
      </c>
      <c r="W149">
        <v>-35.782508849999999</v>
      </c>
      <c r="Y149">
        <v>5142029056.6037712</v>
      </c>
      <c r="Z149">
        <v>-35.853858950000003</v>
      </c>
      <c r="AB149">
        <v>5237670632.9114103</v>
      </c>
      <c r="AC149">
        <v>-31.821308139999999</v>
      </c>
      <c r="AE149">
        <v>5237669842.2712517</v>
      </c>
      <c r="AF149">
        <v>-31.771537779999999</v>
      </c>
      <c r="AH149">
        <v>5237669842.2712517</v>
      </c>
      <c r="AI149">
        <v>-31.869682310000002</v>
      </c>
    </row>
    <row r="150" spans="1:35">
      <c r="A150">
        <v>5140440320.6413269</v>
      </c>
      <c r="B150" s="72">
        <v>-27.681030270000001</v>
      </c>
      <c r="D150">
        <v>5185440320.6413269</v>
      </c>
      <c r="E150" s="72">
        <v>-28.803852079999999</v>
      </c>
      <c r="G150">
        <v>5239080320.6413269</v>
      </c>
      <c r="H150" s="72">
        <v>-31.373779299999999</v>
      </c>
      <c r="J150">
        <v>5141940320.6413269</v>
      </c>
      <c r="K150" s="72">
        <v>-25.35158539</v>
      </c>
      <c r="M150">
        <v>5237580320.6413269</v>
      </c>
      <c r="N150" s="72">
        <v>-30.523262020000001</v>
      </c>
      <c r="P150">
        <v>5239171572.3270416</v>
      </c>
      <c r="Q150">
        <v>-30.211097720000001</v>
      </c>
      <c r="S150">
        <v>5142031572.3270416</v>
      </c>
      <c r="T150">
        <v>-34.160572049999999</v>
      </c>
      <c r="V150">
        <v>5142031572.3270416</v>
      </c>
      <c r="W150">
        <v>-34.020133970000003</v>
      </c>
      <c r="Y150">
        <v>5142031572.3270416</v>
      </c>
      <c r="Z150">
        <v>-34.149421689999997</v>
      </c>
      <c r="AB150">
        <v>5237673164.5569801</v>
      </c>
      <c r="AC150">
        <v>-30.889991760000001</v>
      </c>
      <c r="AE150">
        <v>5237672365.9305573</v>
      </c>
      <c r="AF150">
        <v>-30.713768009999999</v>
      </c>
      <c r="AH150">
        <v>5237672365.9305573</v>
      </c>
      <c r="AI150">
        <v>-30.78638458</v>
      </c>
    </row>
    <row r="151" spans="1:35">
      <c r="A151">
        <v>5140441923.8477402</v>
      </c>
      <c r="B151" s="72">
        <v>-26.647647859999999</v>
      </c>
      <c r="D151">
        <v>5185441923.8477402</v>
      </c>
      <c r="E151" s="72">
        <v>-28.749317170000001</v>
      </c>
      <c r="G151">
        <v>5239081923.8477402</v>
      </c>
      <c r="H151" s="72">
        <v>-31.230617519999999</v>
      </c>
      <c r="J151">
        <v>5141941923.8477402</v>
      </c>
      <c r="K151" s="72">
        <v>-26.23299789</v>
      </c>
      <c r="M151">
        <v>5237581923.8477402</v>
      </c>
      <c r="N151" s="72">
        <v>-30.352069849999999</v>
      </c>
      <c r="P151">
        <v>5239174088.050312</v>
      </c>
      <c r="Q151">
        <v>-30.25622559</v>
      </c>
      <c r="S151">
        <v>5142034088.050312</v>
      </c>
      <c r="T151">
        <v>-35.375896449999999</v>
      </c>
      <c r="V151">
        <v>5142034088.050312</v>
      </c>
      <c r="W151">
        <v>-35.261901860000002</v>
      </c>
      <c r="Y151">
        <v>5142034088.050312</v>
      </c>
      <c r="Z151">
        <v>-35.36289215</v>
      </c>
      <c r="AB151">
        <v>5237675696.2025499</v>
      </c>
      <c r="AC151">
        <v>-30.512977599999999</v>
      </c>
      <c r="AE151">
        <v>5237674889.5898628</v>
      </c>
      <c r="AF151">
        <v>-30.536003109999999</v>
      </c>
      <c r="AH151">
        <v>5237674889.5898628</v>
      </c>
      <c r="AI151">
        <v>-30.63792801</v>
      </c>
    </row>
    <row r="152" spans="1:35">
      <c r="A152">
        <v>5140443527.0541534</v>
      </c>
      <c r="B152" s="72">
        <v>-26.274360659999999</v>
      </c>
      <c r="D152">
        <v>5185443527.0541534</v>
      </c>
      <c r="E152" s="72">
        <v>-29.31539536</v>
      </c>
      <c r="G152">
        <v>5239083527.0541534</v>
      </c>
      <c r="H152" s="72">
        <v>-31.598777770000002</v>
      </c>
      <c r="J152">
        <v>5141943527.0541534</v>
      </c>
      <c r="K152" s="72">
        <v>-26.446941379999998</v>
      </c>
      <c r="M152">
        <v>5237583527.0541534</v>
      </c>
      <c r="N152" s="72">
        <v>-30.56980896</v>
      </c>
      <c r="P152">
        <v>5239176603.7735825</v>
      </c>
      <c r="Q152">
        <v>-30.9256897</v>
      </c>
      <c r="S152">
        <v>5142036603.7735825</v>
      </c>
      <c r="T152">
        <v>-35.244209290000001</v>
      </c>
      <c r="V152">
        <v>5142036603.7735825</v>
      </c>
      <c r="W152">
        <v>-35.114582059999996</v>
      </c>
      <c r="Y152">
        <v>5142036603.7735825</v>
      </c>
      <c r="Z152">
        <v>-35.248619079999997</v>
      </c>
      <c r="AB152">
        <v>5237678227.8481197</v>
      </c>
      <c r="AC152">
        <v>-30.698940279999999</v>
      </c>
      <c r="AE152">
        <v>5237677413.2491684</v>
      </c>
      <c r="AF152">
        <v>-30.718154909999999</v>
      </c>
      <c r="AH152">
        <v>5237677413.2491684</v>
      </c>
      <c r="AI152">
        <v>-30.800022129999999</v>
      </c>
    </row>
    <row r="153" spans="1:35">
      <c r="A153">
        <v>5140445130.2605667</v>
      </c>
      <c r="B153" s="72">
        <v>-26.186641689999998</v>
      </c>
      <c r="D153">
        <v>5185445130.2605667</v>
      </c>
      <c r="E153" s="72">
        <v>-27.60749435</v>
      </c>
      <c r="G153">
        <v>5239085130.2605667</v>
      </c>
      <c r="H153" s="72">
        <v>-30.0737381</v>
      </c>
      <c r="J153">
        <v>5141945130.2605667</v>
      </c>
      <c r="K153" s="72">
        <v>-25.756858829999999</v>
      </c>
      <c r="M153">
        <v>5237585130.2605667</v>
      </c>
      <c r="N153" s="72">
        <v>-30.485790250000001</v>
      </c>
      <c r="P153">
        <v>5239179119.4968529</v>
      </c>
      <c r="Q153">
        <v>-28.96839142</v>
      </c>
      <c r="S153">
        <v>5142039119.4968529</v>
      </c>
      <c r="T153">
        <v>-34.916931150000003</v>
      </c>
      <c r="V153">
        <v>5142039119.4968529</v>
      </c>
      <c r="W153">
        <v>-34.79521561</v>
      </c>
      <c r="Y153">
        <v>5142039119.4968529</v>
      </c>
      <c r="Z153">
        <v>-34.878547670000003</v>
      </c>
      <c r="AB153">
        <v>5237680759.4936895</v>
      </c>
      <c r="AC153">
        <v>-30.937686920000001</v>
      </c>
      <c r="AE153">
        <v>5237679936.908474</v>
      </c>
      <c r="AF153">
        <v>-30.892566680000002</v>
      </c>
      <c r="AH153">
        <v>5237679936.908474</v>
      </c>
      <c r="AI153">
        <v>-30.979320529999999</v>
      </c>
    </row>
    <row r="154" spans="1:35">
      <c r="A154">
        <v>5140446733.46698</v>
      </c>
      <c r="B154" s="72">
        <v>-26.37135696</v>
      </c>
      <c r="D154">
        <v>5185446733.46698</v>
      </c>
      <c r="E154" s="72">
        <v>-28.80273437</v>
      </c>
      <c r="G154">
        <v>5239086733.46698</v>
      </c>
      <c r="H154" s="72">
        <v>-31.384960169999999</v>
      </c>
      <c r="J154">
        <v>5141946733.46698</v>
      </c>
      <c r="K154" s="72">
        <v>-26.17431259</v>
      </c>
      <c r="M154">
        <v>5237586733.46698</v>
      </c>
      <c r="N154" s="72">
        <v>-30.836444849999999</v>
      </c>
      <c r="P154">
        <v>5239181635.2201233</v>
      </c>
      <c r="Q154">
        <v>-30.17237854</v>
      </c>
      <c r="S154">
        <v>5142041635.2201233</v>
      </c>
      <c r="T154">
        <v>-35.122261049999999</v>
      </c>
      <c r="V154">
        <v>5142041635.2201233</v>
      </c>
      <c r="W154">
        <v>-34.980110170000003</v>
      </c>
      <c r="Y154">
        <v>5142041635.2201233</v>
      </c>
      <c r="Z154">
        <v>-35.081428529999997</v>
      </c>
      <c r="AB154">
        <v>5237683291.1392593</v>
      </c>
      <c r="AC154">
        <v>-31.070804599999999</v>
      </c>
      <c r="AE154">
        <v>5237682460.5677795</v>
      </c>
      <c r="AF154">
        <v>-31.02700424</v>
      </c>
      <c r="AH154">
        <v>5237682460.5677795</v>
      </c>
      <c r="AI154">
        <v>-31.108829499999999</v>
      </c>
    </row>
    <row r="155" spans="1:35">
      <c r="A155">
        <v>5140448336.6733932</v>
      </c>
      <c r="B155" s="72">
        <v>-27.73005676</v>
      </c>
      <c r="D155">
        <v>5185448336.6733932</v>
      </c>
      <c r="E155" s="72">
        <v>-29.830455780000001</v>
      </c>
      <c r="G155">
        <v>5239088336.6733932</v>
      </c>
      <c r="H155" s="72">
        <v>-32.326587680000003</v>
      </c>
      <c r="J155">
        <v>5141948336.6733932</v>
      </c>
      <c r="K155" s="72">
        <v>-25.611644739999999</v>
      </c>
      <c r="M155">
        <v>5237588336.6733932</v>
      </c>
      <c r="N155" s="72">
        <v>-30.052600859999998</v>
      </c>
      <c r="P155">
        <v>5239184150.9433937</v>
      </c>
      <c r="Q155">
        <v>-31.298473359999999</v>
      </c>
      <c r="S155">
        <v>5142044150.9433937</v>
      </c>
      <c r="T155">
        <v>-33.985115049999997</v>
      </c>
      <c r="V155">
        <v>5142044150.9433937</v>
      </c>
      <c r="W155">
        <v>-33.774253850000001</v>
      </c>
      <c r="Y155">
        <v>5142044150.9433937</v>
      </c>
      <c r="Z155">
        <v>-33.999595640000003</v>
      </c>
      <c r="AB155">
        <v>5237685822.7848291</v>
      </c>
      <c r="AC155">
        <v>-29.612834929999998</v>
      </c>
      <c r="AE155">
        <v>5237684984.2270851</v>
      </c>
      <c r="AF155">
        <v>-29.5794754</v>
      </c>
      <c r="AH155">
        <v>5237684984.2270851</v>
      </c>
      <c r="AI155">
        <v>-29.649261469999999</v>
      </c>
    </row>
    <row r="156" spans="1:35">
      <c r="A156">
        <v>5140449939.8798065</v>
      </c>
      <c r="B156" s="72">
        <v>-26.188594819999999</v>
      </c>
      <c r="D156">
        <v>5185449939.8798065</v>
      </c>
      <c r="E156" s="72">
        <v>-28.544986720000001</v>
      </c>
      <c r="G156">
        <v>5239089939.8798065</v>
      </c>
      <c r="H156" s="72">
        <v>-31.123519900000002</v>
      </c>
      <c r="J156">
        <v>5141949939.8798065</v>
      </c>
      <c r="K156" s="72">
        <v>-25.683128360000001</v>
      </c>
      <c r="M156">
        <v>5237589939.8798065</v>
      </c>
      <c r="N156" s="72">
        <v>-30.412357329999999</v>
      </c>
      <c r="P156">
        <v>5239186666.6666641</v>
      </c>
      <c r="Q156">
        <v>-30.196815489999999</v>
      </c>
      <c r="S156">
        <v>5142046666.6666641</v>
      </c>
      <c r="T156">
        <v>-34.53522873</v>
      </c>
      <c r="V156">
        <v>5142046666.6666641</v>
      </c>
      <c r="W156">
        <v>-34.367900849999998</v>
      </c>
      <c r="Y156">
        <v>5142046666.6666641</v>
      </c>
      <c r="Z156">
        <v>-34.453254700000002</v>
      </c>
      <c r="AB156">
        <v>5237688354.4303989</v>
      </c>
      <c r="AC156">
        <v>-30.635944370000001</v>
      </c>
      <c r="AE156">
        <v>5237687507.8863907</v>
      </c>
      <c r="AF156">
        <v>-30.60020828</v>
      </c>
      <c r="AH156">
        <v>5237687507.8863907</v>
      </c>
      <c r="AI156">
        <v>-30.680999759999999</v>
      </c>
    </row>
    <row r="157" spans="1:35">
      <c r="A157">
        <v>5140451543.0862198</v>
      </c>
      <c r="B157" s="72">
        <v>-26.96260071</v>
      </c>
      <c r="D157">
        <v>5185451543.0862198</v>
      </c>
      <c r="E157" s="72">
        <v>-28.99669647</v>
      </c>
      <c r="G157">
        <v>5239091543.0862198</v>
      </c>
      <c r="H157" s="72">
        <v>-31.464706419999999</v>
      </c>
      <c r="J157">
        <v>5141951543.0862198</v>
      </c>
      <c r="K157" s="72">
        <v>-26.083366389999998</v>
      </c>
      <c r="M157">
        <v>5237591543.0862198</v>
      </c>
      <c r="N157" s="72">
        <v>-30.690254209999999</v>
      </c>
      <c r="P157">
        <v>5239189182.3899345</v>
      </c>
      <c r="Q157">
        <v>-30.555805209999999</v>
      </c>
      <c r="S157">
        <v>5142049182.3899345</v>
      </c>
      <c r="T157">
        <v>-35.249713900000003</v>
      </c>
      <c r="V157">
        <v>5142049182.3899345</v>
      </c>
      <c r="W157">
        <v>-35.17862701</v>
      </c>
      <c r="Y157">
        <v>5142049182.3899345</v>
      </c>
      <c r="Z157">
        <v>-35.32089233</v>
      </c>
      <c r="AB157">
        <v>5237690886.0759687</v>
      </c>
      <c r="AC157">
        <v>-30.98714828</v>
      </c>
      <c r="AE157">
        <v>5237690031.5456963</v>
      </c>
      <c r="AF157">
        <v>-30.941520690000001</v>
      </c>
      <c r="AH157">
        <v>5237690031.5456963</v>
      </c>
      <c r="AI157">
        <v>-31.014625550000002</v>
      </c>
    </row>
    <row r="158" spans="1:35">
      <c r="A158">
        <v>5140453146.2926331</v>
      </c>
      <c r="B158" s="72">
        <v>-25.969287869999999</v>
      </c>
      <c r="D158">
        <v>5185453146.2926331</v>
      </c>
      <c r="E158" s="72">
        <v>-28.17513275</v>
      </c>
      <c r="G158">
        <v>5239093146.2926331</v>
      </c>
      <c r="H158" s="72">
        <v>-30.688232419999999</v>
      </c>
      <c r="J158">
        <v>5141953146.2926331</v>
      </c>
      <c r="K158" s="72">
        <v>-25.380802150000001</v>
      </c>
      <c r="M158">
        <v>5237593146.2926331</v>
      </c>
      <c r="N158" s="72">
        <v>-29.927146910000001</v>
      </c>
      <c r="P158">
        <v>5239191698.113205</v>
      </c>
      <c r="Q158">
        <v>-29.609970090000001</v>
      </c>
      <c r="S158">
        <v>5142051698.113205</v>
      </c>
      <c r="T158">
        <v>-34.186229709999999</v>
      </c>
      <c r="V158">
        <v>5142051698.113205</v>
      </c>
      <c r="W158">
        <v>-34.036731719999999</v>
      </c>
      <c r="Y158">
        <v>5142051698.113205</v>
      </c>
      <c r="Z158">
        <v>-34.194786069999999</v>
      </c>
      <c r="AB158">
        <v>5237693417.7215385</v>
      </c>
      <c r="AC158">
        <v>-29.971736910000001</v>
      </c>
      <c r="AE158">
        <v>5237692555.2050018</v>
      </c>
      <c r="AF158">
        <v>-29.917957309999998</v>
      </c>
      <c r="AH158">
        <v>5237692555.2050018</v>
      </c>
      <c r="AI158">
        <v>-29.988609310000001</v>
      </c>
    </row>
    <row r="159" spans="1:35">
      <c r="A159">
        <v>5140454749.4990463</v>
      </c>
      <c r="B159" s="72">
        <v>-26.58617783</v>
      </c>
      <c r="D159">
        <v>5185454749.4990463</v>
      </c>
      <c r="E159" s="72">
        <v>-28.566013340000001</v>
      </c>
      <c r="G159">
        <v>5239094749.4990463</v>
      </c>
      <c r="H159" s="72">
        <v>-30.938312530000001</v>
      </c>
      <c r="J159">
        <v>5141954749.4990463</v>
      </c>
      <c r="K159" s="72">
        <v>-25.52471542</v>
      </c>
      <c r="M159">
        <v>5237594749.4990463</v>
      </c>
      <c r="N159" s="72">
        <v>-29.927394870000001</v>
      </c>
      <c r="P159">
        <v>5239194213.8364754</v>
      </c>
      <c r="Q159">
        <v>-29.859081270000001</v>
      </c>
      <c r="S159">
        <v>5142054213.8364754</v>
      </c>
      <c r="T159">
        <v>-34.418388370000002</v>
      </c>
      <c r="V159">
        <v>5142054213.8364754</v>
      </c>
      <c r="W159">
        <v>-34.267761229999998</v>
      </c>
      <c r="Y159">
        <v>5142054213.8364754</v>
      </c>
      <c r="Z159">
        <v>-34.386558530000002</v>
      </c>
      <c r="AB159">
        <v>5237695949.3671083</v>
      </c>
      <c r="AC159">
        <v>-29.97304535</v>
      </c>
      <c r="AE159">
        <v>5237695078.8643074</v>
      </c>
      <c r="AF159">
        <v>-29.965351099999999</v>
      </c>
      <c r="AH159">
        <v>5237695078.8643074</v>
      </c>
      <c r="AI159">
        <v>-30.045898439999998</v>
      </c>
    </row>
    <row r="160" spans="1:35">
      <c r="A160">
        <v>5140456352.7054596</v>
      </c>
      <c r="B160" s="72">
        <v>-26.628383639999999</v>
      </c>
      <c r="D160">
        <v>5185456352.7054596</v>
      </c>
      <c r="E160" s="72">
        <v>-28.76885605</v>
      </c>
      <c r="G160">
        <v>5239096352.7054596</v>
      </c>
      <c r="H160" s="72">
        <v>-31.312915799999999</v>
      </c>
      <c r="J160">
        <v>5141956352.7054596</v>
      </c>
      <c r="K160" s="72">
        <v>-26.550407409999998</v>
      </c>
      <c r="M160">
        <v>5237596352.7054596</v>
      </c>
      <c r="N160" s="72">
        <v>-32.321731569999997</v>
      </c>
      <c r="P160">
        <v>5239196729.5597458</v>
      </c>
      <c r="Q160">
        <v>-30.254829409999999</v>
      </c>
      <c r="S160">
        <v>5142056729.5597458</v>
      </c>
      <c r="T160">
        <v>-35.622703549999997</v>
      </c>
      <c r="V160">
        <v>5142056729.5597458</v>
      </c>
      <c r="W160">
        <v>-35.468566889999998</v>
      </c>
      <c r="Y160">
        <v>5142056729.5597458</v>
      </c>
      <c r="Z160">
        <v>-35.553031920000002</v>
      </c>
      <c r="AB160">
        <v>5237698481.0126781</v>
      </c>
      <c r="AC160">
        <v>-32.983558649999999</v>
      </c>
      <c r="AE160">
        <v>5237697602.523613</v>
      </c>
      <c r="AF160">
        <v>-32.857738490000003</v>
      </c>
      <c r="AH160">
        <v>5237697602.523613</v>
      </c>
      <c r="AI160">
        <v>-32.911052699999999</v>
      </c>
    </row>
    <row r="161" spans="1:35">
      <c r="A161">
        <v>5140457955.9118729</v>
      </c>
      <c r="B161" s="72">
        <v>-26.570968629999999</v>
      </c>
      <c r="D161">
        <v>5185457955.9118729</v>
      </c>
      <c r="E161" s="72">
        <v>-29.244804380000001</v>
      </c>
      <c r="G161">
        <v>5239097955.9118729</v>
      </c>
      <c r="H161" s="72">
        <v>-31.798561100000001</v>
      </c>
      <c r="J161">
        <v>5141957955.9118729</v>
      </c>
      <c r="K161" s="72">
        <v>-27.384826660000002</v>
      </c>
      <c r="M161">
        <v>5237597955.9118729</v>
      </c>
      <c r="N161" s="72">
        <v>-31.351726530000001</v>
      </c>
      <c r="P161">
        <v>5239199245.2830162</v>
      </c>
      <c r="Q161">
        <v>-31.01184464</v>
      </c>
      <c r="S161">
        <v>5142059245.2830162</v>
      </c>
      <c r="T161">
        <v>-36.793128969999998</v>
      </c>
      <c r="V161">
        <v>5142059245.2830162</v>
      </c>
      <c r="W161">
        <v>-36.682670590000001</v>
      </c>
      <c r="Y161">
        <v>5142059245.2830162</v>
      </c>
      <c r="Z161">
        <v>-36.753124239999998</v>
      </c>
      <c r="AB161">
        <v>5237701012.6582479</v>
      </c>
      <c r="AC161">
        <v>-31.733814240000001</v>
      </c>
      <c r="AE161">
        <v>5237700126.1829185</v>
      </c>
      <c r="AF161">
        <v>-31.765876769999998</v>
      </c>
      <c r="AH161">
        <v>5237700126.1829185</v>
      </c>
      <c r="AI161">
        <v>-31.86827469</v>
      </c>
    </row>
    <row r="162" spans="1:35">
      <c r="A162">
        <v>5140459559.1182861</v>
      </c>
      <c r="B162" s="72">
        <v>-27.43926239</v>
      </c>
      <c r="D162">
        <v>5185459559.1182861</v>
      </c>
      <c r="E162" s="72">
        <v>-29.473823549999999</v>
      </c>
      <c r="G162">
        <v>5239099559.1182861</v>
      </c>
      <c r="H162" s="72">
        <v>-31.976791380000002</v>
      </c>
      <c r="J162">
        <v>5141959559.1182861</v>
      </c>
      <c r="K162" s="72">
        <v>-25.13468933</v>
      </c>
      <c r="M162">
        <v>5237599559.1182861</v>
      </c>
      <c r="N162" s="72">
        <v>-29.946250920000001</v>
      </c>
      <c r="P162">
        <v>5239201761.0062866</v>
      </c>
      <c r="Q162">
        <v>-31.090309139999999</v>
      </c>
      <c r="S162">
        <v>5142061761.0062866</v>
      </c>
      <c r="T162">
        <v>-34.060607910000002</v>
      </c>
      <c r="V162">
        <v>5142061761.0062866</v>
      </c>
      <c r="W162">
        <v>-33.978088380000003</v>
      </c>
      <c r="Y162">
        <v>5142061761.0062866</v>
      </c>
      <c r="Z162">
        <v>-34.128547670000003</v>
      </c>
      <c r="AB162">
        <v>5237703544.3038177</v>
      </c>
      <c r="AC162">
        <v>-30.05615997</v>
      </c>
      <c r="AE162">
        <v>5237702649.8422241</v>
      </c>
      <c r="AF162">
        <v>-29.98888397</v>
      </c>
      <c r="AH162">
        <v>5237702649.8422241</v>
      </c>
      <c r="AI162">
        <v>-30.06857681</v>
      </c>
    </row>
    <row r="163" spans="1:35">
      <c r="A163">
        <v>5140461162.3246994</v>
      </c>
      <c r="B163" s="72">
        <v>-26.496154789999999</v>
      </c>
      <c r="D163">
        <v>5185461162.3246994</v>
      </c>
      <c r="E163" s="72">
        <v>-28.585376740000001</v>
      </c>
      <c r="G163">
        <v>5239101162.3246994</v>
      </c>
      <c r="H163" s="72">
        <v>-31.14282227</v>
      </c>
      <c r="J163">
        <v>5141961162.3246994</v>
      </c>
      <c r="K163" s="72">
        <v>-26.79641342</v>
      </c>
      <c r="M163">
        <v>5237601162.3246994</v>
      </c>
      <c r="N163" s="72">
        <v>-32.259750369999999</v>
      </c>
      <c r="P163">
        <v>5239204276.729557</v>
      </c>
      <c r="Q163">
        <v>-30.017997739999998</v>
      </c>
      <c r="S163">
        <v>5142064276.729557</v>
      </c>
      <c r="T163">
        <v>-35.793617249999997</v>
      </c>
      <c r="V163">
        <v>5142064276.729557</v>
      </c>
      <c r="W163">
        <v>-35.60272217</v>
      </c>
      <c r="Y163">
        <v>5142064276.729557</v>
      </c>
      <c r="Z163">
        <v>-35.668018340000003</v>
      </c>
      <c r="AB163">
        <v>5237706075.9493876</v>
      </c>
      <c r="AC163">
        <v>-32.80994415</v>
      </c>
      <c r="AE163">
        <v>5237705173.5015297</v>
      </c>
      <c r="AF163">
        <v>-32.771213529999997</v>
      </c>
      <c r="AH163">
        <v>5237705173.5015297</v>
      </c>
      <c r="AI163">
        <v>-32.843223569999999</v>
      </c>
    </row>
    <row r="164" spans="1:35">
      <c r="A164">
        <v>5140462765.5311127</v>
      </c>
      <c r="B164" s="72">
        <v>-26.95689011</v>
      </c>
      <c r="D164">
        <v>5185462765.5311127</v>
      </c>
      <c r="E164" s="72">
        <v>-29.173519129999999</v>
      </c>
      <c r="G164">
        <v>5239102765.5311127</v>
      </c>
      <c r="H164" s="72">
        <v>-31.591178889999998</v>
      </c>
      <c r="J164">
        <v>5141962765.5311127</v>
      </c>
      <c r="K164" s="72">
        <v>-25.94087219</v>
      </c>
      <c r="M164">
        <v>5237602765.5311127</v>
      </c>
      <c r="N164" s="72">
        <v>-30.368602750000001</v>
      </c>
      <c r="P164">
        <v>5239206792.4528275</v>
      </c>
      <c r="Q164">
        <v>-30.436840060000002</v>
      </c>
      <c r="S164">
        <v>5142066792.4528275</v>
      </c>
      <c r="T164">
        <v>-35.077674870000003</v>
      </c>
      <c r="V164">
        <v>5142066792.4528275</v>
      </c>
      <c r="W164">
        <v>-35.017711640000002</v>
      </c>
      <c r="Y164">
        <v>5142066792.4528275</v>
      </c>
      <c r="Z164">
        <v>-35.1413765</v>
      </c>
      <c r="AB164">
        <v>5237708607.5949574</v>
      </c>
      <c r="AC164">
        <v>-30.590404509999999</v>
      </c>
      <c r="AE164">
        <v>5237707697.1608353</v>
      </c>
      <c r="AF164">
        <v>-30.549137120000001</v>
      </c>
      <c r="AH164">
        <v>5237707697.1608353</v>
      </c>
      <c r="AI164">
        <v>-30.63819122</v>
      </c>
    </row>
    <row r="165" spans="1:35">
      <c r="A165">
        <v>5140464368.7375259</v>
      </c>
      <c r="B165" s="72">
        <v>-26.58033752</v>
      </c>
      <c r="D165">
        <v>5185464368.7375259</v>
      </c>
      <c r="E165" s="72">
        <v>-28.84856796</v>
      </c>
      <c r="G165">
        <v>5239104368.7375259</v>
      </c>
      <c r="H165" s="72">
        <v>-31.4272995</v>
      </c>
      <c r="J165">
        <v>5141964368.7375259</v>
      </c>
      <c r="K165" s="72">
        <v>-26.248031619999999</v>
      </c>
      <c r="M165">
        <v>5237604368.7375259</v>
      </c>
      <c r="N165" s="72">
        <v>-30.914291380000002</v>
      </c>
      <c r="P165">
        <v>5239209308.1760979</v>
      </c>
      <c r="Q165">
        <v>-30.360755919999999</v>
      </c>
      <c r="S165">
        <v>5142069308.1760979</v>
      </c>
      <c r="T165">
        <v>-35.475746149999999</v>
      </c>
      <c r="V165">
        <v>5142069308.1760979</v>
      </c>
      <c r="W165">
        <v>-35.361236570000003</v>
      </c>
      <c r="Y165">
        <v>5142069308.1760979</v>
      </c>
      <c r="Z165">
        <v>-35.440662379999999</v>
      </c>
      <c r="AB165">
        <v>5237711139.2405272</v>
      </c>
      <c r="AC165">
        <v>-31.364089969999998</v>
      </c>
      <c r="AE165">
        <v>5237710220.8201408</v>
      </c>
      <c r="AF165">
        <v>-31.35910797</v>
      </c>
      <c r="AH165">
        <v>5237710220.8201408</v>
      </c>
      <c r="AI165">
        <v>-31.449012759999999</v>
      </c>
    </row>
    <row r="166" spans="1:35">
      <c r="A166">
        <v>5140465971.9439392</v>
      </c>
      <c r="B166" s="72">
        <v>-27.735496520000002</v>
      </c>
      <c r="D166">
        <v>5185465971.9439392</v>
      </c>
      <c r="E166" s="72">
        <v>-30.234912869999999</v>
      </c>
      <c r="G166">
        <v>5239105971.9439392</v>
      </c>
      <c r="H166" s="72">
        <v>-32.779678339999997</v>
      </c>
      <c r="J166">
        <v>5141965971.9439392</v>
      </c>
      <c r="K166" s="72">
        <v>-25.924507139999999</v>
      </c>
      <c r="M166">
        <v>5237605971.9439392</v>
      </c>
      <c r="N166" s="72">
        <v>-30.725696559999999</v>
      </c>
      <c r="P166">
        <v>5239211823.8993683</v>
      </c>
      <c r="Q166">
        <v>-31.94400787</v>
      </c>
      <c r="S166">
        <v>5142071823.8993683</v>
      </c>
      <c r="T166">
        <v>-35.027179719999999</v>
      </c>
      <c r="V166">
        <v>5142071823.8993683</v>
      </c>
      <c r="W166">
        <v>-34.940879819999999</v>
      </c>
      <c r="Y166">
        <v>5142071823.8993683</v>
      </c>
      <c r="Z166">
        <v>-35.076782229999999</v>
      </c>
      <c r="AB166">
        <v>5237713670.886097</v>
      </c>
      <c r="AC166">
        <v>-30.926307680000001</v>
      </c>
      <c r="AE166">
        <v>5237712744.4794464</v>
      </c>
      <c r="AF166">
        <v>-30.859489440000001</v>
      </c>
      <c r="AH166">
        <v>5237712744.4794464</v>
      </c>
      <c r="AI166">
        <v>-30.945491789999998</v>
      </c>
    </row>
    <row r="167" spans="1:35">
      <c r="A167">
        <v>5140467575.1503525</v>
      </c>
      <c r="B167" s="72">
        <v>-26.971485139999999</v>
      </c>
      <c r="D167">
        <v>5185467575.1503525</v>
      </c>
      <c r="E167" s="72">
        <v>-29.073120119999999</v>
      </c>
      <c r="G167">
        <v>5239107575.1503525</v>
      </c>
      <c r="H167" s="72">
        <v>-31.491886139999998</v>
      </c>
      <c r="J167">
        <v>5141967575.1503525</v>
      </c>
      <c r="K167" s="72">
        <v>-25.842994690000001</v>
      </c>
      <c r="M167">
        <v>5237607575.1503525</v>
      </c>
      <c r="N167" s="72">
        <v>-30.681999210000001</v>
      </c>
      <c r="P167">
        <v>5239214339.6226387</v>
      </c>
      <c r="Q167">
        <v>-30.74910736</v>
      </c>
      <c r="S167">
        <v>5142074339.6226387</v>
      </c>
      <c r="T167">
        <v>-34.936622620000001</v>
      </c>
      <c r="V167">
        <v>5142074339.6226387</v>
      </c>
      <c r="W167">
        <v>-34.802074429999998</v>
      </c>
      <c r="Y167">
        <v>5142074339.6226387</v>
      </c>
      <c r="Z167">
        <v>-34.895427699999999</v>
      </c>
      <c r="AB167">
        <v>5237716202.5316668</v>
      </c>
      <c r="AC167">
        <v>-31.00154495</v>
      </c>
      <c r="AE167">
        <v>5237715268.138752</v>
      </c>
      <c r="AF167">
        <v>-30.963310239999998</v>
      </c>
      <c r="AH167">
        <v>5237715268.138752</v>
      </c>
      <c r="AI167">
        <v>-31.056705470000001</v>
      </c>
    </row>
    <row r="168" spans="1:35">
      <c r="A168">
        <v>5140469178.3567657</v>
      </c>
      <c r="B168" s="72">
        <v>-25.228054050000001</v>
      </c>
      <c r="D168">
        <v>5185469178.3567657</v>
      </c>
      <c r="E168" s="72">
        <v>-27.31982803</v>
      </c>
      <c r="G168">
        <v>5239109178.3567657</v>
      </c>
      <c r="H168" s="72">
        <v>-29.923561100000001</v>
      </c>
      <c r="J168">
        <v>5141969178.3567657</v>
      </c>
      <c r="K168" s="72">
        <v>-24.767887120000001</v>
      </c>
      <c r="M168">
        <v>5237609178.3567657</v>
      </c>
      <c r="N168" s="72">
        <v>-29.476383210000002</v>
      </c>
      <c r="P168">
        <v>5239216855.3459091</v>
      </c>
      <c r="Q168">
        <v>-28.762313840000001</v>
      </c>
      <c r="S168">
        <v>5142076855.3459091</v>
      </c>
      <c r="T168">
        <v>-33.637336730000001</v>
      </c>
      <c r="V168">
        <v>5142076855.3459091</v>
      </c>
      <c r="W168">
        <v>-33.51919556</v>
      </c>
      <c r="Y168">
        <v>5142076855.3459091</v>
      </c>
      <c r="Z168">
        <v>-33.648597719999998</v>
      </c>
      <c r="AB168">
        <v>5237718734.1772366</v>
      </c>
      <c r="AC168">
        <v>-29.522708890000001</v>
      </c>
      <c r="AE168">
        <v>5237717791.7980576</v>
      </c>
      <c r="AF168">
        <v>-29.479904170000001</v>
      </c>
      <c r="AH168">
        <v>5237717791.7980576</v>
      </c>
      <c r="AI168">
        <v>-29.562950130000001</v>
      </c>
    </row>
    <row r="169" spans="1:35">
      <c r="A169">
        <v>5140470781.563179</v>
      </c>
      <c r="B169" s="72">
        <v>-26.085292819999999</v>
      </c>
      <c r="D169">
        <v>5185470781.563179</v>
      </c>
      <c r="E169" s="72">
        <v>-28.3166008</v>
      </c>
      <c r="G169">
        <v>5239110781.563179</v>
      </c>
      <c r="H169" s="72">
        <v>-30.869541170000002</v>
      </c>
      <c r="J169">
        <v>5141970781.563179</v>
      </c>
      <c r="K169" s="72">
        <v>-25.550823210000001</v>
      </c>
      <c r="M169">
        <v>5237610781.563179</v>
      </c>
      <c r="N169" s="72">
        <v>-30.317577360000001</v>
      </c>
      <c r="P169">
        <v>5239219371.0691795</v>
      </c>
      <c r="Q169">
        <v>-29.828426360000002</v>
      </c>
      <c r="S169">
        <v>5142079371.0691795</v>
      </c>
      <c r="T169">
        <v>-34.453697200000001</v>
      </c>
      <c r="V169">
        <v>5142079371.0691795</v>
      </c>
      <c r="W169">
        <v>-34.326648710000001</v>
      </c>
      <c r="Y169">
        <v>5142079371.0691795</v>
      </c>
      <c r="Z169">
        <v>-34.454700469999999</v>
      </c>
      <c r="AB169">
        <v>5237721265.8228064</v>
      </c>
      <c r="AC169">
        <v>-30.468971249999999</v>
      </c>
      <c r="AE169">
        <v>5237720315.4573631</v>
      </c>
      <c r="AF169">
        <v>-30.452468870000001</v>
      </c>
      <c r="AH169">
        <v>5237720315.4573631</v>
      </c>
      <c r="AI169">
        <v>-30.529499049999998</v>
      </c>
    </row>
    <row r="170" spans="1:35">
      <c r="A170">
        <v>5140472384.7695923</v>
      </c>
      <c r="B170" s="72">
        <v>-26.200126650000001</v>
      </c>
      <c r="D170">
        <v>5185472384.7695923</v>
      </c>
      <c r="E170" s="72">
        <v>-28.693370819999998</v>
      </c>
      <c r="G170">
        <v>5239112384.7695923</v>
      </c>
      <c r="H170" s="72">
        <v>-30.98487854</v>
      </c>
      <c r="J170">
        <v>5141972384.7695923</v>
      </c>
      <c r="K170" s="72">
        <v>-26.317066189999998</v>
      </c>
      <c r="M170">
        <v>5237612384.7695923</v>
      </c>
      <c r="N170" s="72">
        <v>-32.426303859999997</v>
      </c>
      <c r="P170">
        <v>5239221886.79245</v>
      </c>
      <c r="Q170">
        <v>-30.083305360000001</v>
      </c>
      <c r="S170">
        <v>5142081886.79245</v>
      </c>
      <c r="T170">
        <v>-35.034759520000001</v>
      </c>
      <c r="V170">
        <v>5142081886.79245</v>
      </c>
      <c r="W170">
        <v>-34.759418490000002</v>
      </c>
      <c r="Y170">
        <v>5142081886.79245</v>
      </c>
      <c r="Z170">
        <v>-34.830818180000001</v>
      </c>
      <c r="AB170">
        <v>5237723797.4683762</v>
      </c>
      <c r="AC170">
        <v>-33.061866760000001</v>
      </c>
      <c r="AE170">
        <v>5237722839.1166687</v>
      </c>
      <c r="AF170">
        <v>-32.931709290000001</v>
      </c>
      <c r="AH170">
        <v>5237722839.1166687</v>
      </c>
      <c r="AI170">
        <v>-32.98073196</v>
      </c>
    </row>
    <row r="171" spans="1:35">
      <c r="A171">
        <v>5140473987.9760056</v>
      </c>
      <c r="B171" s="72">
        <v>-26.84350586</v>
      </c>
      <c r="D171">
        <v>5185473987.9760056</v>
      </c>
      <c r="E171" s="72">
        <v>-29.5929985</v>
      </c>
      <c r="G171">
        <v>5239113987.9760056</v>
      </c>
      <c r="H171" s="72">
        <v>-32.018867489999998</v>
      </c>
      <c r="J171">
        <v>5141973987.9760056</v>
      </c>
      <c r="K171" s="72">
        <v>-25.53305817</v>
      </c>
      <c r="M171">
        <v>5237613987.9760056</v>
      </c>
      <c r="N171" s="72">
        <v>-29.28486633</v>
      </c>
      <c r="P171">
        <v>5239224402.5157204</v>
      </c>
      <c r="Q171">
        <v>-31.402740479999999</v>
      </c>
      <c r="S171">
        <v>5142084402.5157204</v>
      </c>
      <c r="T171">
        <v>-34.355186459999999</v>
      </c>
      <c r="V171">
        <v>5142084402.5157204</v>
      </c>
      <c r="W171">
        <v>-34.303825379999999</v>
      </c>
      <c r="Y171">
        <v>5142084402.5157204</v>
      </c>
      <c r="Z171">
        <v>-34.517616269999998</v>
      </c>
      <c r="AB171">
        <v>5237726329.113946</v>
      </c>
      <c r="AC171">
        <v>-28.90299225</v>
      </c>
      <c r="AE171">
        <v>5237725362.7759743</v>
      </c>
      <c r="AF171">
        <v>-28.902881619999999</v>
      </c>
      <c r="AH171">
        <v>5237725362.7759743</v>
      </c>
      <c r="AI171">
        <v>-28.993770600000001</v>
      </c>
    </row>
    <row r="172" spans="1:35">
      <c r="A172">
        <v>5140475591.1824188</v>
      </c>
      <c r="B172" s="72">
        <v>-26.332691189999998</v>
      </c>
      <c r="D172">
        <v>5185475591.1824188</v>
      </c>
      <c r="E172" s="72">
        <v>-28.347774510000001</v>
      </c>
      <c r="G172">
        <v>5239115591.1824188</v>
      </c>
      <c r="H172" s="72">
        <v>-30.863216399999999</v>
      </c>
      <c r="J172">
        <v>5141975591.1824188</v>
      </c>
      <c r="K172" s="72">
        <v>-26.357196810000001</v>
      </c>
      <c r="M172">
        <v>5237615591.1824188</v>
      </c>
      <c r="N172" s="72">
        <v>-31.12386703</v>
      </c>
      <c r="P172">
        <v>5239226918.2389908</v>
      </c>
      <c r="Q172">
        <v>-29.974372859999999</v>
      </c>
      <c r="S172">
        <v>5142086918.2389908</v>
      </c>
      <c r="T172">
        <v>-35.248210909999997</v>
      </c>
      <c r="V172">
        <v>5142086918.2389908</v>
      </c>
      <c r="W172">
        <v>-35.097007750000003</v>
      </c>
      <c r="Y172">
        <v>5142086918.2389908</v>
      </c>
      <c r="Z172">
        <v>-35.197051999999999</v>
      </c>
      <c r="AB172">
        <v>5237728860.7595158</v>
      </c>
      <c r="AC172">
        <v>-31.276725769999999</v>
      </c>
      <c r="AE172">
        <v>5237727886.4352798</v>
      </c>
      <c r="AF172">
        <v>-31.236625669999999</v>
      </c>
      <c r="AH172">
        <v>5237727886.4352798</v>
      </c>
      <c r="AI172">
        <v>-31.32542801</v>
      </c>
    </row>
    <row r="173" spans="1:35">
      <c r="A173">
        <v>5140477194.3888321</v>
      </c>
      <c r="B173" s="72">
        <v>-25.878273010000001</v>
      </c>
      <c r="D173">
        <v>5185477194.3888321</v>
      </c>
      <c r="E173" s="72">
        <v>-27.428268429999999</v>
      </c>
      <c r="G173">
        <v>5239117194.3888321</v>
      </c>
      <c r="H173" s="72">
        <v>-29.941608429999999</v>
      </c>
      <c r="J173">
        <v>5141977194.3888321</v>
      </c>
      <c r="K173" s="72">
        <v>-25.955024720000001</v>
      </c>
      <c r="M173">
        <v>5237617194.3888321</v>
      </c>
      <c r="N173" s="72">
        <v>-29.868213650000001</v>
      </c>
      <c r="P173">
        <v>5239229433.9622612</v>
      </c>
      <c r="Q173">
        <v>-28.764350889999999</v>
      </c>
      <c r="S173">
        <v>5142089433.9622612</v>
      </c>
      <c r="T173">
        <v>-34.805126190000003</v>
      </c>
      <c r="V173">
        <v>5142089433.9622612</v>
      </c>
      <c r="W173">
        <v>-34.771038060000002</v>
      </c>
      <c r="Y173">
        <v>5142089433.9622612</v>
      </c>
      <c r="Z173">
        <v>-34.83776855</v>
      </c>
      <c r="AB173">
        <v>5237731392.4050856</v>
      </c>
      <c r="AC173">
        <v>-30.057548520000001</v>
      </c>
      <c r="AE173">
        <v>5237730410.0945854</v>
      </c>
      <c r="AF173">
        <v>-29.999961849999998</v>
      </c>
      <c r="AH173">
        <v>5237730410.0945854</v>
      </c>
      <c r="AI173">
        <v>-30.244922639999999</v>
      </c>
    </row>
    <row r="174" spans="1:35">
      <c r="A174">
        <v>5140478797.5952454</v>
      </c>
      <c r="B174" s="72">
        <v>-25.441062930000001</v>
      </c>
      <c r="D174">
        <v>5185478797.5952454</v>
      </c>
      <c r="E174" s="72">
        <v>-27.365398410000001</v>
      </c>
      <c r="G174">
        <v>5239118797.5952454</v>
      </c>
      <c r="H174" s="72">
        <v>-29.99737167</v>
      </c>
      <c r="J174">
        <v>5141978797.5952454</v>
      </c>
      <c r="K174" s="72">
        <v>-25.05912781</v>
      </c>
      <c r="M174">
        <v>5237618797.5952454</v>
      </c>
      <c r="N174" s="72">
        <v>-28.767589569999998</v>
      </c>
      <c r="P174">
        <v>5239231949.6855316</v>
      </c>
      <c r="Q174">
        <v>-28.64342117</v>
      </c>
      <c r="S174">
        <v>5142091949.6855316</v>
      </c>
      <c r="T174">
        <v>-33.56206512</v>
      </c>
      <c r="V174">
        <v>5142091949.6855316</v>
      </c>
      <c r="W174">
        <v>-33.471912379999999</v>
      </c>
      <c r="Y174">
        <v>5142091949.6855316</v>
      </c>
      <c r="Z174">
        <v>-33.524730679999998</v>
      </c>
      <c r="AB174">
        <v>5237733924.0506554</v>
      </c>
      <c r="AC174">
        <v>-28.539730070000001</v>
      </c>
      <c r="AE174">
        <v>5237732933.753891</v>
      </c>
      <c r="AF174">
        <v>-28.581077579999999</v>
      </c>
      <c r="AH174">
        <v>5237732933.753891</v>
      </c>
      <c r="AI174">
        <v>-28.610378269999998</v>
      </c>
    </row>
    <row r="175" spans="1:35">
      <c r="A175">
        <v>5140480400.8016586</v>
      </c>
      <c r="B175" s="72">
        <v>-26.520992280000002</v>
      </c>
      <c r="D175">
        <v>5185480400.8016586</v>
      </c>
      <c r="E175" s="72">
        <v>-28.680194849999999</v>
      </c>
      <c r="G175">
        <v>5239120400.8016586</v>
      </c>
      <c r="H175" s="72">
        <v>-31.191875459999999</v>
      </c>
      <c r="J175">
        <v>5141980400.8016586</v>
      </c>
      <c r="K175" s="72">
        <v>-25.894065860000001</v>
      </c>
      <c r="M175">
        <v>5237620400.8016586</v>
      </c>
      <c r="N175" s="72">
        <v>-30.0546875</v>
      </c>
      <c r="P175">
        <v>5239234465.408802</v>
      </c>
      <c r="Q175">
        <v>-30.4623642</v>
      </c>
      <c r="S175">
        <v>5142094465.408802</v>
      </c>
      <c r="T175">
        <v>-34.930877690000003</v>
      </c>
      <c r="V175">
        <v>5142094465.408802</v>
      </c>
      <c r="W175">
        <v>-34.943634029999998</v>
      </c>
      <c r="Y175">
        <v>5142094465.408802</v>
      </c>
      <c r="Z175">
        <v>-34.948936459999999</v>
      </c>
      <c r="AB175">
        <v>5237736455.6962252</v>
      </c>
      <c r="AC175">
        <v>-30.398639679999999</v>
      </c>
      <c r="AE175">
        <v>5237735457.4131966</v>
      </c>
      <c r="AF175">
        <v>-30.381202699999999</v>
      </c>
      <c r="AH175">
        <v>5237735457.4131966</v>
      </c>
      <c r="AI175">
        <v>-30.426326750000001</v>
      </c>
    </row>
    <row r="176" spans="1:35">
      <c r="A176">
        <v>5140482004.0080719</v>
      </c>
      <c r="B176" s="72">
        <v>-25.576660159999999</v>
      </c>
      <c r="D176">
        <v>5185482004.0080719</v>
      </c>
      <c r="E176" s="72">
        <v>-27.879753109999999</v>
      </c>
      <c r="G176">
        <v>5239122004.0080719</v>
      </c>
      <c r="H176" s="72">
        <v>-30.46749496</v>
      </c>
      <c r="J176">
        <v>5141982004.0080719</v>
      </c>
      <c r="K176" s="72">
        <v>-25.40953064</v>
      </c>
      <c r="M176">
        <v>5237622004.0080719</v>
      </c>
      <c r="N176" s="72">
        <v>-29.974933620000002</v>
      </c>
      <c r="P176">
        <v>5239236981.1320724</v>
      </c>
      <c r="Q176">
        <v>-29.656837459999998</v>
      </c>
      <c r="S176">
        <v>5142096981.1320724</v>
      </c>
      <c r="T176">
        <v>-34.31983185</v>
      </c>
      <c r="V176">
        <v>5142096981.1320724</v>
      </c>
      <c r="W176">
        <v>-34.265491490000002</v>
      </c>
      <c r="Y176">
        <v>5142096981.1320724</v>
      </c>
      <c r="Z176">
        <v>-34.208549499999997</v>
      </c>
      <c r="AB176">
        <v>5237738987.341795</v>
      </c>
      <c r="AC176">
        <v>-30.388801569999998</v>
      </c>
      <c r="AE176">
        <v>5237737981.0725021</v>
      </c>
      <c r="AF176">
        <v>-30.41698074</v>
      </c>
      <c r="AH176">
        <v>5237737981.0725021</v>
      </c>
      <c r="AI176">
        <v>-30.472419739999999</v>
      </c>
    </row>
    <row r="177" spans="1:35">
      <c r="A177">
        <v>5140483607.2144852</v>
      </c>
      <c r="B177" s="72">
        <v>-26.758789060000002</v>
      </c>
      <c r="D177">
        <v>5185483607.2144852</v>
      </c>
      <c r="E177" s="72">
        <v>-28.600624079999999</v>
      </c>
      <c r="G177">
        <v>5239123607.2144852</v>
      </c>
      <c r="H177" s="72">
        <v>-31.09321976</v>
      </c>
      <c r="J177">
        <v>5141983607.2144852</v>
      </c>
      <c r="K177" s="72">
        <v>-25.164440160000002</v>
      </c>
      <c r="M177">
        <v>5237623607.2144852</v>
      </c>
      <c r="N177" s="72">
        <v>-29.330966950000001</v>
      </c>
      <c r="P177">
        <v>5239239496.8553429</v>
      </c>
      <c r="Q177">
        <v>-30.3379631</v>
      </c>
      <c r="S177">
        <v>5142099496.8553429</v>
      </c>
      <c r="T177">
        <v>-34.079528809999999</v>
      </c>
      <c r="V177">
        <v>5142099496.8553429</v>
      </c>
      <c r="W177">
        <v>-34.1413765</v>
      </c>
      <c r="Y177">
        <v>5142099496.8553429</v>
      </c>
      <c r="Z177">
        <v>-34.175884250000003</v>
      </c>
      <c r="AB177">
        <v>5237741518.9873648</v>
      </c>
      <c r="AC177">
        <v>-29.537101750000001</v>
      </c>
      <c r="AE177">
        <v>5237740504.7318077</v>
      </c>
      <c r="AF177">
        <v>-29.44027328</v>
      </c>
      <c r="AH177">
        <v>5237740504.7318077</v>
      </c>
      <c r="AI177">
        <v>-29.48247147</v>
      </c>
    </row>
    <row r="178" spans="1:35">
      <c r="A178">
        <v>5140485210.4208984</v>
      </c>
      <c r="B178" s="72">
        <v>-26.472480770000001</v>
      </c>
      <c r="D178">
        <v>5185485210.4208984</v>
      </c>
      <c r="E178" s="72">
        <v>-28.34380341</v>
      </c>
      <c r="G178">
        <v>5239125210.4208984</v>
      </c>
      <c r="H178" s="72">
        <v>-30.950435639999998</v>
      </c>
      <c r="J178">
        <v>5141985210.4208984</v>
      </c>
      <c r="K178" s="72">
        <v>-26.172954560000001</v>
      </c>
      <c r="M178">
        <v>5237625210.4208984</v>
      </c>
      <c r="N178" s="72">
        <v>-29.83704758</v>
      </c>
      <c r="P178">
        <v>5239242012.5786133</v>
      </c>
      <c r="Q178">
        <v>-29.843883510000001</v>
      </c>
      <c r="S178">
        <v>5142102012.5786133</v>
      </c>
      <c r="T178">
        <v>-35.028156279999997</v>
      </c>
      <c r="V178">
        <v>5142102012.5786133</v>
      </c>
      <c r="W178">
        <v>-35.005187990000003</v>
      </c>
      <c r="Y178">
        <v>5142102012.5786133</v>
      </c>
      <c r="Z178">
        <v>-34.973114010000003</v>
      </c>
      <c r="AB178">
        <v>5237744050.6329346</v>
      </c>
      <c r="AC178">
        <v>-29.839500430000001</v>
      </c>
      <c r="AE178">
        <v>5237743028.3911133</v>
      </c>
      <c r="AF178">
        <v>-29.999183649999999</v>
      </c>
      <c r="AH178">
        <v>5237743028.3911133</v>
      </c>
      <c r="AI178">
        <v>-30.050186159999999</v>
      </c>
    </row>
    <row r="179" spans="1:35">
      <c r="A179">
        <v>5140486813.6273117</v>
      </c>
      <c r="B179" s="72">
        <v>-25.932731629999999</v>
      </c>
      <c r="D179">
        <v>5185486813.6273117</v>
      </c>
      <c r="E179" s="72">
        <v>-27.799179079999998</v>
      </c>
      <c r="G179">
        <v>5239126813.6273117</v>
      </c>
      <c r="H179" s="72">
        <v>-30.44574356</v>
      </c>
      <c r="J179">
        <v>5141986813.6273117</v>
      </c>
      <c r="K179" s="72">
        <v>-25.515563960000001</v>
      </c>
      <c r="M179">
        <v>5237626813.6273117</v>
      </c>
      <c r="N179" s="72">
        <v>-30.038249969999999</v>
      </c>
      <c r="P179">
        <v>5239244528.3018837</v>
      </c>
      <c r="Q179">
        <v>-29.39846039</v>
      </c>
      <c r="S179">
        <v>5142104528.3018837</v>
      </c>
      <c r="T179">
        <v>-34.386119839999999</v>
      </c>
      <c r="V179">
        <v>5142104528.3018837</v>
      </c>
      <c r="W179">
        <v>-34.357410430000002</v>
      </c>
      <c r="Y179">
        <v>5142104528.3018837</v>
      </c>
      <c r="Z179">
        <v>-34.321266170000001</v>
      </c>
      <c r="AB179">
        <v>5237746582.2785044</v>
      </c>
      <c r="AC179">
        <v>-30.233249659999998</v>
      </c>
      <c r="AE179">
        <v>5237745552.0504189</v>
      </c>
      <c r="AF179">
        <v>-30.21407318</v>
      </c>
      <c r="AH179">
        <v>5237745552.0504189</v>
      </c>
      <c r="AI179">
        <v>-30.257164</v>
      </c>
    </row>
    <row r="180" spans="1:35">
      <c r="A180">
        <v>5140488416.833725</v>
      </c>
      <c r="B180" s="72">
        <v>-25.614814760000002</v>
      </c>
      <c r="D180">
        <v>5185488416.833725</v>
      </c>
      <c r="E180" s="72">
        <v>-27.964084629999999</v>
      </c>
      <c r="G180">
        <v>5239128416.833725</v>
      </c>
      <c r="H180" s="72">
        <v>-30.626438140000001</v>
      </c>
      <c r="J180">
        <v>5141988416.833725</v>
      </c>
      <c r="K180" s="72">
        <v>-25.295345309999998</v>
      </c>
      <c r="M180">
        <v>5237628416.833725</v>
      </c>
      <c r="N180" s="72">
        <v>-29.734432219999999</v>
      </c>
      <c r="P180">
        <v>5239247044.0251541</v>
      </c>
      <c r="Q180">
        <v>-29.308528899999999</v>
      </c>
      <c r="S180">
        <v>5142107044.0251541</v>
      </c>
      <c r="T180">
        <v>-34.0455246</v>
      </c>
      <c r="V180">
        <v>5142107044.0251541</v>
      </c>
      <c r="W180">
        <v>-33.991874690000003</v>
      </c>
      <c r="Y180">
        <v>5142107044.0251541</v>
      </c>
      <c r="Z180">
        <v>-33.926280980000001</v>
      </c>
      <c r="AB180">
        <v>5237749113.9240742</v>
      </c>
      <c r="AC180">
        <v>-29.99274445</v>
      </c>
      <c r="AE180">
        <v>5237748075.7097244</v>
      </c>
      <c r="AF180">
        <v>-29.873352050000001</v>
      </c>
      <c r="AH180">
        <v>5237748075.7097244</v>
      </c>
      <c r="AI180">
        <v>-29.957557680000001</v>
      </c>
    </row>
    <row r="181" spans="1:35">
      <c r="A181">
        <v>5140490020.0401382</v>
      </c>
      <c r="B181" s="72">
        <v>-26.096107480000001</v>
      </c>
      <c r="D181">
        <v>5185490020.0401382</v>
      </c>
      <c r="E181" s="72">
        <v>-27.98871613</v>
      </c>
      <c r="G181">
        <v>5239130020.0401382</v>
      </c>
      <c r="H181" s="72">
        <v>-30.364688869999998</v>
      </c>
      <c r="J181">
        <v>5141990020.0401382</v>
      </c>
      <c r="K181" s="72">
        <v>-26.1073494</v>
      </c>
      <c r="M181">
        <v>5237630020.0401382</v>
      </c>
      <c r="N181" s="72">
        <v>-29.61727905</v>
      </c>
      <c r="P181">
        <v>5239249559.7484245</v>
      </c>
      <c r="Q181">
        <v>-29.40673065</v>
      </c>
      <c r="S181">
        <v>5142109559.7484245</v>
      </c>
      <c r="T181">
        <v>-35.353172299999997</v>
      </c>
      <c r="V181">
        <v>5142109559.7484245</v>
      </c>
      <c r="W181">
        <v>-35.348915099999999</v>
      </c>
      <c r="Y181">
        <v>5142109559.7484245</v>
      </c>
      <c r="Z181">
        <v>-35.349815370000002</v>
      </c>
      <c r="AB181">
        <v>5237751645.569644</v>
      </c>
      <c r="AC181">
        <v>-29.72665787</v>
      </c>
      <c r="AE181">
        <v>5237750599.36903</v>
      </c>
      <c r="AF181">
        <v>-29.807182310000002</v>
      </c>
      <c r="AH181">
        <v>5237750599.36903</v>
      </c>
      <c r="AI181">
        <v>-29.920799259999999</v>
      </c>
    </row>
    <row r="182" spans="1:35">
      <c r="A182">
        <v>5140491623.2465515</v>
      </c>
      <c r="B182" s="72">
        <v>-26.397434230000002</v>
      </c>
      <c r="D182">
        <v>5185491623.2465515</v>
      </c>
      <c r="E182" s="72">
        <v>-28.468372339999998</v>
      </c>
      <c r="G182">
        <v>5239131623.2465515</v>
      </c>
      <c r="H182" s="72">
        <v>-31.076229099999999</v>
      </c>
      <c r="J182">
        <v>5141991623.2465515</v>
      </c>
      <c r="K182" s="72">
        <v>-25.90830231</v>
      </c>
      <c r="M182">
        <v>5237631623.2465515</v>
      </c>
      <c r="N182" s="72">
        <v>-30.290618899999998</v>
      </c>
      <c r="P182">
        <v>5239252075.4716949</v>
      </c>
      <c r="Q182">
        <v>-30.0631485</v>
      </c>
      <c r="S182">
        <v>5142112075.4716949</v>
      </c>
      <c r="T182">
        <v>-35.294231410000002</v>
      </c>
      <c r="V182">
        <v>5142112075.4716949</v>
      </c>
      <c r="W182">
        <v>-35.311199190000004</v>
      </c>
      <c r="Y182">
        <v>5142112075.4716949</v>
      </c>
      <c r="Z182">
        <v>-35.339405059999997</v>
      </c>
      <c r="AB182">
        <v>5237754177.2152138</v>
      </c>
      <c r="AC182">
        <v>-30.99404144</v>
      </c>
      <c r="AE182">
        <v>5237753123.0283356</v>
      </c>
      <c r="AF182">
        <v>-30.982738489999999</v>
      </c>
      <c r="AH182">
        <v>5237753123.0283356</v>
      </c>
      <c r="AI182">
        <v>-31.07593155</v>
      </c>
    </row>
    <row r="183" spans="1:35">
      <c r="A183">
        <v>5140493226.4529648</v>
      </c>
      <c r="B183" s="72">
        <v>-26.435031890000001</v>
      </c>
      <c r="D183">
        <v>5185493226.4529648</v>
      </c>
      <c r="E183" s="72">
        <v>-28.368869780000001</v>
      </c>
      <c r="G183">
        <v>5239133226.4529648</v>
      </c>
      <c r="H183" s="72">
        <v>-30.96964264</v>
      </c>
      <c r="J183">
        <v>5141993226.4529648</v>
      </c>
      <c r="K183" s="72">
        <v>-26.556926730000001</v>
      </c>
      <c r="M183">
        <v>5237633226.4529648</v>
      </c>
      <c r="N183" s="72">
        <v>-31.01058578</v>
      </c>
      <c r="P183">
        <v>5239254591.1949654</v>
      </c>
      <c r="Q183">
        <v>-29.898674010000001</v>
      </c>
      <c r="S183">
        <v>5142114591.1949654</v>
      </c>
      <c r="T183">
        <v>-35.963722230000002</v>
      </c>
      <c r="V183">
        <v>5142114591.1949654</v>
      </c>
      <c r="W183">
        <v>-35.94998932</v>
      </c>
      <c r="Y183">
        <v>5142114591.1949654</v>
      </c>
      <c r="Z183">
        <v>-35.950012209999997</v>
      </c>
      <c r="AB183">
        <v>5237756708.8607836</v>
      </c>
      <c r="AC183">
        <v>-31.803947449999999</v>
      </c>
      <c r="AE183">
        <v>5237755646.6876411</v>
      </c>
      <c r="AF183">
        <v>-31.805553440000001</v>
      </c>
      <c r="AH183">
        <v>5237755646.6876411</v>
      </c>
      <c r="AI183">
        <v>-31.909584049999999</v>
      </c>
    </row>
    <row r="184" spans="1:35">
      <c r="A184">
        <v>5140494829.6593781</v>
      </c>
      <c r="B184" s="72">
        <v>-25.354511259999999</v>
      </c>
      <c r="D184">
        <v>5185494829.6593781</v>
      </c>
      <c r="E184" s="72">
        <v>-27.536464689999999</v>
      </c>
      <c r="G184">
        <v>5239134829.6593781</v>
      </c>
      <c r="H184" s="72">
        <v>-30.240627289999999</v>
      </c>
      <c r="J184">
        <v>5141994829.6593781</v>
      </c>
      <c r="K184" s="72">
        <v>-25.6463623</v>
      </c>
      <c r="M184">
        <v>5237634829.6593781</v>
      </c>
      <c r="N184" s="72">
        <v>-30.241302489999999</v>
      </c>
      <c r="P184">
        <v>5239257106.9182358</v>
      </c>
      <c r="Q184">
        <v>-28.89884949</v>
      </c>
      <c r="S184">
        <v>5142117106.9182358</v>
      </c>
      <c r="T184">
        <v>-34.702434539999999</v>
      </c>
      <c r="V184">
        <v>5142117106.9182358</v>
      </c>
      <c r="W184">
        <v>-34.696643829999999</v>
      </c>
      <c r="Y184">
        <v>5142117106.9182358</v>
      </c>
      <c r="Z184">
        <v>-34.707862849999998</v>
      </c>
      <c r="AB184">
        <v>5237759240.5063534</v>
      </c>
      <c r="AC184">
        <v>-30.69818497</v>
      </c>
      <c r="AE184">
        <v>5237758170.3469467</v>
      </c>
      <c r="AF184">
        <v>-30.678779599999999</v>
      </c>
      <c r="AH184">
        <v>5237758170.3469467</v>
      </c>
      <c r="AI184">
        <v>-30.772708890000001</v>
      </c>
    </row>
    <row r="185" spans="1:35">
      <c r="A185">
        <v>5140496432.8657913</v>
      </c>
      <c r="B185" s="72">
        <v>-26.13597107</v>
      </c>
      <c r="D185">
        <v>5185496432.8657913</v>
      </c>
      <c r="E185" s="72">
        <v>-28.376045229999999</v>
      </c>
      <c r="G185">
        <v>5239136432.8657913</v>
      </c>
      <c r="H185" s="72">
        <v>-31.010616299999999</v>
      </c>
      <c r="J185">
        <v>5141996432.8657913</v>
      </c>
      <c r="K185" s="72">
        <v>-25.982730870000001</v>
      </c>
      <c r="M185">
        <v>5237636432.8657913</v>
      </c>
      <c r="N185" s="72">
        <v>-30.44227982</v>
      </c>
      <c r="P185">
        <v>5239259622.6415062</v>
      </c>
      <c r="Q185">
        <v>-30.081707000000002</v>
      </c>
      <c r="S185">
        <v>5142119622.6415062</v>
      </c>
      <c r="T185">
        <v>-35.251392359999997</v>
      </c>
      <c r="V185">
        <v>5142119622.6415062</v>
      </c>
      <c r="W185">
        <v>-35.181694030000003</v>
      </c>
      <c r="Y185">
        <v>5142119622.6415062</v>
      </c>
      <c r="Z185">
        <v>-35.148277280000002</v>
      </c>
      <c r="AB185">
        <v>5237761772.1519232</v>
      </c>
      <c r="AC185">
        <v>-31.172126769999998</v>
      </c>
      <c r="AE185">
        <v>5237760694.0062523</v>
      </c>
      <c r="AF185">
        <v>-31.16963196</v>
      </c>
      <c r="AH185">
        <v>5237760694.0062523</v>
      </c>
      <c r="AI185">
        <v>-31.26651764</v>
      </c>
    </row>
    <row r="186" spans="1:35">
      <c r="A186">
        <v>5140498036.0722046</v>
      </c>
      <c r="B186" s="72">
        <v>-26.244979860000001</v>
      </c>
      <c r="D186">
        <v>5185498036.0722046</v>
      </c>
      <c r="E186" s="72">
        <v>-28.747119900000001</v>
      </c>
      <c r="G186">
        <v>5239138036.0722046</v>
      </c>
      <c r="H186" s="72">
        <v>-31.28544235</v>
      </c>
      <c r="J186">
        <v>5141998036.0722046</v>
      </c>
      <c r="K186" s="72">
        <v>-25.336982729999999</v>
      </c>
      <c r="M186">
        <v>5237638036.0722046</v>
      </c>
      <c r="N186" s="72">
        <v>-30.46679687</v>
      </c>
      <c r="P186">
        <v>5239262138.3647766</v>
      </c>
      <c r="Q186">
        <v>-30.660942080000002</v>
      </c>
      <c r="S186">
        <v>5142122138.3647766</v>
      </c>
      <c r="T186">
        <v>-34.349719999999998</v>
      </c>
      <c r="V186">
        <v>5142122138.3647766</v>
      </c>
      <c r="W186">
        <v>-34.288963320000001</v>
      </c>
      <c r="Y186">
        <v>5142122138.3647766</v>
      </c>
      <c r="Z186">
        <v>-34.275146479999997</v>
      </c>
      <c r="AB186">
        <v>5237764303.797493</v>
      </c>
      <c r="AC186">
        <v>-31.26422882</v>
      </c>
      <c r="AE186">
        <v>5237763217.6655579</v>
      </c>
      <c r="AF186">
        <v>-31.20375443</v>
      </c>
      <c r="AH186">
        <v>5237763217.6655579</v>
      </c>
      <c r="AI186">
        <v>-31.288135530000002</v>
      </c>
    </row>
    <row r="187" spans="1:35">
      <c r="A187">
        <v>5140499639.2786179</v>
      </c>
      <c r="B187" s="72">
        <v>-26.121513369999999</v>
      </c>
      <c r="D187">
        <v>5185499639.2786179</v>
      </c>
      <c r="E187" s="72">
        <v>-27.97227097</v>
      </c>
      <c r="G187">
        <v>5239139639.2786179</v>
      </c>
      <c r="H187" s="72">
        <v>-30.594104770000001</v>
      </c>
      <c r="J187">
        <v>5141999639.2786179</v>
      </c>
      <c r="K187" s="72">
        <v>-25.989505770000001</v>
      </c>
      <c r="M187">
        <v>5237639639.2786179</v>
      </c>
      <c r="N187" s="72">
        <v>-29.697574620000001</v>
      </c>
      <c r="P187">
        <v>5239264654.088047</v>
      </c>
      <c r="Q187">
        <v>-29.74987793</v>
      </c>
      <c r="S187">
        <v>5142124654.088047</v>
      </c>
      <c r="T187">
        <v>-35.346294399999998</v>
      </c>
      <c r="V187">
        <v>5142124654.088047</v>
      </c>
      <c r="W187">
        <v>-35.43074799</v>
      </c>
      <c r="Y187">
        <v>5142124654.088047</v>
      </c>
      <c r="Z187">
        <v>-35.51787186</v>
      </c>
      <c r="AB187">
        <v>5237766835.4430628</v>
      </c>
      <c r="AC187">
        <v>-29.85252762</v>
      </c>
      <c r="AE187">
        <v>5237765741.3248634</v>
      </c>
      <c r="AF187">
        <v>-29.86436844</v>
      </c>
      <c r="AH187">
        <v>5237765741.3248634</v>
      </c>
      <c r="AI187">
        <v>-29.965553280000002</v>
      </c>
    </row>
    <row r="188" spans="1:35">
      <c r="A188">
        <v>5140501242.4850311</v>
      </c>
      <c r="B188" s="72">
        <v>-26.839561459999999</v>
      </c>
      <c r="D188">
        <v>5185501242.4850311</v>
      </c>
      <c r="E188" s="72">
        <v>-29.476627350000001</v>
      </c>
      <c r="G188">
        <v>5239141242.4850311</v>
      </c>
      <c r="H188" s="72">
        <v>-32.151813509999997</v>
      </c>
      <c r="J188">
        <v>5142001242.4850311</v>
      </c>
      <c r="K188" s="72">
        <v>-26.214981080000001</v>
      </c>
      <c r="M188">
        <v>5237641242.4850311</v>
      </c>
      <c r="N188" s="72">
        <v>-31.188674930000001</v>
      </c>
      <c r="P188">
        <v>5239267169.8113174</v>
      </c>
      <c r="Q188">
        <v>-31.53308487</v>
      </c>
      <c r="S188">
        <v>5142127169.8113174</v>
      </c>
      <c r="T188">
        <v>-35.341972349999999</v>
      </c>
      <c r="V188">
        <v>5142127169.8113174</v>
      </c>
      <c r="W188">
        <v>-35.339866639999997</v>
      </c>
      <c r="Y188">
        <v>5142127169.8113174</v>
      </c>
      <c r="Z188">
        <v>-35.369800570000002</v>
      </c>
      <c r="AB188">
        <v>5237769367.0886326</v>
      </c>
      <c r="AC188">
        <v>-31.809284210000001</v>
      </c>
      <c r="AE188">
        <v>5237768264.984169</v>
      </c>
      <c r="AF188">
        <v>-31.721168519999999</v>
      </c>
      <c r="AH188">
        <v>5237768264.984169</v>
      </c>
      <c r="AI188">
        <v>-31.81609344</v>
      </c>
    </row>
    <row r="189" spans="1:35">
      <c r="A189">
        <v>5140502845.6914444</v>
      </c>
      <c r="B189" s="72">
        <v>-26.60570908</v>
      </c>
      <c r="D189">
        <v>5185502845.6914444</v>
      </c>
      <c r="E189" s="72">
        <v>-28.258647920000001</v>
      </c>
      <c r="G189">
        <v>5239142845.6914444</v>
      </c>
      <c r="H189" s="72">
        <v>-30.926979060000001</v>
      </c>
      <c r="J189">
        <v>5142002845.6914444</v>
      </c>
      <c r="K189" s="72">
        <v>-26.036567689999998</v>
      </c>
      <c r="M189">
        <v>5237642845.6914444</v>
      </c>
      <c r="N189" s="72">
        <v>-29.988964079999999</v>
      </c>
      <c r="P189">
        <v>5239269685.5345879</v>
      </c>
      <c r="Q189">
        <v>-29.91372299</v>
      </c>
      <c r="S189">
        <v>5142129685.5345879</v>
      </c>
      <c r="T189">
        <v>-35.083259580000004</v>
      </c>
      <c r="V189">
        <v>5142129685.5345879</v>
      </c>
      <c r="W189">
        <v>-35.048408510000002</v>
      </c>
      <c r="Y189">
        <v>5142129685.5345879</v>
      </c>
      <c r="Z189">
        <v>-35.031593319999999</v>
      </c>
      <c r="AB189">
        <v>5237771898.7342024</v>
      </c>
      <c r="AC189">
        <v>-30.323863979999999</v>
      </c>
      <c r="AE189">
        <v>5237770788.6434746</v>
      </c>
      <c r="AF189">
        <v>-30.38394547</v>
      </c>
      <c r="AH189">
        <v>5237770788.6434746</v>
      </c>
      <c r="AI189">
        <v>-30.48719406</v>
      </c>
    </row>
    <row r="190" spans="1:35">
      <c r="A190">
        <v>5140504448.8978577</v>
      </c>
      <c r="B190" s="72">
        <v>-25.052051540000001</v>
      </c>
      <c r="D190">
        <v>5185504448.8978577</v>
      </c>
      <c r="E190" s="72">
        <v>-27.305980680000001</v>
      </c>
      <c r="G190">
        <v>5239144448.8978577</v>
      </c>
      <c r="H190" s="72">
        <v>-30.059867860000001</v>
      </c>
      <c r="J190">
        <v>5142004448.8978577</v>
      </c>
      <c r="K190" s="72">
        <v>-24.433506009999999</v>
      </c>
      <c r="M190">
        <v>5237644448.8978577</v>
      </c>
      <c r="N190" s="72">
        <v>-28.860744480000001</v>
      </c>
      <c r="P190">
        <v>5239272201.2578583</v>
      </c>
      <c r="Q190">
        <v>-29.209186549999998</v>
      </c>
      <c r="S190">
        <v>5142132201.2578583</v>
      </c>
      <c r="T190">
        <v>-33.34592438</v>
      </c>
      <c r="V190">
        <v>5142132201.2578583</v>
      </c>
      <c r="W190">
        <v>-33.361717220000003</v>
      </c>
      <c r="Y190">
        <v>5142132201.2578583</v>
      </c>
      <c r="Z190">
        <v>-33.394081120000003</v>
      </c>
      <c r="AB190">
        <v>5237774430.3797722</v>
      </c>
      <c r="AC190">
        <v>-29.06501007</v>
      </c>
      <c r="AE190">
        <v>5237773312.3027802</v>
      </c>
      <c r="AF190">
        <v>-29.044719700000002</v>
      </c>
      <c r="AH190">
        <v>5237773312.3027802</v>
      </c>
      <c r="AI190">
        <v>-29.138416289999999</v>
      </c>
    </row>
    <row r="191" spans="1:35">
      <c r="A191">
        <v>5140506052.1042709</v>
      </c>
      <c r="B191" s="72">
        <v>-26.628501889999999</v>
      </c>
      <c r="D191">
        <v>5185506052.1042709</v>
      </c>
      <c r="E191" s="72">
        <v>-29.052665709999999</v>
      </c>
      <c r="G191">
        <v>5239146052.1042709</v>
      </c>
      <c r="H191" s="72">
        <v>-31.656921390000001</v>
      </c>
      <c r="J191">
        <v>5142006052.1042709</v>
      </c>
      <c r="K191" s="72">
        <v>-26.383522030000002</v>
      </c>
      <c r="M191">
        <v>5237646052.1042709</v>
      </c>
      <c r="N191" s="72">
        <v>-30.938171390000001</v>
      </c>
      <c r="P191">
        <v>5239274716.9811287</v>
      </c>
      <c r="Q191">
        <v>-31.058589940000001</v>
      </c>
      <c r="S191">
        <v>5142134716.9811287</v>
      </c>
      <c r="T191">
        <v>-35.661445620000002</v>
      </c>
      <c r="V191">
        <v>5142134716.9811287</v>
      </c>
      <c r="W191">
        <v>-35.634086609999997</v>
      </c>
      <c r="Y191">
        <v>5142134716.9811287</v>
      </c>
      <c r="Z191">
        <v>-35.641620639999999</v>
      </c>
      <c r="AB191">
        <v>5237776962.025342</v>
      </c>
      <c r="AC191">
        <v>-31.554069519999999</v>
      </c>
      <c r="AE191">
        <v>5237775835.9620857</v>
      </c>
      <c r="AF191">
        <v>-31.52832794</v>
      </c>
      <c r="AH191">
        <v>5237775835.9620857</v>
      </c>
      <c r="AI191">
        <v>-31.621486659999999</v>
      </c>
    </row>
    <row r="192" spans="1:35">
      <c r="A192">
        <v>5140507655.3106842</v>
      </c>
      <c r="B192" s="72">
        <v>-25.981334690000001</v>
      </c>
      <c r="D192">
        <v>5185507655.3106842</v>
      </c>
      <c r="E192" s="72">
        <v>-28.118820190000001</v>
      </c>
      <c r="G192">
        <v>5239147655.3106842</v>
      </c>
      <c r="H192" s="72">
        <v>-30.941894529999999</v>
      </c>
      <c r="J192">
        <v>5142007655.3106842</v>
      </c>
      <c r="K192" s="72">
        <v>-25.12526703</v>
      </c>
      <c r="M192">
        <v>5237647655.3106842</v>
      </c>
      <c r="N192" s="72">
        <v>-29.603412630000001</v>
      </c>
      <c r="P192">
        <v>5239277232.7043991</v>
      </c>
      <c r="Q192">
        <v>-30.147224430000001</v>
      </c>
      <c r="S192">
        <v>5142137232.7043991</v>
      </c>
      <c r="T192">
        <v>-33.801490780000002</v>
      </c>
      <c r="V192">
        <v>5142137232.7043991</v>
      </c>
      <c r="W192">
        <v>-33.791816709999999</v>
      </c>
      <c r="Y192">
        <v>5142137232.7043991</v>
      </c>
      <c r="Z192">
        <v>-33.803211210000001</v>
      </c>
      <c r="AB192">
        <v>5237779493.6709118</v>
      </c>
      <c r="AC192">
        <v>-29.53009033</v>
      </c>
      <c r="AE192">
        <v>5237778359.6213913</v>
      </c>
      <c r="AF192">
        <v>-29.497093199999998</v>
      </c>
      <c r="AH192">
        <v>5237778359.6213913</v>
      </c>
      <c r="AI192">
        <v>-29.588722229999998</v>
      </c>
    </row>
    <row r="193" spans="1:35">
      <c r="A193">
        <v>5140509258.5170975</v>
      </c>
      <c r="B193" s="72">
        <v>-25.963607790000001</v>
      </c>
      <c r="D193">
        <v>5185509258.5170975</v>
      </c>
      <c r="E193" s="72">
        <v>-27.949203489999999</v>
      </c>
      <c r="G193">
        <v>5239149258.5170975</v>
      </c>
      <c r="H193" s="72">
        <v>-30.5369606</v>
      </c>
      <c r="J193">
        <v>5142009258.5170975</v>
      </c>
      <c r="K193" s="72">
        <v>-26.046527860000001</v>
      </c>
      <c r="M193">
        <v>5237649258.5170975</v>
      </c>
      <c r="N193" s="72">
        <v>-31.102111820000001</v>
      </c>
      <c r="P193">
        <v>5239279748.4276695</v>
      </c>
      <c r="Q193">
        <v>-29.604663850000001</v>
      </c>
      <c r="S193">
        <v>5142139748.4276695</v>
      </c>
      <c r="T193">
        <v>-34.977436070000003</v>
      </c>
      <c r="V193">
        <v>5142139748.4276695</v>
      </c>
      <c r="W193">
        <v>-34.880847930000002</v>
      </c>
      <c r="Y193">
        <v>5142139748.4276695</v>
      </c>
      <c r="Z193">
        <v>-34.822715760000001</v>
      </c>
      <c r="AB193">
        <v>5237782025.3164816</v>
      </c>
      <c r="AC193">
        <v>-31.63365555</v>
      </c>
      <c r="AE193">
        <v>5237780883.2806969</v>
      </c>
      <c r="AF193">
        <v>-31.64583588</v>
      </c>
      <c r="AH193">
        <v>5237780883.2806969</v>
      </c>
      <c r="AI193">
        <v>-31.747070310000002</v>
      </c>
    </row>
    <row r="194" spans="1:35">
      <c r="A194">
        <v>5140510861.7235107</v>
      </c>
      <c r="B194" s="72">
        <v>-26.92392349</v>
      </c>
      <c r="D194">
        <v>5185510861.7235107</v>
      </c>
      <c r="E194" s="72">
        <v>-29.482601169999999</v>
      </c>
      <c r="G194">
        <v>5239150861.7235107</v>
      </c>
      <c r="H194" s="72">
        <v>-32.036209110000001</v>
      </c>
      <c r="J194">
        <v>5142010861.7235107</v>
      </c>
      <c r="K194" s="72">
        <v>-25.720455170000001</v>
      </c>
      <c r="M194">
        <v>5237650861.7235107</v>
      </c>
      <c r="N194" s="72">
        <v>-30.195968629999999</v>
      </c>
      <c r="P194">
        <v>5239282264.1509399</v>
      </c>
      <c r="Q194">
        <v>-31.477409359999999</v>
      </c>
      <c r="S194">
        <v>5142142264.1509399</v>
      </c>
      <c r="T194">
        <v>-34.879291530000003</v>
      </c>
      <c r="V194">
        <v>5142142264.1509399</v>
      </c>
      <c r="W194">
        <v>-34.875427250000001</v>
      </c>
      <c r="Y194">
        <v>5142142264.1509399</v>
      </c>
      <c r="Z194">
        <v>-34.876777650000001</v>
      </c>
      <c r="AB194">
        <v>5237784556.9620514</v>
      </c>
      <c r="AC194">
        <v>-30.634407039999999</v>
      </c>
      <c r="AE194">
        <v>5237783406.9400024</v>
      </c>
      <c r="AF194">
        <v>-30.56824112</v>
      </c>
      <c r="AH194">
        <v>5237783406.9400024</v>
      </c>
      <c r="AI194">
        <v>-30.655326840000001</v>
      </c>
    </row>
    <row r="195" spans="1:35">
      <c r="A195">
        <v>5140512464.929924</v>
      </c>
      <c r="B195" s="72">
        <v>-26.31360626</v>
      </c>
      <c r="D195">
        <v>5185512464.929924</v>
      </c>
      <c r="E195" s="72">
        <v>-28.429195400000001</v>
      </c>
      <c r="G195">
        <v>5239152464.929924</v>
      </c>
      <c r="H195" s="72">
        <v>-31.197448730000001</v>
      </c>
      <c r="J195">
        <v>5142012464.929924</v>
      </c>
      <c r="K195" s="72">
        <v>-26.051090240000001</v>
      </c>
      <c r="M195">
        <v>5237652464.929924</v>
      </c>
      <c r="N195" s="72">
        <v>-30.128341670000001</v>
      </c>
      <c r="P195">
        <v>5239284779.8742104</v>
      </c>
      <c r="Q195">
        <v>-30.084503170000001</v>
      </c>
      <c r="S195">
        <v>5142144779.8742104</v>
      </c>
      <c r="T195">
        <v>-35.297588349999998</v>
      </c>
      <c r="V195">
        <v>5142144779.8742104</v>
      </c>
      <c r="W195">
        <v>-35.210979459999997</v>
      </c>
      <c r="Y195">
        <v>5142144779.8742104</v>
      </c>
      <c r="Z195">
        <v>-35.142219539999999</v>
      </c>
      <c r="AB195">
        <v>5237787088.6076212</v>
      </c>
      <c r="AC195">
        <v>-30.69637299</v>
      </c>
      <c r="AE195">
        <v>5237785930.599308</v>
      </c>
      <c r="AF195">
        <v>-30.733673100000001</v>
      </c>
      <c r="AH195">
        <v>5237785930.599308</v>
      </c>
      <c r="AI195">
        <v>-30.832550049999998</v>
      </c>
    </row>
    <row r="196" spans="1:35">
      <c r="A196">
        <v>5140514068.1363373</v>
      </c>
      <c r="B196" s="72">
        <v>-25.92756271</v>
      </c>
      <c r="D196">
        <v>5185514068.1363373</v>
      </c>
      <c r="E196" s="72">
        <v>-28.184574130000001</v>
      </c>
      <c r="G196">
        <v>5239154068.1363373</v>
      </c>
      <c r="H196" s="72">
        <v>-30.87138367</v>
      </c>
      <c r="J196">
        <v>5142014068.1363373</v>
      </c>
      <c r="K196" s="72">
        <v>-25.429752350000001</v>
      </c>
      <c r="M196">
        <v>5237654068.1363373</v>
      </c>
      <c r="N196" s="72">
        <v>-30.134052279999999</v>
      </c>
      <c r="P196">
        <v>5239287295.5974808</v>
      </c>
      <c r="Q196">
        <v>-30.0190506</v>
      </c>
      <c r="S196">
        <v>5142147295.5974808</v>
      </c>
      <c r="T196">
        <v>-34.332550050000002</v>
      </c>
      <c r="V196">
        <v>5142147295.5974808</v>
      </c>
      <c r="W196">
        <v>-34.257080080000001</v>
      </c>
      <c r="Y196">
        <v>5142147295.5974808</v>
      </c>
      <c r="Z196">
        <v>-34.21419144</v>
      </c>
      <c r="AB196">
        <v>5237789620.253191</v>
      </c>
      <c r="AC196">
        <v>-30.38394928</v>
      </c>
      <c r="AE196">
        <v>5237788454.2586136</v>
      </c>
      <c r="AF196">
        <v>-30.36663055</v>
      </c>
      <c r="AH196">
        <v>5237788454.2586136</v>
      </c>
      <c r="AI196">
        <v>-30.450370790000001</v>
      </c>
    </row>
    <row r="197" spans="1:35">
      <c r="A197">
        <v>5140515671.3427505</v>
      </c>
      <c r="B197" s="72">
        <v>-26.79079819</v>
      </c>
      <c r="D197">
        <v>5185515671.3427505</v>
      </c>
      <c r="E197" s="72">
        <v>-28.79701996</v>
      </c>
      <c r="G197">
        <v>5239155671.3427505</v>
      </c>
      <c r="H197" s="72">
        <v>-31.36962509</v>
      </c>
      <c r="J197">
        <v>5142015671.3427505</v>
      </c>
      <c r="K197" s="72">
        <v>-25.50670624</v>
      </c>
      <c r="M197">
        <v>5237655671.3427505</v>
      </c>
      <c r="N197" s="72">
        <v>-30.29094315</v>
      </c>
      <c r="P197">
        <v>5239289811.3207512</v>
      </c>
      <c r="Q197">
        <v>-30.58893204</v>
      </c>
      <c r="S197">
        <v>5142149811.3207512</v>
      </c>
      <c r="T197">
        <v>-34.279029850000001</v>
      </c>
      <c r="V197">
        <v>5142149811.3207512</v>
      </c>
      <c r="W197">
        <v>-34.240436549999998</v>
      </c>
      <c r="Y197">
        <v>5142149811.3207512</v>
      </c>
      <c r="Z197">
        <v>-34.224235530000001</v>
      </c>
      <c r="AB197">
        <v>5237792151.8987608</v>
      </c>
      <c r="AC197">
        <v>-30.59309769</v>
      </c>
      <c r="AE197">
        <v>5237790977.9179192</v>
      </c>
      <c r="AF197">
        <v>-30.53264618</v>
      </c>
      <c r="AH197">
        <v>5237790977.9179192</v>
      </c>
      <c r="AI197">
        <v>-30.61766815</v>
      </c>
    </row>
    <row r="198" spans="1:35">
      <c r="A198">
        <v>5140517274.5491638</v>
      </c>
      <c r="B198" s="72">
        <v>-25.282157900000001</v>
      </c>
      <c r="D198">
        <v>5185517274.5491638</v>
      </c>
      <c r="E198" s="72">
        <v>-27.422096249999999</v>
      </c>
      <c r="G198">
        <v>5239157274.5491638</v>
      </c>
      <c r="H198" s="72">
        <v>-30.113071439999999</v>
      </c>
      <c r="J198">
        <v>5142017274.5491638</v>
      </c>
      <c r="K198" s="72">
        <v>-25.350131990000001</v>
      </c>
      <c r="M198">
        <v>5237657274.5491638</v>
      </c>
      <c r="N198" s="72">
        <v>-29.747890470000002</v>
      </c>
      <c r="P198">
        <v>5239292327.0440216</v>
      </c>
      <c r="Q198">
        <v>-29.009132390000001</v>
      </c>
      <c r="S198">
        <v>5142152327.0440216</v>
      </c>
      <c r="T198">
        <v>-34.548381810000002</v>
      </c>
      <c r="V198">
        <v>5142152327.0440216</v>
      </c>
      <c r="W198">
        <v>-34.530109410000001</v>
      </c>
      <c r="Y198">
        <v>5142152327.0440216</v>
      </c>
      <c r="Z198">
        <v>-34.53804779</v>
      </c>
      <c r="AB198">
        <v>5237794683.5443306</v>
      </c>
      <c r="AC198">
        <v>-30.177860259999999</v>
      </c>
      <c r="AE198">
        <v>5237793501.5772247</v>
      </c>
      <c r="AF198">
        <v>-30.153007509999998</v>
      </c>
      <c r="AH198">
        <v>5237793501.5772247</v>
      </c>
      <c r="AI198">
        <v>-30.247196200000001</v>
      </c>
    </row>
    <row r="199" spans="1:35">
      <c r="A199">
        <v>5140518877.7555771</v>
      </c>
      <c r="B199" s="72">
        <v>-26.716880799999998</v>
      </c>
      <c r="D199">
        <v>5185518877.7555771</v>
      </c>
      <c r="E199" s="72">
        <v>-29.041294100000002</v>
      </c>
      <c r="G199">
        <v>5239158877.7555771</v>
      </c>
      <c r="H199" s="72">
        <v>-31.82161713</v>
      </c>
      <c r="J199">
        <v>5142018877.7555771</v>
      </c>
      <c r="K199" s="72">
        <v>-25.855896000000001</v>
      </c>
      <c r="M199">
        <v>5237658877.7555771</v>
      </c>
      <c r="N199" s="72">
        <v>-29.864257810000002</v>
      </c>
      <c r="P199">
        <v>5239294842.767292</v>
      </c>
      <c r="Q199">
        <v>-30.574756619999999</v>
      </c>
      <c r="S199">
        <v>5142154842.767292</v>
      </c>
      <c r="T199">
        <v>-34.887889860000001</v>
      </c>
      <c r="V199">
        <v>5142154842.767292</v>
      </c>
      <c r="W199">
        <v>-34.850769040000003</v>
      </c>
      <c r="Y199">
        <v>5142154842.767292</v>
      </c>
      <c r="Z199">
        <v>-34.82038498</v>
      </c>
      <c r="AB199">
        <v>5237797215.1899004</v>
      </c>
      <c r="AC199">
        <v>-30.152503970000001</v>
      </c>
      <c r="AE199">
        <v>5237796025.2365303</v>
      </c>
      <c r="AF199">
        <v>-30.194236759999999</v>
      </c>
      <c r="AH199">
        <v>5237796025.2365303</v>
      </c>
      <c r="AI199">
        <v>-30.289775850000002</v>
      </c>
    </row>
    <row r="200" spans="1:35">
      <c r="A200">
        <v>5140520480.9619904</v>
      </c>
      <c r="B200" s="72">
        <v>-26.424030299999998</v>
      </c>
      <c r="D200">
        <v>5185520480.9619904</v>
      </c>
      <c r="E200" s="72">
        <v>-28.653320310000002</v>
      </c>
      <c r="G200">
        <v>5239160480.9619904</v>
      </c>
      <c r="H200" s="72">
        <v>-31.36709213</v>
      </c>
      <c r="J200">
        <v>5142020480.9619904</v>
      </c>
      <c r="K200" s="72">
        <v>-25.293457029999999</v>
      </c>
      <c r="M200">
        <v>5237660480.9619904</v>
      </c>
      <c r="N200" s="72">
        <v>-29.518386840000002</v>
      </c>
      <c r="P200">
        <v>5239297358.4905624</v>
      </c>
      <c r="Q200">
        <v>-30.419742580000001</v>
      </c>
      <c r="S200">
        <v>5142157358.4905624</v>
      </c>
      <c r="T200">
        <v>-33.680206300000002</v>
      </c>
      <c r="V200">
        <v>5142157358.4905624</v>
      </c>
      <c r="W200">
        <v>-33.624259950000003</v>
      </c>
      <c r="Y200">
        <v>5142157358.4905624</v>
      </c>
      <c r="Z200">
        <v>-33.588695530000003</v>
      </c>
      <c r="AB200">
        <v>5237799746.8354702</v>
      </c>
      <c r="AC200">
        <v>-29.186111449999999</v>
      </c>
      <c r="AE200">
        <v>5237798548.8958359</v>
      </c>
      <c r="AF200">
        <v>-29.15690231</v>
      </c>
      <c r="AH200">
        <v>5237798548.8958359</v>
      </c>
      <c r="AI200">
        <v>-29.230766299999999</v>
      </c>
    </row>
    <row r="201" spans="1:35">
      <c r="A201">
        <v>5140522084.1684036</v>
      </c>
      <c r="B201" s="72">
        <v>-25.999843599999998</v>
      </c>
      <c r="D201">
        <v>5185522084.1684036</v>
      </c>
      <c r="E201" s="72">
        <v>-27.998420719999999</v>
      </c>
      <c r="G201">
        <v>5239162084.1684036</v>
      </c>
      <c r="H201" s="72">
        <v>-30.817184449999999</v>
      </c>
      <c r="J201">
        <v>5142022084.1684036</v>
      </c>
      <c r="K201" s="72">
        <v>-25.529182429999999</v>
      </c>
      <c r="M201">
        <v>5237662084.1684036</v>
      </c>
      <c r="N201" s="72">
        <v>-29.81018448</v>
      </c>
      <c r="P201">
        <v>5239299874.2138329</v>
      </c>
      <c r="Q201">
        <v>-29.90644455</v>
      </c>
      <c r="S201">
        <v>5142159874.2138329</v>
      </c>
      <c r="T201">
        <v>-34.498424530000001</v>
      </c>
      <c r="V201">
        <v>5142159874.2138329</v>
      </c>
      <c r="W201">
        <v>-34.458538060000002</v>
      </c>
      <c r="Y201">
        <v>5142159874.2138329</v>
      </c>
      <c r="Z201">
        <v>-34.424095149999999</v>
      </c>
      <c r="AB201">
        <v>5237802278.48104</v>
      </c>
      <c r="AC201">
        <v>-30.169914250000001</v>
      </c>
      <c r="AE201">
        <v>5237801072.5551414</v>
      </c>
      <c r="AF201">
        <v>-30.17023468</v>
      </c>
      <c r="AH201">
        <v>5237801072.5551414</v>
      </c>
      <c r="AI201">
        <v>-30.266769409999998</v>
      </c>
    </row>
    <row r="202" spans="1:35">
      <c r="A202">
        <v>5140523687.3748169</v>
      </c>
      <c r="B202" s="72">
        <v>-26.488460539999998</v>
      </c>
      <c r="D202">
        <v>5185523687.3748169</v>
      </c>
      <c r="E202" s="72">
        <v>-28.96202469</v>
      </c>
      <c r="G202">
        <v>5239163687.3748169</v>
      </c>
      <c r="H202" s="72">
        <v>-31.674438479999999</v>
      </c>
      <c r="J202">
        <v>5142023687.3748169</v>
      </c>
      <c r="K202" s="72">
        <v>-25.91268539</v>
      </c>
      <c r="M202">
        <v>5237663687.3748169</v>
      </c>
      <c r="N202" s="72">
        <v>-30.728622439999999</v>
      </c>
      <c r="P202">
        <v>5239302389.9371033</v>
      </c>
      <c r="Q202">
        <v>-30.761947630000002</v>
      </c>
      <c r="S202">
        <v>5142162389.9371033</v>
      </c>
      <c r="T202">
        <v>-34.900085449999999</v>
      </c>
      <c r="V202">
        <v>5142162389.9371033</v>
      </c>
      <c r="W202">
        <v>-34.842918400000002</v>
      </c>
      <c r="Y202">
        <v>5142162389.9371033</v>
      </c>
      <c r="Z202">
        <v>-34.792945860000003</v>
      </c>
      <c r="AB202">
        <v>5237804810.1266098</v>
      </c>
      <c r="AC202">
        <v>-31.096565250000001</v>
      </c>
      <c r="AE202">
        <v>5237803596.214447</v>
      </c>
      <c r="AF202">
        <v>-31.064186100000001</v>
      </c>
      <c r="AH202">
        <v>5237803596.214447</v>
      </c>
      <c r="AI202">
        <v>-31.154113769999999</v>
      </c>
    </row>
    <row r="203" spans="1:35">
      <c r="A203">
        <v>5140525290.5812302</v>
      </c>
      <c r="B203" s="72">
        <v>-25.792644500000002</v>
      </c>
      <c r="D203">
        <v>5185525290.5812302</v>
      </c>
      <c r="E203" s="72">
        <v>-28.01564789</v>
      </c>
      <c r="G203">
        <v>5239165290.5812302</v>
      </c>
      <c r="H203" s="72">
        <v>-30.742111210000001</v>
      </c>
      <c r="J203">
        <v>5142025290.5812302</v>
      </c>
      <c r="K203" s="72">
        <v>-25.33873749</v>
      </c>
      <c r="M203">
        <v>5237665290.5812302</v>
      </c>
      <c r="N203" s="72">
        <v>-29.799255370000001</v>
      </c>
      <c r="P203">
        <v>5239304905.6603737</v>
      </c>
      <c r="Q203">
        <v>-29.66545868</v>
      </c>
      <c r="S203">
        <v>5142164905.6603737</v>
      </c>
      <c r="T203">
        <v>-34.155529020000003</v>
      </c>
      <c r="V203">
        <v>5142164905.6603737</v>
      </c>
      <c r="W203">
        <v>-34.085090639999997</v>
      </c>
      <c r="Y203">
        <v>5142164905.6603737</v>
      </c>
      <c r="Z203">
        <v>-34.031169890000001</v>
      </c>
      <c r="AB203">
        <v>5237807341.7721796</v>
      </c>
      <c r="AC203">
        <v>-29.957969670000001</v>
      </c>
      <c r="AE203">
        <v>5237806119.8737526</v>
      </c>
      <c r="AF203">
        <v>-29.940864560000001</v>
      </c>
      <c r="AH203">
        <v>5237806119.8737526</v>
      </c>
      <c r="AI203">
        <v>-30.036926269999999</v>
      </c>
    </row>
    <row r="204" spans="1:35">
      <c r="A204">
        <v>5140526893.7876434</v>
      </c>
      <c r="B204" s="72">
        <v>-25.930351259999998</v>
      </c>
      <c r="D204">
        <v>5185526893.7876434</v>
      </c>
      <c r="E204" s="72">
        <v>-27.893840789999999</v>
      </c>
      <c r="G204">
        <v>5239166893.7876434</v>
      </c>
      <c r="H204" s="72">
        <v>-30.4969635</v>
      </c>
      <c r="J204">
        <v>5142026893.7876434</v>
      </c>
      <c r="K204" s="72">
        <v>-25.142005919999999</v>
      </c>
      <c r="M204">
        <v>5237666893.7876434</v>
      </c>
      <c r="N204" s="72">
        <v>-30.467430109999999</v>
      </c>
      <c r="P204">
        <v>5239307421.3836441</v>
      </c>
      <c r="Q204">
        <v>-29.45732117</v>
      </c>
      <c r="S204">
        <v>5142167421.3836441</v>
      </c>
      <c r="T204">
        <v>-34.032634739999999</v>
      </c>
      <c r="V204">
        <v>5142167421.3836441</v>
      </c>
      <c r="W204">
        <v>-33.949928280000002</v>
      </c>
      <c r="Y204">
        <v>5142167421.3836441</v>
      </c>
      <c r="Z204">
        <v>-33.878467559999997</v>
      </c>
      <c r="AB204">
        <v>5237809873.4177494</v>
      </c>
      <c r="AC204">
        <v>-31.14460373</v>
      </c>
      <c r="AE204">
        <v>5237808643.5330582</v>
      </c>
      <c r="AF204">
        <v>-31.074920649999999</v>
      </c>
      <c r="AH204">
        <v>5237808643.5330582</v>
      </c>
      <c r="AI204">
        <v>-31.157783510000002</v>
      </c>
    </row>
    <row r="205" spans="1:35">
      <c r="A205">
        <v>5140528496.9940567</v>
      </c>
      <c r="B205" s="72">
        <v>-26.026439669999998</v>
      </c>
      <c r="D205">
        <v>5185528496.9940567</v>
      </c>
      <c r="E205" s="72">
        <v>-28.560203550000001</v>
      </c>
      <c r="G205">
        <v>5239168496.9940567</v>
      </c>
      <c r="H205" s="72">
        <v>-31.315048220000001</v>
      </c>
      <c r="J205">
        <v>5142028496.9940567</v>
      </c>
      <c r="K205" s="72">
        <v>-26.728191379999998</v>
      </c>
      <c r="M205">
        <v>5237668496.9940567</v>
      </c>
      <c r="N205" s="72">
        <v>-30.25793457</v>
      </c>
      <c r="P205">
        <v>5239309937.1069145</v>
      </c>
      <c r="Q205">
        <v>-30.329101560000002</v>
      </c>
      <c r="S205">
        <v>5142169937.1069145</v>
      </c>
      <c r="T205">
        <v>-36.206794739999999</v>
      </c>
      <c r="V205">
        <v>5142169937.1069145</v>
      </c>
      <c r="W205">
        <v>-36.293327329999997</v>
      </c>
      <c r="Y205">
        <v>5142169937.1069145</v>
      </c>
      <c r="Z205">
        <v>-36.353301999999999</v>
      </c>
      <c r="AB205">
        <v>5237812405.0633192</v>
      </c>
      <c r="AC205">
        <v>-30.389194490000001</v>
      </c>
      <c r="AE205">
        <v>5237811167.1923637</v>
      </c>
      <c r="AF205">
        <v>-30.403388979999999</v>
      </c>
      <c r="AH205">
        <v>5237811167.1923637</v>
      </c>
      <c r="AI205">
        <v>-30.50870514</v>
      </c>
    </row>
    <row r="206" spans="1:35">
      <c r="A206">
        <v>5140530100.20047</v>
      </c>
      <c r="B206" s="72">
        <v>-26.680591580000002</v>
      </c>
      <c r="D206">
        <v>5185530100.20047</v>
      </c>
      <c r="E206" s="72">
        <v>-28.952705380000001</v>
      </c>
      <c r="G206">
        <v>5239170100.20047</v>
      </c>
      <c r="H206" s="72">
        <v>-31.766723630000001</v>
      </c>
      <c r="J206">
        <v>5142030100.20047</v>
      </c>
      <c r="K206" s="72">
        <v>-26.059860230000002</v>
      </c>
      <c r="M206">
        <v>5237670100.20047</v>
      </c>
      <c r="N206" s="72">
        <v>-30.85153961</v>
      </c>
      <c r="P206">
        <v>5239312452.8301849</v>
      </c>
      <c r="Q206">
        <v>-31.045104980000001</v>
      </c>
      <c r="S206">
        <v>5142172452.8301849</v>
      </c>
      <c r="T206">
        <v>-35.225280759999997</v>
      </c>
      <c r="V206">
        <v>5142172452.8301849</v>
      </c>
      <c r="W206">
        <v>-35.175994869999997</v>
      </c>
      <c r="Y206">
        <v>5142172452.8301849</v>
      </c>
      <c r="Z206">
        <v>-35.153003689999998</v>
      </c>
      <c r="AB206">
        <v>5237814936.708889</v>
      </c>
      <c r="AC206">
        <v>-31.33673859</v>
      </c>
      <c r="AE206">
        <v>5237813690.8516693</v>
      </c>
      <c r="AF206">
        <v>-31.3392868</v>
      </c>
      <c r="AH206">
        <v>5237813690.8516693</v>
      </c>
      <c r="AI206">
        <v>-31.4320755</v>
      </c>
    </row>
    <row r="207" spans="1:35">
      <c r="A207">
        <v>5140531703.4068832</v>
      </c>
      <c r="B207" s="72">
        <v>-27.000251769999998</v>
      </c>
      <c r="D207">
        <v>5185531703.4068832</v>
      </c>
      <c r="E207" s="72">
        <v>-29.46928406</v>
      </c>
      <c r="G207">
        <v>5239171703.4068832</v>
      </c>
      <c r="H207" s="72">
        <v>-32.232212070000003</v>
      </c>
      <c r="J207">
        <v>5142031703.4068832</v>
      </c>
      <c r="K207" s="72">
        <v>-25.046169280000001</v>
      </c>
      <c r="M207">
        <v>5237671703.4068832</v>
      </c>
      <c r="N207" s="72">
        <v>-29.669387820000001</v>
      </c>
      <c r="P207">
        <v>5239314968.5534554</v>
      </c>
      <c r="Q207">
        <v>-31.322597500000001</v>
      </c>
      <c r="S207">
        <v>5142174968.5534554</v>
      </c>
      <c r="T207">
        <v>-33.928985599999997</v>
      </c>
      <c r="V207">
        <v>5142174968.5534554</v>
      </c>
      <c r="W207">
        <v>-33.869678499999999</v>
      </c>
      <c r="Y207">
        <v>5142174968.5534554</v>
      </c>
      <c r="Z207">
        <v>-33.828979490000002</v>
      </c>
      <c r="AB207">
        <v>5237817468.3544588</v>
      </c>
      <c r="AC207">
        <v>-29.89901733</v>
      </c>
      <c r="AE207">
        <v>5237816214.5109749</v>
      </c>
      <c r="AF207">
        <v>-29.888175960000002</v>
      </c>
      <c r="AH207">
        <v>5237816214.5109749</v>
      </c>
      <c r="AI207">
        <v>-29.978569029999999</v>
      </c>
    </row>
    <row r="208" spans="1:35">
      <c r="A208">
        <v>5140533306.6132965</v>
      </c>
      <c r="B208" s="72">
        <v>-25.71423721</v>
      </c>
      <c r="D208">
        <v>5185533306.6132965</v>
      </c>
      <c r="E208" s="72">
        <v>-27.52319336</v>
      </c>
      <c r="G208">
        <v>5239173306.6132965</v>
      </c>
      <c r="H208" s="72">
        <v>-30.302726750000001</v>
      </c>
      <c r="J208">
        <v>5142033306.6132965</v>
      </c>
      <c r="K208" s="72">
        <v>-26.775661469999999</v>
      </c>
      <c r="M208">
        <v>5237673306.6132965</v>
      </c>
      <c r="N208" s="72">
        <v>-31.229183200000001</v>
      </c>
      <c r="P208">
        <v>5239317484.2767258</v>
      </c>
      <c r="Q208">
        <v>-29.187797549999999</v>
      </c>
      <c r="S208">
        <v>5142177484.2767258</v>
      </c>
      <c r="T208">
        <v>-36.121570589999997</v>
      </c>
      <c r="V208">
        <v>5142177484.2767258</v>
      </c>
      <c r="W208">
        <v>-36.119445800000001</v>
      </c>
      <c r="Y208">
        <v>5142177484.2767258</v>
      </c>
      <c r="Z208">
        <v>-36.137134549999999</v>
      </c>
      <c r="AB208">
        <v>5237820000.0000286</v>
      </c>
      <c r="AC208">
        <v>-31.854759219999998</v>
      </c>
      <c r="AE208">
        <v>5237818738.1702805</v>
      </c>
      <c r="AF208">
        <v>-31.837127689999999</v>
      </c>
      <c r="AH208">
        <v>5237818738.1702805</v>
      </c>
      <c r="AI208">
        <v>-31.93803024</v>
      </c>
    </row>
    <row r="209" spans="1:35">
      <c r="A209">
        <v>5140534909.8197098</v>
      </c>
      <c r="B209" s="72">
        <v>-26.60163498</v>
      </c>
      <c r="D209">
        <v>5185534909.8197098</v>
      </c>
      <c r="E209" s="72">
        <v>-28.775226589999999</v>
      </c>
      <c r="G209">
        <v>5239174909.8197098</v>
      </c>
      <c r="H209" s="72">
        <v>-31.470897669999999</v>
      </c>
      <c r="J209">
        <v>5142034909.8197098</v>
      </c>
      <c r="K209" s="72">
        <v>-25.31587601</v>
      </c>
      <c r="M209">
        <v>5237674909.8197098</v>
      </c>
      <c r="N209" s="72">
        <v>-29.958553309999999</v>
      </c>
      <c r="P209">
        <v>5239319999.9999962</v>
      </c>
      <c r="Q209">
        <v>-30.36672592</v>
      </c>
      <c r="S209">
        <v>5142179999.9999962</v>
      </c>
      <c r="T209">
        <v>-34.298992159999997</v>
      </c>
      <c r="V209">
        <v>5142179999.9999962</v>
      </c>
      <c r="W209">
        <v>-34.26022339</v>
      </c>
      <c r="Y209">
        <v>5142179999.9999962</v>
      </c>
      <c r="Z209">
        <v>-34.23461914</v>
      </c>
      <c r="AB209">
        <v>5237822531.6455984</v>
      </c>
      <c r="AC209">
        <v>-30.279438020000001</v>
      </c>
      <c r="AE209">
        <v>5237821261.829586</v>
      </c>
      <c r="AF209">
        <v>-30.277305599999998</v>
      </c>
      <c r="AH209">
        <v>5237821261.829586</v>
      </c>
      <c r="AI209">
        <v>-30.370521549999999</v>
      </c>
    </row>
    <row r="210" spans="1:35">
      <c r="A210">
        <v>5140536513.026123</v>
      </c>
      <c r="B210" s="72">
        <v>-26.139049530000001</v>
      </c>
      <c r="D210">
        <v>5185536513.026123</v>
      </c>
      <c r="E210" s="72">
        <v>-28.64882278</v>
      </c>
      <c r="G210">
        <v>5239176513.026123</v>
      </c>
      <c r="H210" s="72">
        <v>-31.374717709999999</v>
      </c>
      <c r="J210">
        <v>5142036513.026123</v>
      </c>
      <c r="K210" s="72">
        <v>-25.56218719</v>
      </c>
      <c r="M210">
        <v>5237676513.026123</v>
      </c>
      <c r="N210" s="72">
        <v>-30.47800827</v>
      </c>
      <c r="P210">
        <v>5239322515.7232666</v>
      </c>
      <c r="Q210">
        <v>-30.39488983</v>
      </c>
      <c r="S210">
        <v>5142182515.7232666</v>
      </c>
      <c r="T210">
        <v>-34.888587950000002</v>
      </c>
      <c r="V210">
        <v>5142182515.7232666</v>
      </c>
      <c r="W210">
        <v>-34.855094909999998</v>
      </c>
      <c r="Y210">
        <v>5142182515.7232666</v>
      </c>
      <c r="Z210">
        <v>-34.824443819999999</v>
      </c>
      <c r="AB210">
        <v>5237825063.2911682</v>
      </c>
      <c r="AC210">
        <v>-31.097877499999999</v>
      </c>
      <c r="AE210">
        <v>5237823785.4888916</v>
      </c>
      <c r="AF210">
        <v>-31.03826141</v>
      </c>
      <c r="AH210">
        <v>5237823785.4888916</v>
      </c>
      <c r="AI210">
        <v>-31.136875150000002</v>
      </c>
    </row>
    <row r="211" spans="1:35">
      <c r="A211">
        <v>5140538116.2325363</v>
      </c>
      <c r="B211" s="72">
        <v>-27.58680725</v>
      </c>
      <c r="D211">
        <v>5185538116.2325363</v>
      </c>
      <c r="E211" s="72">
        <v>-29.475364689999999</v>
      </c>
      <c r="G211">
        <v>5239178116.2325363</v>
      </c>
      <c r="H211" s="72">
        <v>-32.277076719999997</v>
      </c>
      <c r="J211">
        <v>5142038116.2325363</v>
      </c>
      <c r="K211" s="72">
        <v>-25.694717409999999</v>
      </c>
      <c r="M211">
        <v>5237678116.2325363</v>
      </c>
      <c r="N211" s="72">
        <v>-30.109603880000002</v>
      </c>
      <c r="P211">
        <v>5239325031.446537</v>
      </c>
      <c r="Q211">
        <v>-31.37290192</v>
      </c>
      <c r="S211">
        <v>5142185031.446537</v>
      </c>
      <c r="T211">
        <v>-34.747814179999999</v>
      </c>
      <c r="V211">
        <v>5142185031.446537</v>
      </c>
      <c r="W211">
        <v>-34.702522279999997</v>
      </c>
      <c r="Y211">
        <v>5142185031.446537</v>
      </c>
      <c r="Z211">
        <v>-34.663848880000003</v>
      </c>
      <c r="AB211">
        <v>5237827594.936738</v>
      </c>
      <c r="AC211">
        <v>-30.404865260000001</v>
      </c>
      <c r="AE211">
        <v>5237826309.1481972</v>
      </c>
      <c r="AF211">
        <v>-30.417186739999998</v>
      </c>
      <c r="AH211">
        <v>5237826309.1481972</v>
      </c>
      <c r="AI211">
        <v>-30.522193909999999</v>
      </c>
    </row>
    <row r="212" spans="1:35">
      <c r="A212">
        <v>5140539719.4389496</v>
      </c>
      <c r="B212" s="72">
        <v>-26.6256752</v>
      </c>
      <c r="D212">
        <v>5185539719.4389496</v>
      </c>
      <c r="E212" s="72">
        <v>-29.001506809999999</v>
      </c>
      <c r="G212">
        <v>5239179719.4389496</v>
      </c>
      <c r="H212" s="72">
        <v>-31.70088196</v>
      </c>
      <c r="J212">
        <v>5142039719.4389496</v>
      </c>
      <c r="K212" s="72">
        <v>-25.702846529999999</v>
      </c>
      <c r="M212">
        <v>5237679719.4389496</v>
      </c>
      <c r="N212" s="72">
        <v>-30.881874079999999</v>
      </c>
      <c r="P212">
        <v>5239327547.1698074</v>
      </c>
      <c r="Q212">
        <v>-30.920547490000001</v>
      </c>
      <c r="S212">
        <v>5142187547.1698074</v>
      </c>
      <c r="T212">
        <v>-34.761524199999997</v>
      </c>
      <c r="V212">
        <v>5142187547.1698074</v>
      </c>
      <c r="W212">
        <v>-34.704505920000003</v>
      </c>
      <c r="Y212">
        <v>5142187547.1698074</v>
      </c>
      <c r="Z212">
        <v>-34.670867919999999</v>
      </c>
      <c r="AB212">
        <v>5237830126.5823078</v>
      </c>
      <c r="AC212">
        <v>-31.355438230000001</v>
      </c>
      <c r="AE212">
        <v>5237828832.8075027</v>
      </c>
      <c r="AF212">
        <v>-31.295722959999999</v>
      </c>
      <c r="AH212">
        <v>5237828832.8075027</v>
      </c>
      <c r="AI212">
        <v>-31.38262177</v>
      </c>
    </row>
    <row r="213" spans="1:35">
      <c r="A213">
        <v>5140541322.6453629</v>
      </c>
      <c r="B213" s="72">
        <v>-25.123592380000002</v>
      </c>
      <c r="D213">
        <v>5185541322.6453629</v>
      </c>
      <c r="E213" s="72">
        <v>-27.635402679999999</v>
      </c>
      <c r="G213">
        <v>5239181322.6453629</v>
      </c>
      <c r="H213" s="72">
        <v>-30.459270480000001</v>
      </c>
      <c r="J213">
        <v>5142041322.6453629</v>
      </c>
      <c r="K213" s="72">
        <v>-24.70533752</v>
      </c>
      <c r="M213">
        <v>5237681322.6453629</v>
      </c>
      <c r="N213" s="72">
        <v>-29.32759094</v>
      </c>
      <c r="P213">
        <v>5239330062.8930779</v>
      </c>
      <c r="Q213">
        <v>-29.347404480000002</v>
      </c>
      <c r="S213">
        <v>5142190062.8930779</v>
      </c>
      <c r="T213">
        <v>-33.570091249999997</v>
      </c>
      <c r="V213">
        <v>5142190062.8930779</v>
      </c>
      <c r="W213">
        <v>-33.501129149999997</v>
      </c>
      <c r="Y213">
        <v>5142190062.8930779</v>
      </c>
      <c r="Z213">
        <v>-33.447906490000001</v>
      </c>
      <c r="AB213">
        <v>5237832658.2278776</v>
      </c>
      <c r="AC213">
        <v>-29.500499730000001</v>
      </c>
      <c r="AE213">
        <v>5237831356.4668083</v>
      </c>
      <c r="AF213">
        <v>-29.504753109999999</v>
      </c>
      <c r="AH213">
        <v>5237831356.4668083</v>
      </c>
      <c r="AI213">
        <v>-29.602584839999999</v>
      </c>
    </row>
    <row r="214" spans="1:35">
      <c r="A214">
        <v>5140542925.8517761</v>
      </c>
      <c r="B214" s="72">
        <v>-25.314323430000002</v>
      </c>
      <c r="D214">
        <v>5185542925.8517761</v>
      </c>
      <c r="E214" s="72">
        <v>-27.53295898</v>
      </c>
      <c r="G214">
        <v>5239182925.8517761</v>
      </c>
      <c r="H214" s="72">
        <v>-30.30810928</v>
      </c>
      <c r="J214">
        <v>5142042925.8517761</v>
      </c>
      <c r="K214" s="72">
        <v>-24.804321290000001</v>
      </c>
      <c r="M214">
        <v>5237682925.8517761</v>
      </c>
      <c r="N214" s="72">
        <v>-29.464176179999999</v>
      </c>
      <c r="P214">
        <v>5239332578.6163483</v>
      </c>
      <c r="Q214">
        <v>-29.33516693</v>
      </c>
      <c r="S214">
        <v>5142192578.6163483</v>
      </c>
      <c r="T214">
        <v>-33.781860350000002</v>
      </c>
      <c r="V214">
        <v>5142192578.6163483</v>
      </c>
      <c r="W214">
        <v>-33.785148620000001</v>
      </c>
      <c r="Y214">
        <v>5142192578.6163483</v>
      </c>
      <c r="Z214">
        <v>-33.78862762</v>
      </c>
      <c r="AB214">
        <v>5237835189.8734474</v>
      </c>
      <c r="AC214">
        <v>-29.718528750000001</v>
      </c>
      <c r="AE214">
        <v>5237833880.1261139</v>
      </c>
      <c r="AF214">
        <v>-29.681938169999999</v>
      </c>
      <c r="AH214">
        <v>5237833880.1261139</v>
      </c>
      <c r="AI214">
        <v>-29.77799606</v>
      </c>
    </row>
    <row r="215" spans="1:35">
      <c r="A215">
        <v>5140544529.0581894</v>
      </c>
      <c r="B215" s="72">
        <v>-26.350337979999999</v>
      </c>
      <c r="D215">
        <v>5185544529.0581894</v>
      </c>
      <c r="E215" s="72">
        <v>-29.03575897</v>
      </c>
      <c r="G215">
        <v>5239184529.0581894</v>
      </c>
      <c r="H215" s="72">
        <v>-31.540225979999999</v>
      </c>
      <c r="J215">
        <v>5142044529.0581894</v>
      </c>
      <c r="K215" s="72">
        <v>-27.618999479999999</v>
      </c>
      <c r="M215">
        <v>5237684529.0581894</v>
      </c>
      <c r="N215" s="72">
        <v>-32.07349396</v>
      </c>
      <c r="P215">
        <v>5239335094.3396187</v>
      </c>
      <c r="Q215">
        <v>-30.774406429999999</v>
      </c>
      <c r="S215">
        <v>5142195094.3396187</v>
      </c>
      <c r="T215">
        <v>-37.04719162</v>
      </c>
      <c r="V215">
        <v>5142195094.3396187</v>
      </c>
      <c r="W215">
        <v>-37.01594162</v>
      </c>
      <c r="Y215">
        <v>5142195094.3396187</v>
      </c>
      <c r="Z215">
        <v>-37.000816350000001</v>
      </c>
      <c r="AB215">
        <v>5237837721.5190172</v>
      </c>
      <c r="AC215">
        <v>-32.720458979999997</v>
      </c>
      <c r="AE215">
        <v>5237836403.7854195</v>
      </c>
      <c r="AF215">
        <v>-32.705425259999998</v>
      </c>
      <c r="AH215">
        <v>5237836403.7854195</v>
      </c>
      <c r="AI215">
        <v>-32.805305480000001</v>
      </c>
    </row>
    <row r="216" spans="1:35">
      <c r="A216">
        <v>5140546132.2646027</v>
      </c>
      <c r="B216" s="72">
        <v>-26.868625640000001</v>
      </c>
      <c r="D216">
        <v>5185546132.2646027</v>
      </c>
      <c r="E216" s="72">
        <v>-28.307426450000001</v>
      </c>
      <c r="G216">
        <v>5239186132.2646027</v>
      </c>
      <c r="H216" s="72">
        <v>-31.074497220000001</v>
      </c>
      <c r="J216">
        <v>5142046132.2646027</v>
      </c>
      <c r="K216" s="72">
        <v>-24.55757904</v>
      </c>
      <c r="M216">
        <v>5237686132.2646027</v>
      </c>
      <c r="N216" s="72">
        <v>-29.463024140000002</v>
      </c>
      <c r="P216">
        <v>5239337610.0628891</v>
      </c>
      <c r="Q216">
        <v>-30.161392209999999</v>
      </c>
      <c r="S216">
        <v>5142197610.0628891</v>
      </c>
      <c r="T216">
        <v>-33.03964233</v>
      </c>
      <c r="V216">
        <v>5142197610.0628891</v>
      </c>
      <c r="W216">
        <v>-32.976043699999998</v>
      </c>
      <c r="Y216">
        <v>5142197610.0628891</v>
      </c>
      <c r="Z216">
        <v>-32.941318510000002</v>
      </c>
      <c r="AB216">
        <v>5237840253.164587</v>
      </c>
      <c r="AC216">
        <v>-29.385929109999999</v>
      </c>
      <c r="AE216">
        <v>5237838927.444725</v>
      </c>
      <c r="AF216">
        <v>-29.313396449999999</v>
      </c>
      <c r="AH216">
        <v>5237838927.444725</v>
      </c>
      <c r="AI216">
        <v>-29.391510010000001</v>
      </c>
    </row>
    <row r="217" spans="1:35">
      <c r="A217">
        <v>5140547735.4710159</v>
      </c>
      <c r="B217" s="72">
        <v>-25.701499940000001</v>
      </c>
      <c r="D217">
        <v>5185547735.4710159</v>
      </c>
      <c r="E217" s="72">
        <v>-28.142936710000001</v>
      </c>
      <c r="G217">
        <v>5239187735.4710159</v>
      </c>
      <c r="H217" s="72">
        <v>-30.927799220000001</v>
      </c>
      <c r="J217">
        <v>5142047735.4710159</v>
      </c>
      <c r="K217" s="72">
        <v>-26.025596620000002</v>
      </c>
      <c r="M217">
        <v>5237687735.4710159</v>
      </c>
      <c r="N217" s="72">
        <v>-29.802139279999999</v>
      </c>
      <c r="P217">
        <v>5239340125.7861595</v>
      </c>
      <c r="Q217">
        <v>-30.078723910000001</v>
      </c>
      <c r="S217">
        <v>5142200125.7861595</v>
      </c>
      <c r="T217">
        <v>-35.013298030000001</v>
      </c>
      <c r="V217">
        <v>5142200125.7861595</v>
      </c>
      <c r="W217">
        <v>-34.989978790000002</v>
      </c>
      <c r="Y217">
        <v>5142200125.7861595</v>
      </c>
      <c r="Z217">
        <v>-34.972217559999997</v>
      </c>
      <c r="AB217">
        <v>5237842784.8101568</v>
      </c>
      <c r="AC217">
        <v>-29.769187930000001</v>
      </c>
      <c r="AE217">
        <v>5237841451.1040306</v>
      </c>
      <c r="AF217">
        <v>-29.853797910000001</v>
      </c>
      <c r="AH217">
        <v>5237841451.1040306</v>
      </c>
      <c r="AI217">
        <v>-29.95861816</v>
      </c>
    </row>
    <row r="218" spans="1:35">
      <c r="A218">
        <v>5140549338.6774292</v>
      </c>
      <c r="B218" s="72">
        <v>-25.570003509999999</v>
      </c>
      <c r="D218">
        <v>5185549338.6774292</v>
      </c>
      <c r="E218" s="72">
        <v>-27.045833590000001</v>
      </c>
      <c r="G218">
        <v>5239189338.6774292</v>
      </c>
      <c r="H218" s="72">
        <v>-29.51152802</v>
      </c>
      <c r="J218">
        <v>5142049338.6774292</v>
      </c>
      <c r="K218" s="72">
        <v>-25.905082700000001</v>
      </c>
      <c r="M218">
        <v>5237689338.6774292</v>
      </c>
      <c r="N218" s="72">
        <v>-29.744709010000001</v>
      </c>
      <c r="P218">
        <v>5239342641.5094299</v>
      </c>
      <c r="Q218">
        <v>-28.451255799999998</v>
      </c>
      <c r="S218">
        <v>5142202641.5094299</v>
      </c>
      <c r="T218">
        <v>-34.528678890000002</v>
      </c>
      <c r="V218">
        <v>5142202641.5094299</v>
      </c>
      <c r="W218">
        <v>-34.588142400000002</v>
      </c>
      <c r="Y218">
        <v>5142202641.5094299</v>
      </c>
      <c r="Z218">
        <v>-34.587207790000001</v>
      </c>
      <c r="AB218">
        <v>5237845316.4557266</v>
      </c>
      <c r="AC218">
        <v>-29.887714389999999</v>
      </c>
      <c r="AE218">
        <v>5237843974.7633362</v>
      </c>
      <c r="AF218">
        <v>-29.958736420000001</v>
      </c>
      <c r="AH218">
        <v>5237843974.7633362</v>
      </c>
      <c r="AI218">
        <v>-29.883213040000001</v>
      </c>
    </row>
    <row r="219" spans="1:35">
      <c r="A219">
        <v>5140550941.8838425</v>
      </c>
      <c r="B219" s="72">
        <v>-24.97846603</v>
      </c>
      <c r="D219">
        <v>5185550941.8838425</v>
      </c>
      <c r="E219" s="72">
        <v>-27.161518099999999</v>
      </c>
      <c r="G219">
        <v>5239190941.8838425</v>
      </c>
      <c r="H219" s="72">
        <v>-29.463401789999999</v>
      </c>
      <c r="J219">
        <v>5142050941.8838425</v>
      </c>
      <c r="K219" s="72">
        <v>-24.763088230000001</v>
      </c>
      <c r="M219">
        <v>5237690941.8838425</v>
      </c>
      <c r="N219" s="72">
        <v>-28.67927551</v>
      </c>
      <c r="P219">
        <v>5239345157.2327003</v>
      </c>
      <c r="Q219">
        <v>-28.459556580000001</v>
      </c>
      <c r="S219">
        <v>5142205157.2327003</v>
      </c>
      <c r="T219">
        <v>-33.176643370000001</v>
      </c>
      <c r="V219">
        <v>5142205157.2327003</v>
      </c>
      <c r="W219">
        <v>-33.203601839999997</v>
      </c>
      <c r="Y219">
        <v>5142205157.2327003</v>
      </c>
      <c r="Z219">
        <v>-33.21209717</v>
      </c>
      <c r="AB219">
        <v>5237847848.1012964</v>
      </c>
      <c r="AC219">
        <v>-28.397926330000001</v>
      </c>
      <c r="AE219">
        <v>5237846498.4226418</v>
      </c>
      <c r="AF219">
        <v>-28.353870390000001</v>
      </c>
      <c r="AH219">
        <v>5237846498.4226418</v>
      </c>
      <c r="AI219">
        <v>-28.295772549999999</v>
      </c>
    </row>
    <row r="220" spans="1:35">
      <c r="A220">
        <v>5140552545.0902557</v>
      </c>
      <c r="B220" s="72">
        <v>-26.398746490000001</v>
      </c>
      <c r="D220">
        <v>5185552545.0902557</v>
      </c>
      <c r="E220" s="72">
        <v>-28.23623276</v>
      </c>
      <c r="G220">
        <v>5239192545.0902557</v>
      </c>
      <c r="H220" s="72">
        <v>-30.45223618</v>
      </c>
      <c r="J220">
        <v>5142052545.0902557</v>
      </c>
      <c r="K220" s="72">
        <v>-25.981372830000002</v>
      </c>
      <c r="M220">
        <v>5237692545.0902557</v>
      </c>
      <c r="N220" s="72">
        <v>-30.344558719999998</v>
      </c>
      <c r="P220">
        <v>5239347672.9559708</v>
      </c>
      <c r="Q220">
        <v>-29.726234439999999</v>
      </c>
      <c r="S220">
        <v>5142207672.9559708</v>
      </c>
      <c r="T220">
        <v>-34.770225519999997</v>
      </c>
      <c r="V220">
        <v>5142207672.9559708</v>
      </c>
      <c r="W220">
        <v>-34.721691130000004</v>
      </c>
      <c r="Y220">
        <v>5142207672.9559708</v>
      </c>
      <c r="Z220">
        <v>-34.75971603</v>
      </c>
      <c r="AB220">
        <v>5237850379.7468662</v>
      </c>
      <c r="AC220">
        <v>-30.40955353</v>
      </c>
      <c r="AE220">
        <v>5237849022.0819473</v>
      </c>
      <c r="AF220">
        <v>-30.49435806</v>
      </c>
      <c r="AH220">
        <v>5237849022.0819473</v>
      </c>
      <c r="AI220">
        <v>-30.388847349999999</v>
      </c>
    </row>
    <row r="221" spans="1:35">
      <c r="A221">
        <v>5140554148.296669</v>
      </c>
      <c r="B221" s="72">
        <v>-25.50675201</v>
      </c>
      <c r="D221">
        <v>5185554148.296669</v>
      </c>
      <c r="E221" s="72">
        <v>-27.526481629999999</v>
      </c>
      <c r="G221">
        <v>5239194148.296669</v>
      </c>
      <c r="H221" s="72">
        <v>-29.78633499</v>
      </c>
      <c r="J221">
        <v>5142054148.296669</v>
      </c>
      <c r="K221" s="72">
        <v>-25.205711359999999</v>
      </c>
      <c r="M221">
        <v>5237694148.296669</v>
      </c>
      <c r="N221" s="72">
        <v>-29.16490555</v>
      </c>
      <c r="P221">
        <v>5239350188.6792412</v>
      </c>
      <c r="Q221">
        <v>-29.177600859999998</v>
      </c>
      <c r="S221">
        <v>5142210188.6792412</v>
      </c>
      <c r="T221">
        <v>-34.187751769999998</v>
      </c>
      <c r="V221">
        <v>5142210188.6792412</v>
      </c>
      <c r="W221">
        <v>-34.229125979999999</v>
      </c>
      <c r="Y221">
        <v>5142210188.6792412</v>
      </c>
      <c r="Z221">
        <v>-34.307636260000002</v>
      </c>
      <c r="AB221">
        <v>5237852911.392436</v>
      </c>
      <c r="AC221">
        <v>-29.49221039</v>
      </c>
      <c r="AE221">
        <v>5237851545.7412529</v>
      </c>
      <c r="AF221">
        <v>-29.496856690000001</v>
      </c>
      <c r="AH221">
        <v>5237851545.7412529</v>
      </c>
      <c r="AI221">
        <v>-29.397285459999999</v>
      </c>
    </row>
    <row r="222" spans="1:35">
      <c r="A222">
        <v>5140555751.5030823</v>
      </c>
      <c r="B222" s="72">
        <v>-26.428207400000002</v>
      </c>
      <c r="D222">
        <v>5185555751.5030823</v>
      </c>
      <c r="E222" s="72">
        <v>-28.656742099999999</v>
      </c>
      <c r="G222">
        <v>5239195751.5030823</v>
      </c>
      <c r="H222" s="72">
        <v>-30.8723259</v>
      </c>
      <c r="J222">
        <v>5142055751.5030823</v>
      </c>
      <c r="K222" s="72">
        <v>-25.766479489999998</v>
      </c>
      <c r="M222">
        <v>5237695751.5030823</v>
      </c>
      <c r="N222" s="72">
        <v>-30.425952909999999</v>
      </c>
      <c r="P222">
        <v>5239352704.4025116</v>
      </c>
      <c r="Q222">
        <v>-30.308582309999998</v>
      </c>
      <c r="S222">
        <v>5142212704.4025116</v>
      </c>
      <c r="T222">
        <v>-34.639453889999999</v>
      </c>
      <c r="V222">
        <v>5142212704.4025116</v>
      </c>
      <c r="W222">
        <v>-34.56565475</v>
      </c>
      <c r="Y222">
        <v>5142212704.4025116</v>
      </c>
      <c r="Z222">
        <v>-34.550983430000002</v>
      </c>
      <c r="AB222">
        <v>5237855443.0380058</v>
      </c>
      <c r="AC222">
        <v>-30.742015840000001</v>
      </c>
      <c r="AE222">
        <v>5237854069.4005585</v>
      </c>
      <c r="AF222">
        <v>-30.723037720000001</v>
      </c>
      <c r="AH222">
        <v>5237854069.4005585</v>
      </c>
      <c r="AI222">
        <v>-30.6162262</v>
      </c>
    </row>
    <row r="223" spans="1:35">
      <c r="A223">
        <v>5140557354.7094955</v>
      </c>
      <c r="B223" s="72">
        <v>-25.919471739999999</v>
      </c>
      <c r="D223">
        <v>5185557354.7094955</v>
      </c>
      <c r="E223" s="72">
        <v>-27.993137359999999</v>
      </c>
      <c r="G223">
        <v>5239197354.7094955</v>
      </c>
      <c r="H223" s="72">
        <v>-30.211791989999998</v>
      </c>
      <c r="J223">
        <v>5142057354.7094955</v>
      </c>
      <c r="K223" s="72">
        <v>-24.847290040000001</v>
      </c>
      <c r="M223">
        <v>5237697354.7094955</v>
      </c>
      <c r="N223" s="72">
        <v>-28.76439667</v>
      </c>
      <c r="P223">
        <v>5239355220.125782</v>
      </c>
      <c r="Q223">
        <v>-29.433418270000001</v>
      </c>
      <c r="S223">
        <v>5142215220.125782</v>
      </c>
      <c r="T223">
        <v>-33.468872070000003</v>
      </c>
      <c r="V223">
        <v>5142215220.125782</v>
      </c>
      <c r="W223">
        <v>-33.501579280000001</v>
      </c>
      <c r="Y223">
        <v>5142215220.125782</v>
      </c>
      <c r="Z223">
        <v>-33.655048370000003</v>
      </c>
      <c r="AB223">
        <v>5237857974.6835756</v>
      </c>
      <c r="AC223">
        <v>-28.545104980000001</v>
      </c>
      <c r="AE223">
        <v>5237856593.059864</v>
      </c>
      <c r="AF223">
        <v>-28.501548769999999</v>
      </c>
      <c r="AH223">
        <v>5237856593.059864</v>
      </c>
      <c r="AI223">
        <v>-28.417930599999998</v>
      </c>
    </row>
    <row r="224" spans="1:35">
      <c r="A224">
        <v>5140558957.9159088</v>
      </c>
      <c r="B224" s="72">
        <v>-25.627384190000001</v>
      </c>
      <c r="D224">
        <v>5185558957.9159088</v>
      </c>
      <c r="E224" s="72">
        <v>-28.211872100000001</v>
      </c>
      <c r="G224">
        <v>5239198957.9159088</v>
      </c>
      <c r="H224" s="72">
        <v>-30.549587249999998</v>
      </c>
      <c r="J224">
        <v>5142058957.9159088</v>
      </c>
      <c r="K224" s="72">
        <v>-25.80690002</v>
      </c>
      <c r="M224">
        <v>5237698957.9159088</v>
      </c>
      <c r="N224" s="72">
        <v>-29.877178189999999</v>
      </c>
      <c r="P224">
        <v>5239357735.8490524</v>
      </c>
      <c r="Q224">
        <v>-29.694602969999998</v>
      </c>
      <c r="S224">
        <v>5142217735.8490524</v>
      </c>
      <c r="T224">
        <v>-34.678943629999999</v>
      </c>
      <c r="V224">
        <v>5142217735.8490524</v>
      </c>
      <c r="W224">
        <v>-34.647392269999997</v>
      </c>
      <c r="Y224">
        <v>5142217735.8490524</v>
      </c>
      <c r="Z224">
        <v>-34.715290070000002</v>
      </c>
      <c r="AB224">
        <v>5237860506.3291454</v>
      </c>
      <c r="AC224">
        <v>-29.917640689999999</v>
      </c>
      <c r="AE224">
        <v>5237859116.7191696</v>
      </c>
      <c r="AF224">
        <v>-29.946933749999999</v>
      </c>
      <c r="AH224">
        <v>5237859116.7191696</v>
      </c>
      <c r="AI224">
        <v>-29.842529299999999</v>
      </c>
    </row>
    <row r="225" spans="1:35">
      <c r="A225">
        <v>5140560561.1223221</v>
      </c>
      <c r="B225" s="72">
        <v>-25.75935364</v>
      </c>
      <c r="D225">
        <v>5185560561.1223221</v>
      </c>
      <c r="E225" s="72">
        <v>-27.241886139999998</v>
      </c>
      <c r="G225">
        <v>5239200561.1223221</v>
      </c>
      <c r="H225" s="72">
        <v>-29.669284820000001</v>
      </c>
      <c r="J225">
        <v>5142060561.1223221</v>
      </c>
      <c r="K225" s="72">
        <v>-25.710617070000001</v>
      </c>
      <c r="M225">
        <v>5237700561.1223221</v>
      </c>
      <c r="N225" s="72">
        <v>-30.010044100000002</v>
      </c>
      <c r="P225">
        <v>5239360251.5723228</v>
      </c>
      <c r="Q225">
        <v>-28.47453308</v>
      </c>
      <c r="S225">
        <v>5142220251.5723228</v>
      </c>
      <c r="T225">
        <v>-34.558906559999997</v>
      </c>
      <c r="V225">
        <v>5142220251.5723228</v>
      </c>
      <c r="W225">
        <v>-34.470252989999999</v>
      </c>
      <c r="Y225">
        <v>5142220251.5723228</v>
      </c>
      <c r="Z225">
        <v>-34.434673310000001</v>
      </c>
      <c r="AB225">
        <v>5237863037.9747152</v>
      </c>
      <c r="AC225">
        <v>-30.213474269999999</v>
      </c>
      <c r="AE225">
        <v>5237861640.3784752</v>
      </c>
      <c r="AF225">
        <v>-30.20828247</v>
      </c>
      <c r="AH225">
        <v>5237861640.3784752</v>
      </c>
      <c r="AI225">
        <v>-30.104515079999999</v>
      </c>
    </row>
    <row r="226" spans="1:35">
      <c r="A226">
        <v>5140562164.3287354</v>
      </c>
      <c r="B226" s="72">
        <v>-25.405105590000002</v>
      </c>
      <c r="D226">
        <v>5185562164.3287354</v>
      </c>
      <c r="E226" s="72">
        <v>-27.67679214</v>
      </c>
      <c r="G226">
        <v>5239202164.3287354</v>
      </c>
      <c r="H226" s="72">
        <v>-29.69133759</v>
      </c>
      <c r="J226">
        <v>5142062164.3287354</v>
      </c>
      <c r="K226" s="72">
        <v>-25.015796659999999</v>
      </c>
      <c r="M226">
        <v>5237702164.3287354</v>
      </c>
      <c r="N226" s="72">
        <v>-29.524745939999999</v>
      </c>
      <c r="P226">
        <v>5239362767.2955933</v>
      </c>
      <c r="Q226">
        <v>-29.128116609999999</v>
      </c>
      <c r="S226">
        <v>5142222767.2955933</v>
      </c>
      <c r="T226">
        <v>-33.661834720000002</v>
      </c>
      <c r="V226">
        <v>5142222767.2955933</v>
      </c>
      <c r="W226">
        <v>-33.629974369999999</v>
      </c>
      <c r="Y226">
        <v>5142222767.2955933</v>
      </c>
      <c r="Z226">
        <v>-33.597419739999999</v>
      </c>
      <c r="AB226">
        <v>5237865569.620285</v>
      </c>
      <c r="AC226">
        <v>-29.461135859999999</v>
      </c>
      <c r="AE226">
        <v>5237864164.0377808</v>
      </c>
      <c r="AF226">
        <v>-29.446441650000001</v>
      </c>
      <c r="AH226">
        <v>5237864164.0377808</v>
      </c>
      <c r="AI226">
        <v>-29.346538540000001</v>
      </c>
    </row>
    <row r="227" spans="1:35">
      <c r="A227">
        <v>5140563767.5351486</v>
      </c>
      <c r="B227" s="72">
        <v>-26.21947479</v>
      </c>
      <c r="D227">
        <v>5185563767.5351486</v>
      </c>
      <c r="E227" s="72">
        <v>-28.182136539999998</v>
      </c>
      <c r="G227">
        <v>5239203767.5351486</v>
      </c>
      <c r="H227" s="72">
        <v>-30.500137330000001</v>
      </c>
      <c r="J227">
        <v>5142063767.5351486</v>
      </c>
      <c r="K227" s="72">
        <v>-25.305805209999999</v>
      </c>
      <c r="M227">
        <v>5237703767.5351486</v>
      </c>
      <c r="N227" s="72">
        <v>-29.70068741</v>
      </c>
      <c r="P227">
        <v>5239365283.0188637</v>
      </c>
      <c r="Q227">
        <v>-29.611000059999999</v>
      </c>
      <c r="S227">
        <v>5142225283.0188637</v>
      </c>
      <c r="T227">
        <v>-34.436653139999997</v>
      </c>
      <c r="V227">
        <v>5142225283.0188637</v>
      </c>
      <c r="W227">
        <v>-34.609214780000002</v>
      </c>
      <c r="Y227">
        <v>5142225283.0188637</v>
      </c>
      <c r="Z227">
        <v>-34.605140689999999</v>
      </c>
      <c r="AB227">
        <v>5237868101.2658548</v>
      </c>
      <c r="AC227">
        <v>-30.224693299999998</v>
      </c>
      <c r="AE227">
        <v>5237866687.6970863</v>
      </c>
      <c r="AF227">
        <v>-30.199352260000001</v>
      </c>
      <c r="AH227">
        <v>5237866687.6970863</v>
      </c>
      <c r="AI227">
        <v>-30.094806670000001</v>
      </c>
    </row>
    <row r="228" spans="1:35">
      <c r="A228">
        <v>5140565370.7415619</v>
      </c>
      <c r="B228" s="72">
        <v>-26.0746994</v>
      </c>
      <c r="D228">
        <v>5185565370.7415619</v>
      </c>
      <c r="E228" s="72">
        <v>-28.212501530000001</v>
      </c>
      <c r="G228">
        <v>5239205370.7415619</v>
      </c>
      <c r="H228" s="72">
        <v>-30.52973557</v>
      </c>
      <c r="J228">
        <v>5142065370.7415619</v>
      </c>
      <c r="K228" s="72">
        <v>-26.30700684</v>
      </c>
      <c r="M228">
        <v>5237705370.7415619</v>
      </c>
      <c r="N228" s="72">
        <v>-31.546192170000001</v>
      </c>
      <c r="P228">
        <v>5239367798.7421341</v>
      </c>
      <c r="Q228">
        <v>-29.66698074</v>
      </c>
      <c r="S228">
        <v>5142227798.7421341</v>
      </c>
      <c r="T228">
        <v>-35.437324519999997</v>
      </c>
      <c r="V228">
        <v>5142227798.7421341</v>
      </c>
      <c r="W228">
        <v>-35.54263306</v>
      </c>
      <c r="Y228">
        <v>5142227798.7421341</v>
      </c>
      <c r="Z228">
        <v>-35.481712340000001</v>
      </c>
      <c r="AB228">
        <v>5237870632.9114246</v>
      </c>
      <c r="AC228">
        <v>-32.335712430000001</v>
      </c>
      <c r="AE228">
        <v>5237869211.3563919</v>
      </c>
      <c r="AF228">
        <v>-32.296272279999997</v>
      </c>
      <c r="AH228">
        <v>5237869211.3563919</v>
      </c>
      <c r="AI228">
        <v>-32.166831969999997</v>
      </c>
    </row>
    <row r="229" spans="1:35">
      <c r="A229">
        <v>5140566973.9479752</v>
      </c>
      <c r="B229" s="72">
        <v>-25.318820949999999</v>
      </c>
      <c r="D229">
        <v>5185566973.9479752</v>
      </c>
      <c r="E229" s="72">
        <v>-27.465015409999999</v>
      </c>
      <c r="G229">
        <v>5239206973.9479752</v>
      </c>
      <c r="H229" s="72">
        <v>-29.87410736</v>
      </c>
      <c r="J229">
        <v>5142066973.9479752</v>
      </c>
      <c r="K229" s="72">
        <v>-25.49061584</v>
      </c>
      <c r="M229">
        <v>5237706973.9479752</v>
      </c>
      <c r="N229" s="72">
        <v>-29.90868378</v>
      </c>
      <c r="P229">
        <v>5239370314.4654045</v>
      </c>
      <c r="Q229">
        <v>-28.758960720000001</v>
      </c>
      <c r="S229">
        <v>5142230314.4654045</v>
      </c>
      <c r="T229">
        <v>-34.333503720000003</v>
      </c>
      <c r="V229">
        <v>5142230314.4654045</v>
      </c>
      <c r="W229">
        <v>-34.486774439999998</v>
      </c>
      <c r="Y229">
        <v>5142230314.4654045</v>
      </c>
      <c r="Z229">
        <v>-34.459358219999999</v>
      </c>
      <c r="AB229">
        <v>5237873164.5569944</v>
      </c>
      <c r="AC229">
        <v>-30.237648010000001</v>
      </c>
      <c r="AE229">
        <v>5237871735.0156975</v>
      </c>
      <c r="AF229">
        <v>-30.221153260000001</v>
      </c>
      <c r="AH229">
        <v>5237871735.0156975</v>
      </c>
      <c r="AI229">
        <v>-30.12278366</v>
      </c>
    </row>
    <row r="230" spans="1:35">
      <c r="A230">
        <v>5140568577.1543884</v>
      </c>
      <c r="B230" s="72">
        <v>-25.924369810000002</v>
      </c>
      <c r="D230">
        <v>5185568577.1543884</v>
      </c>
      <c r="E230" s="72">
        <v>-28.004154209999999</v>
      </c>
      <c r="G230">
        <v>5239208577.1543884</v>
      </c>
      <c r="H230" s="72">
        <v>-30.300548549999998</v>
      </c>
      <c r="J230">
        <v>5142068577.1543884</v>
      </c>
      <c r="K230" s="72">
        <v>-25.728530880000001</v>
      </c>
      <c r="M230">
        <v>5237708577.1543884</v>
      </c>
      <c r="N230" s="72">
        <v>-30.017730709999999</v>
      </c>
      <c r="P230">
        <v>5239372830.1886749</v>
      </c>
      <c r="Q230">
        <v>-29.62883377</v>
      </c>
      <c r="S230">
        <v>5142232830.1886749</v>
      </c>
      <c r="T230">
        <v>-34.915473939999998</v>
      </c>
      <c r="V230">
        <v>5142232830.1886749</v>
      </c>
      <c r="W230">
        <v>-35.062633509999998</v>
      </c>
      <c r="Y230">
        <v>5142232830.1886749</v>
      </c>
      <c r="Z230">
        <v>-35.046180730000003</v>
      </c>
      <c r="AB230">
        <v>5237875696.2025642</v>
      </c>
      <c r="AC230">
        <v>-30.593921659999999</v>
      </c>
      <c r="AE230">
        <v>5237874258.6750031</v>
      </c>
      <c r="AF230">
        <v>-30.599525450000002</v>
      </c>
      <c r="AH230">
        <v>5237874258.6750031</v>
      </c>
      <c r="AI230">
        <v>-30.49590302</v>
      </c>
    </row>
    <row r="231" spans="1:35">
      <c r="A231">
        <v>5140570180.3608017</v>
      </c>
      <c r="B231" s="72">
        <v>-26.505702970000002</v>
      </c>
      <c r="D231">
        <v>5185570180.3608017</v>
      </c>
      <c r="E231" s="72">
        <v>-28.812000269999999</v>
      </c>
      <c r="G231">
        <v>5239210180.3608017</v>
      </c>
      <c r="H231" s="72">
        <v>-31.023372649999999</v>
      </c>
      <c r="J231">
        <v>5142070180.3608017</v>
      </c>
      <c r="K231" s="72">
        <v>-25.89959717</v>
      </c>
      <c r="M231">
        <v>5237710180.3608017</v>
      </c>
      <c r="N231" s="72">
        <v>-30.29104233</v>
      </c>
      <c r="P231">
        <v>5239375345.9119453</v>
      </c>
      <c r="Q231">
        <v>-30.639705660000001</v>
      </c>
      <c r="S231">
        <v>5142235345.9119453</v>
      </c>
      <c r="T231">
        <v>-35.106170650000003</v>
      </c>
      <c r="V231">
        <v>5142235345.9119453</v>
      </c>
      <c r="W231">
        <v>-35.235267640000004</v>
      </c>
      <c r="Y231">
        <v>5142235345.9119453</v>
      </c>
      <c r="Z231">
        <v>-35.19714355</v>
      </c>
      <c r="AB231">
        <v>5237878227.848134</v>
      </c>
      <c r="AC231">
        <v>-30.910453799999999</v>
      </c>
      <c r="AE231">
        <v>5237876782.3343086</v>
      </c>
      <c r="AF231">
        <v>-30.951255799999998</v>
      </c>
      <c r="AH231">
        <v>5237876782.3343086</v>
      </c>
      <c r="AI231">
        <v>-30.839767460000001</v>
      </c>
    </row>
    <row r="232" spans="1:35">
      <c r="A232">
        <v>5140571783.567215</v>
      </c>
      <c r="B232" s="72">
        <v>-25.567363740000001</v>
      </c>
      <c r="D232">
        <v>5185571783.567215</v>
      </c>
      <c r="E232" s="72">
        <v>-27.99129868</v>
      </c>
      <c r="G232">
        <v>5239211783.567215</v>
      </c>
      <c r="H232" s="72">
        <v>-30.20362854</v>
      </c>
      <c r="J232">
        <v>5142071783.567215</v>
      </c>
      <c r="K232" s="72">
        <v>-25.183601379999999</v>
      </c>
      <c r="M232">
        <v>5237711783.567215</v>
      </c>
      <c r="N232" s="72">
        <v>-29.959842680000001</v>
      </c>
      <c r="P232">
        <v>5239377861.6352158</v>
      </c>
      <c r="Q232">
        <v>-29.721687320000001</v>
      </c>
      <c r="S232">
        <v>5142237861.6352158</v>
      </c>
      <c r="T232">
        <v>-33.799976350000001</v>
      </c>
      <c r="V232">
        <v>5142237861.6352158</v>
      </c>
      <c r="W232">
        <v>-33.923011780000003</v>
      </c>
      <c r="Y232">
        <v>5142237861.6352158</v>
      </c>
      <c r="Z232">
        <v>-33.874687190000003</v>
      </c>
      <c r="AB232">
        <v>5237880759.4937038</v>
      </c>
      <c r="AC232">
        <v>-29.960609439999999</v>
      </c>
      <c r="AE232">
        <v>5237879305.9936142</v>
      </c>
      <c r="AF232">
        <v>-29.931770319999998</v>
      </c>
      <c r="AH232">
        <v>5237879305.9936142</v>
      </c>
      <c r="AI232">
        <v>-29.833950040000001</v>
      </c>
    </row>
    <row r="233" spans="1:35">
      <c r="A233">
        <v>5140573386.7736282</v>
      </c>
      <c r="B233" s="72">
        <v>-27.258598330000002</v>
      </c>
      <c r="D233">
        <v>5185573386.7736282</v>
      </c>
      <c r="E233" s="72">
        <v>-28.86106491</v>
      </c>
      <c r="G233">
        <v>5239213386.7736282</v>
      </c>
      <c r="H233" s="72">
        <v>-31.234054570000001</v>
      </c>
      <c r="J233">
        <v>5142073386.7736282</v>
      </c>
      <c r="K233" s="72">
        <v>-26.608116150000001</v>
      </c>
      <c r="M233">
        <v>5237713386.7736282</v>
      </c>
      <c r="N233" s="72">
        <v>-30.865657809999998</v>
      </c>
      <c r="P233">
        <v>5239380377.3584862</v>
      </c>
      <c r="Q233">
        <v>-30.665058139999999</v>
      </c>
      <c r="S233">
        <v>5142240377.3584862</v>
      </c>
      <c r="T233">
        <v>-35.689197540000002</v>
      </c>
      <c r="V233">
        <v>5142240377.3584862</v>
      </c>
      <c r="W233">
        <v>-35.813743590000001</v>
      </c>
      <c r="Y233">
        <v>5142240377.3584862</v>
      </c>
      <c r="Z233">
        <v>-35.766723630000001</v>
      </c>
      <c r="AB233">
        <v>5237883291.1392736</v>
      </c>
      <c r="AC233">
        <v>-31.368087769999999</v>
      </c>
      <c r="AE233">
        <v>5237881829.6529198</v>
      </c>
      <c r="AF233">
        <v>-31.409755709999999</v>
      </c>
      <c r="AH233">
        <v>5237881829.6529198</v>
      </c>
      <c r="AI233">
        <v>-31.304985049999999</v>
      </c>
    </row>
    <row r="234" spans="1:35">
      <c r="A234">
        <v>5140574989.9800415</v>
      </c>
      <c r="B234" s="72">
        <v>-25.64622116</v>
      </c>
      <c r="D234">
        <v>5185574989.9800415</v>
      </c>
      <c r="E234" s="72">
        <v>-28.477783200000001</v>
      </c>
      <c r="G234">
        <v>5239214989.9800415</v>
      </c>
      <c r="H234" s="72">
        <v>-30.743373869999999</v>
      </c>
      <c r="J234">
        <v>5142074989.9800415</v>
      </c>
      <c r="K234" s="72">
        <v>-25.141357419999999</v>
      </c>
      <c r="M234">
        <v>5237714989.9800415</v>
      </c>
      <c r="N234" s="72">
        <v>-30.331272129999999</v>
      </c>
      <c r="P234">
        <v>5239382893.0817566</v>
      </c>
      <c r="Q234">
        <v>-30.209384920000002</v>
      </c>
      <c r="S234">
        <v>5142242893.0817566</v>
      </c>
      <c r="T234">
        <v>-33.896820069999997</v>
      </c>
      <c r="V234">
        <v>5142242893.0817566</v>
      </c>
      <c r="W234">
        <v>-34.026031490000001</v>
      </c>
      <c r="Y234">
        <v>5142242893.0817566</v>
      </c>
      <c r="Z234">
        <v>-33.996978759999998</v>
      </c>
      <c r="AB234">
        <v>5237885822.7848434</v>
      </c>
      <c r="AC234">
        <v>-30.632946010000001</v>
      </c>
      <c r="AE234">
        <v>5237884353.3122253</v>
      </c>
      <c r="AF234">
        <v>-30.574668880000001</v>
      </c>
      <c r="AH234">
        <v>5237884353.3122253</v>
      </c>
      <c r="AI234">
        <v>-30.460250850000001</v>
      </c>
    </row>
    <row r="235" spans="1:35">
      <c r="A235">
        <v>5140576593.1864548</v>
      </c>
      <c r="B235" s="72">
        <v>-25.028362269999999</v>
      </c>
      <c r="D235">
        <v>5185576593.1864548</v>
      </c>
      <c r="E235" s="72">
        <v>-27.173561100000001</v>
      </c>
      <c r="G235">
        <v>5239216593.1864548</v>
      </c>
      <c r="H235" s="72">
        <v>-29.606082919999999</v>
      </c>
      <c r="J235">
        <v>5142076593.1864548</v>
      </c>
      <c r="K235" s="72">
        <v>-24.27620697</v>
      </c>
      <c r="M235">
        <v>5237716593.1864548</v>
      </c>
      <c r="N235" s="72">
        <v>-28.50294495</v>
      </c>
      <c r="P235">
        <v>5239385408.805027</v>
      </c>
      <c r="Q235">
        <v>-28.975231170000001</v>
      </c>
      <c r="S235">
        <v>5142245408.805027</v>
      </c>
      <c r="T235">
        <v>-32.942733760000003</v>
      </c>
      <c r="V235">
        <v>5142245408.805027</v>
      </c>
      <c r="W235">
        <v>-33.078426360000002</v>
      </c>
      <c r="Y235">
        <v>5142245408.805027</v>
      </c>
      <c r="Z235">
        <v>-33.037334440000002</v>
      </c>
      <c r="AB235">
        <v>5237888354.4304132</v>
      </c>
      <c r="AC235">
        <v>-28.535255429999999</v>
      </c>
      <c r="AE235">
        <v>5237886876.9715309</v>
      </c>
      <c r="AF235">
        <v>-28.559013369999999</v>
      </c>
      <c r="AH235">
        <v>5237886876.9715309</v>
      </c>
      <c r="AI235">
        <v>-28.463863369999999</v>
      </c>
    </row>
    <row r="236" spans="1:35">
      <c r="A236">
        <v>5140578196.392868</v>
      </c>
      <c r="B236" s="72">
        <v>-26.662105560000001</v>
      </c>
      <c r="D236">
        <v>5185578196.392868</v>
      </c>
      <c r="E236" s="72">
        <v>-28.272693629999999</v>
      </c>
      <c r="G236">
        <v>5239218196.392868</v>
      </c>
      <c r="H236" s="72">
        <v>-30.57424164</v>
      </c>
      <c r="J236">
        <v>5142078196.392868</v>
      </c>
      <c r="K236" s="72">
        <v>-26.289897920000001</v>
      </c>
      <c r="M236">
        <v>5237718196.392868</v>
      </c>
      <c r="N236" s="72">
        <v>-31.267524720000001</v>
      </c>
      <c r="P236">
        <v>5239387924.5282974</v>
      </c>
      <c r="Q236">
        <v>-30.046398159999999</v>
      </c>
      <c r="S236">
        <v>5142247924.5282974</v>
      </c>
      <c r="T236">
        <v>-35.382629389999998</v>
      </c>
      <c r="V236">
        <v>5142247924.5282974</v>
      </c>
      <c r="W236">
        <v>-35.527229310000003</v>
      </c>
      <c r="Y236">
        <v>5142247924.5282974</v>
      </c>
      <c r="Z236">
        <v>-35.494972230000002</v>
      </c>
      <c r="AB236">
        <v>5237890886.075983</v>
      </c>
      <c r="AC236">
        <v>-31.940139769999998</v>
      </c>
      <c r="AE236">
        <v>5237889400.6308365</v>
      </c>
      <c r="AF236">
        <v>-31.798618319999999</v>
      </c>
      <c r="AH236">
        <v>5237889400.6308365</v>
      </c>
      <c r="AI236">
        <v>-31.678855899999999</v>
      </c>
    </row>
    <row r="237" spans="1:35">
      <c r="A237">
        <v>5140579799.5992813</v>
      </c>
      <c r="B237" s="72">
        <v>-25.591037750000002</v>
      </c>
      <c r="D237">
        <v>5185579799.5992813</v>
      </c>
      <c r="E237" s="72">
        <v>-27.855892180000001</v>
      </c>
      <c r="G237">
        <v>5239219799.5992813</v>
      </c>
      <c r="H237" s="72">
        <v>-30.303829189999998</v>
      </c>
      <c r="J237">
        <v>5142079799.5992813</v>
      </c>
      <c r="K237" s="72">
        <v>-25.116096500000001</v>
      </c>
      <c r="M237">
        <v>5237719799.5992813</v>
      </c>
      <c r="N237" s="72">
        <v>-29.227306370000001</v>
      </c>
      <c r="P237">
        <v>5239390440.2515678</v>
      </c>
      <c r="Q237">
        <v>-29.862541199999999</v>
      </c>
      <c r="S237">
        <v>5142250440.2515678</v>
      </c>
      <c r="T237">
        <v>-33.557746889999997</v>
      </c>
      <c r="V237">
        <v>5142250440.2515678</v>
      </c>
      <c r="W237">
        <v>-33.691993709999998</v>
      </c>
      <c r="Y237">
        <v>5142250440.2515678</v>
      </c>
      <c r="Z237">
        <v>-33.637031559999997</v>
      </c>
      <c r="AB237">
        <v>5237893417.7215528</v>
      </c>
      <c r="AC237">
        <v>-28.994411469999999</v>
      </c>
      <c r="AE237">
        <v>5237891924.2901421</v>
      </c>
      <c r="AF237">
        <v>-29.056007390000001</v>
      </c>
      <c r="AH237">
        <v>5237891924.2901421</v>
      </c>
      <c r="AI237">
        <v>-28.976863860000002</v>
      </c>
    </row>
    <row r="238" spans="1:35">
      <c r="A238">
        <v>5140581402.8056946</v>
      </c>
      <c r="B238" s="72">
        <v>-25.8950882</v>
      </c>
      <c r="D238">
        <v>5185581402.8056946</v>
      </c>
      <c r="E238" s="72">
        <v>-28.644985200000001</v>
      </c>
      <c r="G238">
        <v>5239221402.8056946</v>
      </c>
      <c r="H238" s="72">
        <v>-30.953784939999998</v>
      </c>
      <c r="J238">
        <v>5142081402.8056946</v>
      </c>
      <c r="K238" s="72">
        <v>-25.900711059999999</v>
      </c>
      <c r="M238">
        <v>5237721402.8056946</v>
      </c>
      <c r="N238" s="72">
        <v>-30.38462067</v>
      </c>
      <c r="P238">
        <v>5239392955.9748383</v>
      </c>
      <c r="Q238">
        <v>-30.37423325</v>
      </c>
      <c r="S238">
        <v>5142252955.9748383</v>
      </c>
      <c r="T238">
        <v>-34.95235443</v>
      </c>
      <c r="V238">
        <v>5142252955.9748383</v>
      </c>
      <c r="W238">
        <v>-35.074333189999997</v>
      </c>
      <c r="Y238">
        <v>5142252955.9748383</v>
      </c>
      <c r="Z238">
        <v>-35.10189819</v>
      </c>
      <c r="AB238">
        <v>5237895949.3671227</v>
      </c>
      <c r="AC238">
        <v>-30.791057590000001</v>
      </c>
      <c r="AE238">
        <v>5237894447.9494476</v>
      </c>
      <c r="AF238">
        <v>-30.788124079999999</v>
      </c>
      <c r="AH238">
        <v>5237894447.9494476</v>
      </c>
      <c r="AI238">
        <v>-30.688827509999999</v>
      </c>
    </row>
    <row r="239" spans="1:35">
      <c r="A239">
        <v>5140583006.0121078</v>
      </c>
      <c r="B239" s="72">
        <v>-26.839672090000001</v>
      </c>
      <c r="D239">
        <v>5185583006.0121078</v>
      </c>
      <c r="E239" s="72">
        <v>-28.47164154</v>
      </c>
      <c r="G239">
        <v>5239223006.0121078</v>
      </c>
      <c r="H239" s="72">
        <v>-30.63459778</v>
      </c>
      <c r="J239">
        <v>5142083006.0121078</v>
      </c>
      <c r="K239" s="72">
        <v>-25.653507229999999</v>
      </c>
      <c r="M239">
        <v>5237723006.0121078</v>
      </c>
      <c r="N239" s="72">
        <v>-30.310245510000001</v>
      </c>
      <c r="P239">
        <v>5239395471.6981087</v>
      </c>
      <c r="Q239">
        <v>-30.10213852</v>
      </c>
      <c r="S239">
        <v>5142255471.6981087</v>
      </c>
      <c r="T239">
        <v>-34.447162630000001</v>
      </c>
      <c r="V239">
        <v>5142255471.6981087</v>
      </c>
      <c r="W239">
        <v>-34.511554719999999</v>
      </c>
      <c r="Y239">
        <v>5142255471.6981087</v>
      </c>
      <c r="Z239">
        <v>-34.506397249999999</v>
      </c>
      <c r="AB239">
        <v>5237898481.0126925</v>
      </c>
      <c r="AC239">
        <v>-30.585472110000001</v>
      </c>
      <c r="AE239">
        <v>5237896971.6087532</v>
      </c>
      <c r="AF239">
        <v>-30.61180878</v>
      </c>
      <c r="AH239">
        <v>5237896971.6087532</v>
      </c>
      <c r="AI239">
        <v>-30.512748720000001</v>
      </c>
    </row>
    <row r="240" spans="1:35">
      <c r="A240">
        <v>5140584609.2185211</v>
      </c>
      <c r="B240" s="72">
        <v>-26.192714689999999</v>
      </c>
      <c r="D240">
        <v>5185584609.2185211</v>
      </c>
      <c r="E240" s="72">
        <v>-28.331806180000001</v>
      </c>
      <c r="G240">
        <v>5239224609.2185211</v>
      </c>
      <c r="H240" s="72">
        <v>-30.787273410000001</v>
      </c>
      <c r="J240">
        <v>5142084609.2185211</v>
      </c>
      <c r="K240" s="72">
        <v>-25.283008580000001</v>
      </c>
      <c r="M240">
        <v>5237724609.2185211</v>
      </c>
      <c r="N240" s="72">
        <v>-30.081314089999999</v>
      </c>
      <c r="P240">
        <v>5239397987.4213791</v>
      </c>
      <c r="Q240">
        <v>-29.89276886</v>
      </c>
      <c r="S240">
        <v>5142257987.4213791</v>
      </c>
      <c r="T240">
        <v>-34.27632904</v>
      </c>
      <c r="V240">
        <v>5142257987.4213791</v>
      </c>
      <c r="W240">
        <v>-34.360321040000002</v>
      </c>
      <c r="Y240">
        <v>5142257987.4213791</v>
      </c>
      <c r="Z240">
        <v>-34.373352050000001</v>
      </c>
      <c r="AB240">
        <v>5237901012.6582623</v>
      </c>
      <c r="AC240">
        <v>-30.517383580000001</v>
      </c>
      <c r="AE240">
        <v>5237899495.2680588</v>
      </c>
      <c r="AF240">
        <v>-30.505950930000001</v>
      </c>
      <c r="AH240">
        <v>5237899495.2680588</v>
      </c>
      <c r="AI240">
        <v>-30.399436949999998</v>
      </c>
    </row>
    <row r="241" spans="1:35">
      <c r="A241">
        <v>5140586212.4249344</v>
      </c>
      <c r="B241" s="72">
        <v>-26.03406906</v>
      </c>
      <c r="D241">
        <v>5185586212.4249344</v>
      </c>
      <c r="E241" s="72">
        <v>-28.546092989999998</v>
      </c>
      <c r="G241">
        <v>5239226212.4249344</v>
      </c>
      <c r="H241" s="72">
        <v>-30.87007904</v>
      </c>
      <c r="J241">
        <v>5142086212.4249344</v>
      </c>
      <c r="K241" s="72">
        <v>-25.404453279999998</v>
      </c>
      <c r="M241">
        <v>5237726212.4249344</v>
      </c>
      <c r="N241" s="72">
        <v>-29.915542599999998</v>
      </c>
      <c r="P241">
        <v>5239400503.1446495</v>
      </c>
      <c r="Q241">
        <v>-30.318698879999999</v>
      </c>
      <c r="S241">
        <v>5142260503.1446495</v>
      </c>
      <c r="T241">
        <v>-34.203880310000002</v>
      </c>
      <c r="V241">
        <v>5142260503.1446495</v>
      </c>
      <c r="W241">
        <v>-34.298503879999998</v>
      </c>
      <c r="Y241">
        <v>5142260503.1446495</v>
      </c>
      <c r="Z241">
        <v>-34.324302670000002</v>
      </c>
      <c r="AB241">
        <v>5237903544.3038321</v>
      </c>
      <c r="AC241">
        <v>-30.065845490000001</v>
      </c>
      <c r="AE241">
        <v>5237902018.9273643</v>
      </c>
      <c r="AF241">
        <v>-30.05155182</v>
      </c>
      <c r="AH241">
        <v>5237902018.9273643</v>
      </c>
      <c r="AI241">
        <v>-29.95413589</v>
      </c>
    </row>
    <row r="242" spans="1:35">
      <c r="A242">
        <v>5140587815.6313477</v>
      </c>
      <c r="B242" s="72">
        <v>-26.025001530000001</v>
      </c>
      <c r="D242">
        <v>5185587815.6313477</v>
      </c>
      <c r="E242" s="72">
        <v>-27.98970795</v>
      </c>
      <c r="G242">
        <v>5239227815.6313477</v>
      </c>
      <c r="H242" s="72">
        <v>-30.21831894</v>
      </c>
      <c r="J242">
        <v>5142087815.6313477</v>
      </c>
      <c r="K242" s="72">
        <v>-25.901794429999999</v>
      </c>
      <c r="M242">
        <v>5237727815.6313477</v>
      </c>
      <c r="N242" s="72">
        <v>-30.181438450000002</v>
      </c>
      <c r="P242">
        <v>5239403018.8679199</v>
      </c>
      <c r="Q242">
        <v>-29.668148039999998</v>
      </c>
      <c r="S242">
        <v>5142263018.8679199</v>
      </c>
      <c r="T242">
        <v>-34.594200129999997</v>
      </c>
      <c r="V242">
        <v>5142263018.8679199</v>
      </c>
      <c r="W242">
        <v>-34.666912080000003</v>
      </c>
      <c r="Y242">
        <v>5142263018.8679199</v>
      </c>
      <c r="Z242">
        <v>-34.68815231</v>
      </c>
      <c r="AB242">
        <v>5237906075.9494019</v>
      </c>
      <c r="AC242">
        <v>-30.345153809999999</v>
      </c>
      <c r="AE242">
        <v>5237904542.5866699</v>
      </c>
      <c r="AF242">
        <v>-30.367290499999999</v>
      </c>
      <c r="AH242">
        <v>5237904542.5866699</v>
      </c>
      <c r="AI242">
        <v>-30.270870209999998</v>
      </c>
    </row>
    <row r="243" spans="1:35">
      <c r="A243">
        <v>5140589418.8377609</v>
      </c>
      <c r="B243" s="72">
        <v>-25.11846924</v>
      </c>
      <c r="D243">
        <v>5185589418.8377609</v>
      </c>
      <c r="E243" s="72">
        <v>-27.828548430000001</v>
      </c>
      <c r="G243">
        <v>5239229418.8377609</v>
      </c>
      <c r="H243" s="72">
        <v>-30.13852692</v>
      </c>
      <c r="J243">
        <v>5142089418.8377609</v>
      </c>
      <c r="K243" s="72">
        <v>-25.295898439999998</v>
      </c>
      <c r="M243">
        <v>5237729418.8377609</v>
      </c>
      <c r="N243" s="72">
        <v>-29.93542862</v>
      </c>
      <c r="P243">
        <v>5239405534.5911903</v>
      </c>
      <c r="Q243">
        <v>-29.477001189999999</v>
      </c>
      <c r="S243">
        <v>5142265534.5911903</v>
      </c>
      <c r="T243">
        <v>-34.09539032</v>
      </c>
      <c r="V243">
        <v>5142265534.5911903</v>
      </c>
      <c r="W243">
        <v>-34.161582950000003</v>
      </c>
      <c r="Y243">
        <v>5142265534.5911903</v>
      </c>
      <c r="Z243">
        <v>-34.164634700000001</v>
      </c>
      <c r="AB243">
        <v>5237908607.5949717</v>
      </c>
      <c r="AC243">
        <v>-30.2195015</v>
      </c>
      <c r="AE243">
        <v>5237907066.2459755</v>
      </c>
      <c r="AF243">
        <v>-30.226554870000001</v>
      </c>
      <c r="AH243">
        <v>5237907066.2459755</v>
      </c>
      <c r="AI243">
        <v>-30.122722629999998</v>
      </c>
    </row>
    <row r="244" spans="1:35">
      <c r="A244">
        <v>5140591022.0441742</v>
      </c>
      <c r="B244" s="72">
        <v>-26.570297239999999</v>
      </c>
      <c r="D244">
        <v>5185591022.0441742</v>
      </c>
      <c r="E244" s="72">
        <v>-28.057163240000001</v>
      </c>
      <c r="G244">
        <v>5239231022.0441742</v>
      </c>
      <c r="H244" s="72">
        <v>-30.555709839999999</v>
      </c>
      <c r="J244">
        <v>5142091022.0441742</v>
      </c>
      <c r="K244" s="72">
        <v>-24.970226289999999</v>
      </c>
      <c r="M244">
        <v>5237731022.0441742</v>
      </c>
      <c r="N244" s="72">
        <v>-29.643100740000001</v>
      </c>
      <c r="P244">
        <v>5239408050.3144608</v>
      </c>
      <c r="Q244">
        <v>-29.448139189999999</v>
      </c>
      <c r="S244">
        <v>5142268050.3144608</v>
      </c>
      <c r="T244">
        <v>-33.789337160000002</v>
      </c>
      <c r="V244">
        <v>5142268050.3144608</v>
      </c>
      <c r="W244">
        <v>-33.894275669999999</v>
      </c>
      <c r="Y244">
        <v>5142268050.3144608</v>
      </c>
      <c r="Z244">
        <v>-33.925769809999998</v>
      </c>
      <c r="AB244">
        <v>5237911139.2405415</v>
      </c>
      <c r="AC244">
        <v>-29.848243709999998</v>
      </c>
      <c r="AE244">
        <v>5237909589.9052811</v>
      </c>
      <c r="AF244">
        <v>-29.83376312</v>
      </c>
      <c r="AH244">
        <v>5237909589.9052811</v>
      </c>
      <c r="AI244">
        <v>-29.728874210000001</v>
      </c>
    </row>
    <row r="245" spans="1:35">
      <c r="A245">
        <v>5140592625.2505875</v>
      </c>
      <c r="B245" s="72">
        <v>-26.160312650000002</v>
      </c>
      <c r="D245">
        <v>5185592625.2505875</v>
      </c>
      <c r="E245" s="72">
        <v>-28.239902499999999</v>
      </c>
      <c r="G245">
        <v>5239232625.2505875</v>
      </c>
      <c r="H245" s="72">
        <v>-30.612083439999999</v>
      </c>
      <c r="J245">
        <v>5142092625.2505875</v>
      </c>
      <c r="K245" s="72">
        <v>-25.204273220000001</v>
      </c>
      <c r="M245">
        <v>5237732625.2505875</v>
      </c>
      <c r="N245" s="72">
        <v>-29.356349949999998</v>
      </c>
      <c r="P245">
        <v>5239410566.0377312</v>
      </c>
      <c r="Q245">
        <v>-29.876724240000001</v>
      </c>
      <c r="S245">
        <v>5142270566.0377312</v>
      </c>
      <c r="T245">
        <v>-33.330432889999997</v>
      </c>
      <c r="V245">
        <v>5142270566.0377312</v>
      </c>
      <c r="W245">
        <v>-33.425670619999998</v>
      </c>
      <c r="Y245">
        <v>5142270566.0377312</v>
      </c>
      <c r="Z245">
        <v>-33.457969669999997</v>
      </c>
      <c r="AB245">
        <v>5237913670.8861113</v>
      </c>
      <c r="AC245">
        <v>-28.927719119999999</v>
      </c>
      <c r="AE245">
        <v>5237912113.5645866</v>
      </c>
      <c r="AF245">
        <v>-28.932201389999999</v>
      </c>
      <c r="AH245">
        <v>5237912113.5645866</v>
      </c>
      <c r="AI245">
        <v>-28.846244810000002</v>
      </c>
    </row>
    <row r="246" spans="1:35">
      <c r="A246">
        <v>5140594228.4570007</v>
      </c>
      <c r="B246" s="72">
        <v>-25.783134459999999</v>
      </c>
      <c r="D246">
        <v>5185594228.4570007</v>
      </c>
      <c r="E246" s="72">
        <v>-28.73068619</v>
      </c>
      <c r="G246">
        <v>5239234228.4570007</v>
      </c>
      <c r="H246" s="72">
        <v>-31.16898346</v>
      </c>
      <c r="J246">
        <v>5142094228.4570007</v>
      </c>
      <c r="K246" s="72">
        <v>-25.33029938</v>
      </c>
      <c r="M246">
        <v>5237734228.4570007</v>
      </c>
      <c r="N246" s="72">
        <v>-30.53949356</v>
      </c>
      <c r="P246">
        <v>5239413081.7610016</v>
      </c>
      <c r="Q246">
        <v>-30.662895200000001</v>
      </c>
      <c r="S246">
        <v>5142273081.7610016</v>
      </c>
      <c r="T246">
        <v>-34.030719759999997</v>
      </c>
      <c r="V246">
        <v>5142273081.7610016</v>
      </c>
      <c r="W246">
        <v>-34.11460495</v>
      </c>
      <c r="Y246">
        <v>5142273081.7610016</v>
      </c>
      <c r="Z246">
        <v>-34.093475339999998</v>
      </c>
      <c r="AB246">
        <v>5237916202.5316811</v>
      </c>
      <c r="AC246">
        <v>-30.880706790000001</v>
      </c>
      <c r="AE246">
        <v>5237914637.2238922</v>
      </c>
      <c r="AF246">
        <v>-30.851196290000001</v>
      </c>
      <c r="AH246">
        <v>5237914637.2238922</v>
      </c>
      <c r="AI246">
        <v>-30.724334720000002</v>
      </c>
    </row>
    <row r="247" spans="1:35">
      <c r="A247">
        <v>5140595831.663414</v>
      </c>
      <c r="B247" s="72">
        <v>-26.475780489999998</v>
      </c>
      <c r="D247">
        <v>5185595831.663414</v>
      </c>
      <c r="E247" s="72">
        <v>-27.925117490000002</v>
      </c>
      <c r="G247">
        <v>5239235831.663414</v>
      </c>
      <c r="H247" s="72">
        <v>-30.324012759999999</v>
      </c>
      <c r="J247">
        <v>5142095831.663414</v>
      </c>
      <c r="K247" s="72">
        <v>-25.89886856</v>
      </c>
      <c r="M247">
        <v>5237735831.663414</v>
      </c>
      <c r="N247" s="72">
        <v>-29.87533569</v>
      </c>
      <c r="P247">
        <v>5239415597.484272</v>
      </c>
      <c r="Q247">
        <v>-29.521667480000001</v>
      </c>
      <c r="S247">
        <v>5142275597.484272</v>
      </c>
      <c r="T247">
        <v>-34.722301479999999</v>
      </c>
      <c r="V247">
        <v>5142275597.484272</v>
      </c>
      <c r="W247">
        <v>-34.865734099999997</v>
      </c>
      <c r="Y247">
        <v>5142275597.484272</v>
      </c>
      <c r="Z247">
        <v>-34.872566220000003</v>
      </c>
      <c r="AB247">
        <v>5237918734.1772509</v>
      </c>
      <c r="AC247">
        <v>-30.002906800000002</v>
      </c>
      <c r="AE247">
        <v>5237917160.8831978</v>
      </c>
      <c r="AF247">
        <v>-30.049518590000002</v>
      </c>
      <c r="AH247">
        <v>5237917160.8831978</v>
      </c>
      <c r="AI247">
        <v>-29.96185303</v>
      </c>
    </row>
    <row r="248" spans="1:35">
      <c r="A248">
        <v>5140597434.8698273</v>
      </c>
      <c r="B248" s="72">
        <v>-25.824539179999999</v>
      </c>
      <c r="D248">
        <v>5185597434.8698273</v>
      </c>
      <c r="E248" s="72">
        <v>-28.247909549999999</v>
      </c>
      <c r="G248">
        <v>5239237434.8698273</v>
      </c>
      <c r="H248" s="72">
        <v>-30.647338869999999</v>
      </c>
      <c r="J248">
        <v>5142097434.8698273</v>
      </c>
      <c r="K248" s="72">
        <v>-25.384906770000001</v>
      </c>
      <c r="M248">
        <v>5237737434.8698273</v>
      </c>
      <c r="N248" s="72">
        <v>-30.00169373</v>
      </c>
      <c r="P248">
        <v>5239418113.2075424</v>
      </c>
      <c r="Q248">
        <v>-29.756874079999999</v>
      </c>
      <c r="S248">
        <v>5142278113.2075424</v>
      </c>
      <c r="T248">
        <v>-33.973255160000001</v>
      </c>
      <c r="V248">
        <v>5142278113.2075424</v>
      </c>
      <c r="W248">
        <v>-34.07836914</v>
      </c>
      <c r="Y248">
        <v>5142278113.2075424</v>
      </c>
      <c r="Z248">
        <v>-34.077217099999999</v>
      </c>
      <c r="AB248">
        <v>5237921265.8228207</v>
      </c>
      <c r="AC248">
        <v>-30.026168819999999</v>
      </c>
      <c r="AE248">
        <v>5237919684.5425034</v>
      </c>
      <c r="AF248">
        <v>-30.028373720000001</v>
      </c>
      <c r="AH248">
        <v>5237919684.5425034</v>
      </c>
      <c r="AI248">
        <v>-29.933189389999999</v>
      </c>
    </row>
    <row r="249" spans="1:35">
      <c r="A249">
        <v>5140599038.0762405</v>
      </c>
      <c r="B249" s="72">
        <v>-25.628196719999998</v>
      </c>
      <c r="D249">
        <v>5185599038.0762405</v>
      </c>
      <c r="E249" s="72">
        <v>-28.88729477</v>
      </c>
      <c r="G249">
        <v>5239239038.0762405</v>
      </c>
      <c r="H249" s="72">
        <v>-30.919979099999999</v>
      </c>
      <c r="J249">
        <v>5142099038.0762405</v>
      </c>
      <c r="K249" s="72">
        <v>-25.73177338</v>
      </c>
      <c r="M249">
        <v>5237739038.0762405</v>
      </c>
      <c r="N249" s="72">
        <v>-30.398094180000001</v>
      </c>
      <c r="P249">
        <v>5239420628.9308128</v>
      </c>
      <c r="Q249">
        <v>-30.741710659999999</v>
      </c>
      <c r="S249">
        <v>5142280628.9308128</v>
      </c>
      <c r="T249">
        <v>-34.839996339999999</v>
      </c>
      <c r="V249">
        <v>5142280628.9308128</v>
      </c>
      <c r="W249">
        <v>-34.954017640000004</v>
      </c>
      <c r="Y249">
        <v>5142280628.9308128</v>
      </c>
      <c r="Z249">
        <v>-34.945373539999999</v>
      </c>
      <c r="AB249">
        <v>5237923797.4683905</v>
      </c>
      <c r="AC249">
        <v>-30.920391080000002</v>
      </c>
      <c r="AE249">
        <v>5237922208.2018089</v>
      </c>
      <c r="AF249">
        <v>-30.920249940000001</v>
      </c>
      <c r="AH249">
        <v>5237922208.2018089</v>
      </c>
      <c r="AI249">
        <v>-30.813186649999999</v>
      </c>
    </row>
    <row r="250" spans="1:35">
      <c r="A250">
        <v>5140600641.2826538</v>
      </c>
      <c r="B250" s="72">
        <v>-25.69745636</v>
      </c>
      <c r="D250">
        <v>5185600641.2826538</v>
      </c>
      <c r="E250" s="72">
        <v>-27.805728909999999</v>
      </c>
      <c r="G250">
        <v>5239240641.2826538</v>
      </c>
      <c r="H250" s="72">
        <v>-30.26507187</v>
      </c>
      <c r="J250">
        <v>5142100641.2826538</v>
      </c>
      <c r="K250" s="72">
        <v>-25.289913179999999</v>
      </c>
      <c r="M250">
        <v>5237740641.2826538</v>
      </c>
      <c r="N250" s="72">
        <v>-29.492107390000001</v>
      </c>
      <c r="P250">
        <v>5239423144.6540833</v>
      </c>
      <c r="Q250">
        <v>-29.51926422</v>
      </c>
      <c r="S250">
        <v>5142283144.6540833</v>
      </c>
      <c r="T250">
        <v>-33.863403320000003</v>
      </c>
      <c r="V250">
        <v>5142283144.6540833</v>
      </c>
      <c r="W250">
        <v>-34.058006290000002</v>
      </c>
      <c r="Y250">
        <v>5142283144.6540833</v>
      </c>
      <c r="Z250">
        <v>-34.110645290000001</v>
      </c>
      <c r="AB250">
        <v>5237926329.1139603</v>
      </c>
      <c r="AC250">
        <v>-29.36805725</v>
      </c>
      <c r="AE250">
        <v>5237924731.8611145</v>
      </c>
      <c r="AF250">
        <v>-29.338668819999999</v>
      </c>
      <c r="AH250">
        <v>5237924731.8611145</v>
      </c>
      <c r="AI250">
        <v>-29.244949340000002</v>
      </c>
    </row>
    <row r="251" spans="1:35">
      <c r="A251">
        <v>5140602244.4890671</v>
      </c>
      <c r="B251" s="72">
        <v>-25.402843480000001</v>
      </c>
      <c r="D251">
        <v>5185602244.4890671</v>
      </c>
      <c r="E251" s="72">
        <v>-26.957481380000001</v>
      </c>
      <c r="G251">
        <v>5239242244.4890671</v>
      </c>
      <c r="H251" s="72">
        <v>-29.26858902</v>
      </c>
      <c r="J251">
        <v>5142102244.4890671</v>
      </c>
      <c r="K251" s="72">
        <v>-25.674186710000001</v>
      </c>
      <c r="M251">
        <v>5237742244.4890671</v>
      </c>
      <c r="N251" s="72">
        <v>-29.729248049999999</v>
      </c>
      <c r="P251">
        <v>5239425660.3773537</v>
      </c>
      <c r="Q251">
        <v>-28.529258729999999</v>
      </c>
      <c r="S251">
        <v>5142285660.3773537</v>
      </c>
      <c r="T251">
        <v>-34.326782229999999</v>
      </c>
      <c r="V251">
        <v>5142285660.3773537</v>
      </c>
      <c r="W251">
        <v>-34.372638700000003</v>
      </c>
      <c r="Y251">
        <v>5142285660.3773537</v>
      </c>
      <c r="Z251">
        <v>-34.35257721</v>
      </c>
      <c r="AB251">
        <v>5237928860.7595301</v>
      </c>
      <c r="AC251">
        <v>-29.927078250000001</v>
      </c>
      <c r="AE251">
        <v>5237927255.5204201</v>
      </c>
      <c r="AF251">
        <v>-30.043170929999999</v>
      </c>
      <c r="AH251">
        <v>5237927255.5204201</v>
      </c>
      <c r="AI251">
        <v>-29.889015199999999</v>
      </c>
    </row>
    <row r="252" spans="1:35">
      <c r="A252">
        <v>5140603847.6954803</v>
      </c>
      <c r="B252" s="72">
        <v>-24.98891068</v>
      </c>
      <c r="D252">
        <v>5185603847.6954803</v>
      </c>
      <c r="E252" s="72">
        <v>-28.374172210000001</v>
      </c>
      <c r="G252">
        <v>5239243847.6954803</v>
      </c>
      <c r="H252" s="72">
        <v>-30.496585849999999</v>
      </c>
      <c r="J252">
        <v>5142103847.6954803</v>
      </c>
      <c r="K252" s="72">
        <v>-24.665512079999999</v>
      </c>
      <c r="M252">
        <v>5237743847.6954803</v>
      </c>
      <c r="N252" s="72">
        <v>-29.694271090000001</v>
      </c>
      <c r="P252">
        <v>5239428176.1006241</v>
      </c>
      <c r="Q252">
        <v>-29.861263279999999</v>
      </c>
      <c r="S252">
        <v>5142288176.1006241</v>
      </c>
      <c r="T252">
        <v>-33.063213349999998</v>
      </c>
      <c r="V252">
        <v>5142288176.1006241</v>
      </c>
      <c r="W252">
        <v>-33.115219119999999</v>
      </c>
      <c r="Y252">
        <v>5142288176.1006241</v>
      </c>
      <c r="Z252">
        <v>-32.96448135</v>
      </c>
      <c r="AB252">
        <v>5237931392.4050999</v>
      </c>
      <c r="AC252">
        <v>-29.97499084</v>
      </c>
      <c r="AE252">
        <v>5237929779.1797256</v>
      </c>
      <c r="AF252">
        <v>-30.11612701</v>
      </c>
      <c r="AH252">
        <v>5237929779.1797256</v>
      </c>
      <c r="AI252">
        <v>-29.894802089999999</v>
      </c>
    </row>
    <row r="253" spans="1:35">
      <c r="A253">
        <v>5140605450.9018936</v>
      </c>
      <c r="B253" s="72">
        <v>-26.30121231</v>
      </c>
      <c r="D253">
        <v>5185605450.9018936</v>
      </c>
      <c r="E253" s="72">
        <v>-27.570812230000001</v>
      </c>
      <c r="G253">
        <v>5239245450.9018936</v>
      </c>
      <c r="H253" s="72">
        <v>-29.74678802</v>
      </c>
      <c r="J253">
        <v>5142105450.9018936</v>
      </c>
      <c r="K253" s="72">
        <v>-25.940113069999999</v>
      </c>
      <c r="M253">
        <v>5237745450.9018936</v>
      </c>
      <c r="N253" s="72">
        <v>-28.55314255</v>
      </c>
      <c r="P253">
        <v>5239430691.8238945</v>
      </c>
      <c r="Q253">
        <v>-29.02107239</v>
      </c>
      <c r="S253">
        <v>5142290691.8238945</v>
      </c>
      <c r="T253">
        <v>-34.804603579999998</v>
      </c>
      <c r="V253">
        <v>5142290691.8238945</v>
      </c>
      <c r="W253">
        <v>-34.960033420000002</v>
      </c>
      <c r="Y253">
        <v>5142290691.8238945</v>
      </c>
      <c r="Z253">
        <v>-34.773975370000002</v>
      </c>
      <c r="AB253">
        <v>5237933924.0506697</v>
      </c>
      <c r="AC253">
        <v>-28.573814389999999</v>
      </c>
      <c r="AE253">
        <v>5237932302.8390312</v>
      </c>
      <c r="AF253">
        <v>-28.66326141</v>
      </c>
      <c r="AH253">
        <v>5237932302.8390312</v>
      </c>
      <c r="AI253">
        <v>-28.468791960000001</v>
      </c>
    </row>
    <row r="254" spans="1:35">
      <c r="A254">
        <v>5140607054.1083069</v>
      </c>
      <c r="B254" s="72">
        <v>-25.428981780000001</v>
      </c>
      <c r="D254">
        <v>5185607054.1083069</v>
      </c>
      <c r="E254" s="72">
        <v>-27.070610049999999</v>
      </c>
      <c r="G254">
        <v>5239247054.1083069</v>
      </c>
      <c r="H254" s="72">
        <v>-29.207130429999999</v>
      </c>
      <c r="J254">
        <v>5142107054.1083069</v>
      </c>
      <c r="K254" s="72">
        <v>-24.746929170000001</v>
      </c>
      <c r="M254">
        <v>5237747054.1083069</v>
      </c>
      <c r="N254" s="72">
        <v>-29.53026581</v>
      </c>
      <c r="P254">
        <v>5239433207.5471649</v>
      </c>
      <c r="Q254">
        <v>-28.833106990000001</v>
      </c>
      <c r="S254">
        <v>5142293207.5471649</v>
      </c>
      <c r="T254">
        <v>-33.737255099999999</v>
      </c>
      <c r="V254">
        <v>5142293207.5471649</v>
      </c>
      <c r="W254">
        <v>-33.915046689999997</v>
      </c>
      <c r="Y254">
        <v>5142293207.5471649</v>
      </c>
      <c r="Z254">
        <v>-33.776142120000003</v>
      </c>
      <c r="AB254">
        <v>5237936455.6962395</v>
      </c>
      <c r="AC254">
        <v>-30.20177078</v>
      </c>
      <c r="AE254">
        <v>5237934826.4983368</v>
      </c>
      <c r="AF254">
        <v>-30.248546600000001</v>
      </c>
      <c r="AH254">
        <v>5237934826.4983368</v>
      </c>
      <c r="AI254">
        <v>-30.057655329999999</v>
      </c>
    </row>
    <row r="255" spans="1:35">
      <c r="A255">
        <v>5140608657.3147202</v>
      </c>
      <c r="B255" s="72">
        <v>-26.450031280000001</v>
      </c>
      <c r="D255">
        <v>5185608657.3147202</v>
      </c>
      <c r="E255" s="72">
        <v>-27.810707090000001</v>
      </c>
      <c r="G255">
        <v>5239248657.3147202</v>
      </c>
      <c r="H255" s="72">
        <v>-29.98011017</v>
      </c>
      <c r="J255">
        <v>5142108657.3147202</v>
      </c>
      <c r="K255" s="72">
        <v>-25.793476099999999</v>
      </c>
      <c r="M255">
        <v>5237748657.3147202</v>
      </c>
      <c r="N255" s="72">
        <v>-29.37311935</v>
      </c>
      <c r="P255">
        <v>5239435723.2704353</v>
      </c>
      <c r="Q255">
        <v>-29.39351654</v>
      </c>
      <c r="S255">
        <v>5142295723.2704353</v>
      </c>
      <c r="T255">
        <v>-34.690479279999998</v>
      </c>
      <c r="V255">
        <v>5142295723.2704353</v>
      </c>
      <c r="W255">
        <v>-34.81732178</v>
      </c>
      <c r="Y255">
        <v>5142295723.2704353</v>
      </c>
      <c r="Z255">
        <v>-34.644237519999997</v>
      </c>
      <c r="AB255">
        <v>5237938987.3418093</v>
      </c>
      <c r="AC255">
        <v>-29.827335359999999</v>
      </c>
      <c r="AE255">
        <v>5237937350.1576424</v>
      </c>
      <c r="AF255">
        <v>-30.01203156</v>
      </c>
      <c r="AH255">
        <v>5237937350.1576424</v>
      </c>
      <c r="AI255">
        <v>-29.850395200000001</v>
      </c>
    </row>
    <row r="256" spans="1:35">
      <c r="A256">
        <v>5140610260.5211334</v>
      </c>
      <c r="B256" s="72">
        <v>-25.903491970000001</v>
      </c>
      <c r="D256">
        <v>5185610260.5211334</v>
      </c>
      <c r="E256" s="72">
        <v>-30.297832490000001</v>
      </c>
      <c r="G256">
        <v>5239250260.5211334</v>
      </c>
      <c r="H256" s="72">
        <v>-32.144973749999998</v>
      </c>
      <c r="J256">
        <v>5142110260.5211334</v>
      </c>
      <c r="K256" s="72">
        <v>-24.504135130000002</v>
      </c>
      <c r="M256">
        <v>5237750260.5211334</v>
      </c>
      <c r="N256" s="72">
        <v>-29.820945739999999</v>
      </c>
      <c r="P256">
        <v>5239438238.9937057</v>
      </c>
      <c r="Q256">
        <v>-32.185188289999999</v>
      </c>
      <c r="S256">
        <v>5142298238.9937057</v>
      </c>
      <c r="T256">
        <v>-33.099510189999997</v>
      </c>
      <c r="V256">
        <v>5142298238.9937057</v>
      </c>
      <c r="W256">
        <v>-33.32189941</v>
      </c>
      <c r="Y256">
        <v>5142298238.9937057</v>
      </c>
      <c r="Z256">
        <v>-33.161792759999997</v>
      </c>
      <c r="AB256">
        <v>5237941518.9873791</v>
      </c>
      <c r="AC256">
        <v>-29.987789150000001</v>
      </c>
      <c r="AE256">
        <v>5237939873.8169479</v>
      </c>
      <c r="AF256">
        <v>-30.087245939999999</v>
      </c>
      <c r="AH256">
        <v>5237939873.8169479</v>
      </c>
      <c r="AI256">
        <v>-29.884368899999998</v>
      </c>
    </row>
    <row r="257" spans="1:35">
      <c r="A257">
        <v>5140611863.7275467</v>
      </c>
      <c r="B257" s="72">
        <v>-26.02370071</v>
      </c>
      <c r="D257">
        <v>5185611863.7275467</v>
      </c>
      <c r="E257" s="72">
        <v>-26.710365299999999</v>
      </c>
      <c r="G257">
        <v>5239251863.7275467</v>
      </c>
      <c r="H257" s="72">
        <v>-29.061939240000001</v>
      </c>
      <c r="J257">
        <v>5142111863.7275467</v>
      </c>
      <c r="K257" s="72">
        <v>-25.516654970000001</v>
      </c>
      <c r="M257">
        <v>5237751863.7275467</v>
      </c>
      <c r="N257" s="72">
        <v>-28.52440262</v>
      </c>
      <c r="P257">
        <v>5239440754.7169762</v>
      </c>
      <c r="Q257">
        <v>-28.045085910000001</v>
      </c>
      <c r="S257">
        <v>5142300754.7169762</v>
      </c>
      <c r="T257">
        <v>-34.410350800000003</v>
      </c>
      <c r="V257">
        <v>5142300754.7169762</v>
      </c>
      <c r="W257">
        <v>-34.62693024</v>
      </c>
      <c r="Y257">
        <v>5142300754.7169762</v>
      </c>
      <c r="Z257">
        <v>-34.437023160000003</v>
      </c>
      <c r="AB257">
        <v>5237944050.6329489</v>
      </c>
      <c r="AC257">
        <v>-28.583423610000001</v>
      </c>
      <c r="AE257">
        <v>5237942397.4762535</v>
      </c>
      <c r="AF257">
        <v>-28.686958310000001</v>
      </c>
      <c r="AH257">
        <v>5237942397.4762535</v>
      </c>
      <c r="AI257">
        <v>-28.497432709999998</v>
      </c>
    </row>
    <row r="258" spans="1:35">
      <c r="A258">
        <v>5140613466.93396</v>
      </c>
      <c r="B258" s="72">
        <v>-25.376838679999999</v>
      </c>
      <c r="D258">
        <v>5185613466.93396</v>
      </c>
      <c r="E258" s="72">
        <v>-27.44386673</v>
      </c>
      <c r="G258">
        <v>5239253466.93396</v>
      </c>
      <c r="H258" s="72">
        <v>-29.71573257</v>
      </c>
      <c r="J258">
        <v>5142113466.93396</v>
      </c>
      <c r="K258" s="72">
        <v>-25.537746429999999</v>
      </c>
      <c r="M258">
        <v>5237753466.93396</v>
      </c>
      <c r="N258" s="72">
        <v>-29.763618470000001</v>
      </c>
      <c r="P258">
        <v>5239443270.4402466</v>
      </c>
      <c r="Q258">
        <v>-28.94133759</v>
      </c>
      <c r="S258">
        <v>5142303270.4402466</v>
      </c>
      <c r="T258">
        <v>-34.442932130000003</v>
      </c>
      <c r="V258">
        <v>5142303270.4402466</v>
      </c>
      <c r="W258">
        <v>-34.431816099999999</v>
      </c>
      <c r="Y258">
        <v>5142303270.4402466</v>
      </c>
      <c r="Z258">
        <v>-34.368286130000001</v>
      </c>
      <c r="AB258">
        <v>5237946582.2785187</v>
      </c>
      <c r="AC258">
        <v>-30.180305480000001</v>
      </c>
      <c r="AE258">
        <v>5237944921.1355591</v>
      </c>
      <c r="AF258">
        <v>-30.31404114</v>
      </c>
      <c r="AH258">
        <v>5237944921.1355591</v>
      </c>
      <c r="AI258">
        <v>-30.148426059999998</v>
      </c>
    </row>
    <row r="259" spans="1:35">
      <c r="A259">
        <v>5140615070.1403732</v>
      </c>
      <c r="B259" s="72">
        <v>-25.363117219999999</v>
      </c>
      <c r="D259">
        <v>5185615070.1403732</v>
      </c>
      <c r="E259" s="72">
        <v>-27.92449951</v>
      </c>
      <c r="G259">
        <v>5239255070.1403732</v>
      </c>
      <c r="H259" s="72">
        <v>-29.87758255</v>
      </c>
      <c r="J259">
        <v>5142115070.1403732</v>
      </c>
      <c r="K259" s="72">
        <v>-24.997848510000001</v>
      </c>
      <c r="M259">
        <v>5237755070.1403732</v>
      </c>
      <c r="N259" s="72">
        <v>-28.976821900000001</v>
      </c>
      <c r="P259">
        <v>5239445786.163517</v>
      </c>
      <c r="Q259">
        <v>-29.219116209999999</v>
      </c>
      <c r="S259">
        <v>5142305786.163517</v>
      </c>
      <c r="T259">
        <v>-33.737743379999998</v>
      </c>
      <c r="V259">
        <v>5142305786.163517</v>
      </c>
      <c r="W259">
        <v>-33.70148468</v>
      </c>
      <c r="Y259">
        <v>5142305786.163517</v>
      </c>
      <c r="Z259">
        <v>-33.613029480000002</v>
      </c>
      <c r="AB259">
        <v>5237949113.9240885</v>
      </c>
      <c r="AC259">
        <v>-29.137336730000001</v>
      </c>
      <c r="AE259">
        <v>5237947444.7948647</v>
      </c>
      <c r="AF259">
        <v>-29.291458129999999</v>
      </c>
      <c r="AH259">
        <v>5237947444.7948647</v>
      </c>
      <c r="AI259">
        <v>-29.13150787</v>
      </c>
    </row>
    <row r="260" spans="1:35">
      <c r="A260">
        <v>5140616673.3467865</v>
      </c>
      <c r="B260" s="72">
        <v>-26.16059113</v>
      </c>
      <c r="D260">
        <v>5185616673.3467865</v>
      </c>
      <c r="E260" s="72">
        <v>-27.28893661</v>
      </c>
      <c r="G260">
        <v>5239256673.3467865</v>
      </c>
      <c r="H260" s="72">
        <v>-29.498039250000001</v>
      </c>
      <c r="J260">
        <v>5142116673.3467865</v>
      </c>
      <c r="K260" s="72">
        <v>-24.893390660000001</v>
      </c>
      <c r="M260">
        <v>5237756673.3467865</v>
      </c>
      <c r="N260" s="72">
        <v>-29.739730829999999</v>
      </c>
      <c r="P260">
        <v>5239448301.8867874</v>
      </c>
      <c r="Q260">
        <v>-28.807331090000002</v>
      </c>
      <c r="S260">
        <v>5142308301.8867874</v>
      </c>
      <c r="T260">
        <v>-34.054004669999998</v>
      </c>
      <c r="V260">
        <v>5142308301.8867874</v>
      </c>
      <c r="W260">
        <v>-34.099517820000003</v>
      </c>
      <c r="Y260">
        <v>5142308301.8867874</v>
      </c>
      <c r="Z260">
        <v>-34.014556880000001</v>
      </c>
      <c r="AB260">
        <v>5237951645.5696583</v>
      </c>
      <c r="AC260">
        <v>-30.426605219999999</v>
      </c>
      <c r="AE260">
        <v>5237949968.4541702</v>
      </c>
      <c r="AF260">
        <v>-30.611602779999998</v>
      </c>
      <c r="AH260">
        <v>5237949968.4541702</v>
      </c>
      <c r="AI260">
        <v>-30.455833439999999</v>
      </c>
    </row>
    <row r="261" spans="1:35">
      <c r="A261">
        <v>5140618276.5531998</v>
      </c>
      <c r="B261" s="72">
        <v>-26.040031429999999</v>
      </c>
      <c r="D261">
        <v>5185618276.5531998</v>
      </c>
      <c r="E261" s="72">
        <v>-28.160434720000001</v>
      </c>
      <c r="G261">
        <v>5239258276.5531998</v>
      </c>
      <c r="H261" s="72">
        <v>-30.3937645</v>
      </c>
      <c r="J261">
        <v>5142118276.5531998</v>
      </c>
      <c r="K261" s="72">
        <v>-26.54024124</v>
      </c>
      <c r="M261">
        <v>5237758276.5531998</v>
      </c>
      <c r="N261" s="72">
        <v>-30.95801544</v>
      </c>
      <c r="P261">
        <v>5239450817.6100578</v>
      </c>
      <c r="Q261">
        <v>-29.66751099</v>
      </c>
      <c r="S261">
        <v>5142310817.6100578</v>
      </c>
      <c r="T261">
        <v>-35.792369839999999</v>
      </c>
      <c r="V261">
        <v>5142310817.6100578</v>
      </c>
      <c r="W261">
        <v>-35.771751399999999</v>
      </c>
      <c r="Y261">
        <v>5142310817.6100578</v>
      </c>
      <c r="Z261">
        <v>-35.617118840000003</v>
      </c>
      <c r="AB261">
        <v>5237954177.2152281</v>
      </c>
      <c r="AC261">
        <v>-31.934135439999999</v>
      </c>
      <c r="AE261">
        <v>5237952492.1134758</v>
      </c>
      <c r="AF261">
        <v>-32.110904689999998</v>
      </c>
      <c r="AH261">
        <v>5237952492.1134758</v>
      </c>
      <c r="AI261">
        <v>-31.948795319999999</v>
      </c>
    </row>
    <row r="262" spans="1:35">
      <c r="A262">
        <v>5140619879.759613</v>
      </c>
      <c r="B262" s="72">
        <v>-25.383235930000001</v>
      </c>
      <c r="D262">
        <v>5185619879.759613</v>
      </c>
      <c r="E262" s="72">
        <v>-27.557300569999999</v>
      </c>
      <c r="G262">
        <v>5239259879.759613</v>
      </c>
      <c r="H262" s="72">
        <v>-29.886417389999998</v>
      </c>
      <c r="J262">
        <v>5142119879.759613</v>
      </c>
      <c r="K262" s="72">
        <v>-25.179264069999999</v>
      </c>
      <c r="M262">
        <v>5237759879.759613</v>
      </c>
      <c r="N262" s="72">
        <v>-29.797058109999998</v>
      </c>
      <c r="P262">
        <v>5239453333.3333282</v>
      </c>
      <c r="Q262">
        <v>-28.88114929</v>
      </c>
      <c r="S262">
        <v>5142313333.3333282</v>
      </c>
      <c r="T262">
        <v>-34.131065370000002</v>
      </c>
      <c r="V262">
        <v>5142313333.3333282</v>
      </c>
      <c r="W262">
        <v>-34.161155700000002</v>
      </c>
      <c r="Y262">
        <v>5142313333.3333282</v>
      </c>
      <c r="Z262">
        <v>-34.076354979999998</v>
      </c>
      <c r="AB262">
        <v>5237956708.8607979</v>
      </c>
      <c r="AC262">
        <v>-30.316009520000001</v>
      </c>
      <c r="AE262">
        <v>5237955015.7727814</v>
      </c>
      <c r="AF262">
        <v>-30.48763275</v>
      </c>
      <c r="AH262">
        <v>5237955015.7727814</v>
      </c>
      <c r="AI262">
        <v>-30.32997894</v>
      </c>
    </row>
    <row r="263" spans="1:35">
      <c r="A263">
        <v>5140621482.9660263</v>
      </c>
      <c r="B263" s="72">
        <v>-25.82906723</v>
      </c>
      <c r="D263">
        <v>5185621482.9660263</v>
      </c>
      <c r="E263" s="72">
        <v>-27.763103489999999</v>
      </c>
      <c r="G263">
        <v>5239261482.9660263</v>
      </c>
      <c r="H263" s="72">
        <v>-29.945533749999999</v>
      </c>
      <c r="J263">
        <v>5142121482.9660263</v>
      </c>
      <c r="K263" s="72">
        <v>-25.39609909</v>
      </c>
      <c r="M263">
        <v>5237761482.9660263</v>
      </c>
      <c r="N263" s="72">
        <v>-30.14465714</v>
      </c>
      <c r="P263">
        <v>5239455849.0565987</v>
      </c>
      <c r="Q263">
        <v>-29.531360630000002</v>
      </c>
      <c r="S263">
        <v>5142315849.0565987</v>
      </c>
      <c r="T263">
        <v>-34.676422119999998</v>
      </c>
      <c r="V263">
        <v>5142315849.0565987</v>
      </c>
      <c r="W263">
        <v>-34.727680210000003</v>
      </c>
      <c r="Y263">
        <v>5142315849.0565987</v>
      </c>
      <c r="Z263">
        <v>-34.6366272</v>
      </c>
      <c r="AB263">
        <v>5237959240.5063677</v>
      </c>
      <c r="AC263">
        <v>-31.021301269999999</v>
      </c>
      <c r="AE263">
        <v>5237957539.4320869</v>
      </c>
      <c r="AF263">
        <v>-31.17729568</v>
      </c>
      <c r="AH263">
        <v>5237957539.4320869</v>
      </c>
      <c r="AI263">
        <v>-31.019504550000001</v>
      </c>
    </row>
    <row r="264" spans="1:35">
      <c r="A264">
        <v>5140623086.1724396</v>
      </c>
      <c r="B264" s="72">
        <v>-26.58547974</v>
      </c>
      <c r="D264">
        <v>5185623086.1724396</v>
      </c>
      <c r="E264" s="72">
        <v>-28.74107742</v>
      </c>
      <c r="G264">
        <v>5239263086.1724396</v>
      </c>
      <c r="H264" s="72">
        <v>-30.840236659999999</v>
      </c>
      <c r="J264">
        <v>5142123086.1724396</v>
      </c>
      <c r="K264" s="72">
        <v>-25.685974120000001</v>
      </c>
      <c r="M264">
        <v>5237763086.1724396</v>
      </c>
      <c r="N264" s="72">
        <v>-29.763942719999999</v>
      </c>
      <c r="P264">
        <v>5239458364.7798691</v>
      </c>
      <c r="Q264">
        <v>-30.59365845</v>
      </c>
      <c r="S264">
        <v>5142318364.7798691</v>
      </c>
      <c r="T264">
        <v>-35.007465359999998</v>
      </c>
      <c r="V264">
        <v>5142318364.7798691</v>
      </c>
      <c r="W264">
        <v>-35.054676059999998</v>
      </c>
      <c r="Y264">
        <v>5142318364.7798691</v>
      </c>
      <c r="Z264">
        <v>-34.95992279</v>
      </c>
      <c r="AB264">
        <v>5237961772.1519375</v>
      </c>
      <c r="AC264">
        <v>-30.55297852</v>
      </c>
      <c r="AE264">
        <v>5237960063.0913925</v>
      </c>
      <c r="AF264">
        <v>-30.70560455</v>
      </c>
      <c r="AH264">
        <v>5237960063.0913925</v>
      </c>
      <c r="AI264">
        <v>-30.54600525</v>
      </c>
    </row>
    <row r="265" spans="1:35">
      <c r="A265">
        <v>5140624689.3788528</v>
      </c>
      <c r="B265" s="72">
        <v>-25.63777924</v>
      </c>
      <c r="D265">
        <v>5185624689.3788528</v>
      </c>
      <c r="E265" s="72">
        <v>-28.183193209999999</v>
      </c>
      <c r="G265">
        <v>5239264689.3788528</v>
      </c>
      <c r="H265" s="72">
        <v>-30.314701079999999</v>
      </c>
      <c r="J265">
        <v>5142124689.3788528</v>
      </c>
      <c r="K265" s="72">
        <v>-25.210422520000002</v>
      </c>
      <c r="M265">
        <v>5237764689.3788528</v>
      </c>
      <c r="N265" s="72">
        <v>-29.420169829999999</v>
      </c>
      <c r="P265">
        <v>5239460880.5031395</v>
      </c>
      <c r="Q265">
        <v>-29.94026947</v>
      </c>
      <c r="S265">
        <v>5142320880.5031395</v>
      </c>
      <c r="T265">
        <v>-33.955665590000002</v>
      </c>
      <c r="V265">
        <v>5142320880.5031395</v>
      </c>
      <c r="W265">
        <v>-33.930908199999998</v>
      </c>
      <c r="Y265">
        <v>5142320880.5031395</v>
      </c>
      <c r="Z265">
        <v>-33.812957760000003</v>
      </c>
      <c r="AB265">
        <v>5237964303.7975073</v>
      </c>
      <c r="AC265">
        <v>-29.55820465</v>
      </c>
      <c r="AE265">
        <v>5237962586.7506981</v>
      </c>
      <c r="AF265">
        <v>-29.748077389999999</v>
      </c>
      <c r="AH265">
        <v>5237962586.7506981</v>
      </c>
      <c r="AI265">
        <v>-29.59206009</v>
      </c>
    </row>
    <row r="266" spans="1:35">
      <c r="A266">
        <v>5140626292.5852661</v>
      </c>
      <c r="B266" s="72">
        <v>-26.7492485</v>
      </c>
      <c r="D266">
        <v>5185626292.5852661</v>
      </c>
      <c r="E266" s="72">
        <v>-28.480091089999998</v>
      </c>
      <c r="G266">
        <v>5239266292.5852661</v>
      </c>
      <c r="H266" s="72">
        <v>-30.667240140000001</v>
      </c>
      <c r="J266">
        <v>5142126292.5852661</v>
      </c>
      <c r="K266" s="72">
        <v>-26.120388030000001</v>
      </c>
      <c r="M266">
        <v>5237766292.5852661</v>
      </c>
      <c r="N266" s="72">
        <v>-30.279747010000001</v>
      </c>
      <c r="P266">
        <v>5239463396.2264099</v>
      </c>
      <c r="Q266">
        <v>-30.48495102</v>
      </c>
      <c r="S266">
        <v>5142323396.2264099</v>
      </c>
      <c r="T266">
        <v>-35.389122010000001</v>
      </c>
      <c r="V266">
        <v>5142323396.2264099</v>
      </c>
      <c r="W266">
        <v>-35.446575160000002</v>
      </c>
      <c r="Y266">
        <v>5142323396.2264099</v>
      </c>
      <c r="Z266">
        <v>-35.376842500000002</v>
      </c>
      <c r="AB266">
        <v>5237966835.4430771</v>
      </c>
      <c r="AC266">
        <v>-31.05466461</v>
      </c>
      <c r="AE266">
        <v>5237965110.4100037</v>
      </c>
      <c r="AF266">
        <v>-31.16516876</v>
      </c>
      <c r="AH266">
        <v>5237965110.4100037</v>
      </c>
      <c r="AI266">
        <v>-31.014026640000001</v>
      </c>
    </row>
    <row r="267" spans="1:35">
      <c r="A267">
        <v>5140627895.7916794</v>
      </c>
      <c r="B267" s="72">
        <v>-26.043964389999999</v>
      </c>
      <c r="D267">
        <v>5185627895.7916794</v>
      </c>
      <c r="E267" s="72">
        <v>-28.533206939999999</v>
      </c>
      <c r="G267">
        <v>5239267895.7916794</v>
      </c>
      <c r="H267" s="72">
        <v>-30.76379013</v>
      </c>
      <c r="J267">
        <v>5142127895.7916794</v>
      </c>
      <c r="K267" s="72">
        <v>-25.424179079999998</v>
      </c>
      <c r="M267">
        <v>5237767895.7916794</v>
      </c>
      <c r="N267" s="72">
        <v>-30.175071719999998</v>
      </c>
      <c r="P267">
        <v>5239465911.9496803</v>
      </c>
      <c r="Q267">
        <v>-30.193614960000001</v>
      </c>
      <c r="S267">
        <v>5142325911.9496803</v>
      </c>
      <c r="T267">
        <v>-34.269634250000003</v>
      </c>
      <c r="V267">
        <v>5142325911.9496803</v>
      </c>
      <c r="W267">
        <v>-34.227581020000002</v>
      </c>
      <c r="Y267">
        <v>5142325911.9496803</v>
      </c>
      <c r="Z267">
        <v>-34.08294678</v>
      </c>
      <c r="AB267">
        <v>5237969367.0886469</v>
      </c>
      <c r="AC267">
        <v>-30.58256149</v>
      </c>
      <c r="AE267">
        <v>5237967634.0693092</v>
      </c>
      <c r="AF267">
        <v>-30.796348569999999</v>
      </c>
      <c r="AH267">
        <v>5237967634.0693092</v>
      </c>
      <c r="AI267">
        <v>-30.652187349999998</v>
      </c>
    </row>
    <row r="268" spans="1:35">
      <c r="A268">
        <v>5140629498.9980927</v>
      </c>
      <c r="B268" s="72">
        <v>-24.99165726</v>
      </c>
      <c r="D268">
        <v>5185629498.9980927</v>
      </c>
      <c r="E268" s="72">
        <v>-27.41143799</v>
      </c>
      <c r="G268">
        <v>5239269498.9980927</v>
      </c>
      <c r="H268" s="72">
        <v>-29.741039279999999</v>
      </c>
      <c r="J268">
        <v>5142129498.9980927</v>
      </c>
      <c r="K268" s="72">
        <v>-23.924926760000002</v>
      </c>
      <c r="M268">
        <v>5237769498.9980927</v>
      </c>
      <c r="N268" s="72">
        <v>-28.532539369999999</v>
      </c>
      <c r="P268">
        <v>5239468427.6729507</v>
      </c>
      <c r="Q268">
        <v>-29.348594670000001</v>
      </c>
      <c r="S268">
        <v>5142328427.6729507</v>
      </c>
      <c r="T268">
        <v>-32.746524809999997</v>
      </c>
      <c r="V268">
        <v>5142328427.6729507</v>
      </c>
      <c r="W268">
        <v>-32.791221620000002</v>
      </c>
      <c r="Y268">
        <v>5142328427.6729507</v>
      </c>
      <c r="Z268">
        <v>-32.719886780000003</v>
      </c>
      <c r="AB268">
        <v>5237971898.7342167</v>
      </c>
      <c r="AC268">
        <v>-28.77748489</v>
      </c>
      <c r="AE268">
        <v>5237970157.7286148</v>
      </c>
      <c r="AF268">
        <v>-28.89658356</v>
      </c>
      <c r="AH268">
        <v>5237970157.7286148</v>
      </c>
      <c r="AI268">
        <v>-28.747676850000001</v>
      </c>
    </row>
    <row r="269" spans="1:35">
      <c r="A269">
        <v>5140631102.2045059</v>
      </c>
      <c r="B269" s="72">
        <v>-26.215366360000001</v>
      </c>
      <c r="D269">
        <v>5185631102.2045059</v>
      </c>
      <c r="E269" s="72">
        <v>-28.065837859999998</v>
      </c>
      <c r="G269">
        <v>5239271102.2045059</v>
      </c>
      <c r="H269" s="72">
        <v>-30.22174072</v>
      </c>
      <c r="J269">
        <v>5142131102.2045059</v>
      </c>
      <c r="K269" s="72">
        <v>-26.31435394</v>
      </c>
      <c r="M269">
        <v>5237771102.2045059</v>
      </c>
      <c r="N269" s="72">
        <v>-31.060588840000001</v>
      </c>
      <c r="P269">
        <v>5239470943.3962212</v>
      </c>
      <c r="Q269">
        <v>-30.00156784</v>
      </c>
      <c r="S269">
        <v>5142330943.3962212</v>
      </c>
      <c r="T269">
        <v>-35.435741419999999</v>
      </c>
      <c r="V269">
        <v>5142330943.3962212</v>
      </c>
      <c r="W269">
        <v>-35.419078829999997</v>
      </c>
      <c r="Y269">
        <v>5142330943.3962212</v>
      </c>
      <c r="Z269">
        <v>-35.290351870000002</v>
      </c>
      <c r="AB269">
        <v>5237974430.3797865</v>
      </c>
      <c r="AC269">
        <v>-31.970745090000001</v>
      </c>
      <c r="AE269">
        <v>5237972681.3879204</v>
      </c>
      <c r="AF269">
        <v>-32.19689941</v>
      </c>
      <c r="AH269">
        <v>5237972681.3879204</v>
      </c>
      <c r="AI269">
        <v>-32.057033539999999</v>
      </c>
    </row>
    <row r="270" spans="1:35">
      <c r="A270">
        <v>5140632705.4109192</v>
      </c>
      <c r="B270" s="72">
        <v>-25.55157852</v>
      </c>
      <c r="D270">
        <v>5185632705.4109192</v>
      </c>
      <c r="E270" s="72">
        <v>-28.34432602</v>
      </c>
      <c r="G270">
        <v>5239272705.4109192</v>
      </c>
      <c r="H270" s="72">
        <v>-30.731185910000001</v>
      </c>
      <c r="J270">
        <v>5142132705.4109192</v>
      </c>
      <c r="K270" s="72">
        <v>-24.760456090000002</v>
      </c>
      <c r="M270">
        <v>5237772705.4109192</v>
      </c>
      <c r="N270" s="72">
        <v>-28.745281219999999</v>
      </c>
      <c r="P270">
        <v>5239473459.1194916</v>
      </c>
      <c r="Q270">
        <v>-30.359825130000001</v>
      </c>
      <c r="S270">
        <v>5142333459.1194916</v>
      </c>
      <c r="T270">
        <v>-33.460906979999997</v>
      </c>
      <c r="V270">
        <v>5142333459.1194916</v>
      </c>
      <c r="W270">
        <v>-33.485603330000004</v>
      </c>
      <c r="Y270">
        <v>5142333459.1194916</v>
      </c>
      <c r="Z270">
        <v>-33.413307189999998</v>
      </c>
      <c r="AB270">
        <v>5237976962.0253563</v>
      </c>
      <c r="AC270">
        <v>-28.634696959999999</v>
      </c>
      <c r="AE270">
        <v>5237975205.047226</v>
      </c>
      <c r="AF270">
        <v>-28.78879547</v>
      </c>
      <c r="AH270">
        <v>5237975205.047226</v>
      </c>
      <c r="AI270">
        <v>-28.63850403</v>
      </c>
    </row>
    <row r="271" spans="1:35">
      <c r="A271">
        <v>5140634308.6173325</v>
      </c>
      <c r="B271" s="72">
        <v>-26.403160100000001</v>
      </c>
      <c r="D271">
        <v>5185634308.6173325</v>
      </c>
      <c r="E271" s="72">
        <v>-28.106811520000001</v>
      </c>
      <c r="G271">
        <v>5239274308.6173325</v>
      </c>
      <c r="H271" s="72">
        <v>-30.324642180000001</v>
      </c>
      <c r="J271">
        <v>5142134308.6173325</v>
      </c>
      <c r="K271" s="72">
        <v>-25.47077942</v>
      </c>
      <c r="M271">
        <v>5237774308.6173325</v>
      </c>
      <c r="N271" s="72">
        <v>-29.854465480000002</v>
      </c>
      <c r="P271">
        <v>5239475974.842762</v>
      </c>
      <c r="Q271">
        <v>-29.894321439999999</v>
      </c>
      <c r="S271">
        <v>5142335974.842762</v>
      </c>
      <c r="T271">
        <v>-34.600379940000003</v>
      </c>
      <c r="V271">
        <v>5142335974.842762</v>
      </c>
      <c r="W271">
        <v>-34.628192900000002</v>
      </c>
      <c r="Y271">
        <v>5142335974.842762</v>
      </c>
      <c r="Z271">
        <v>-34.527576449999998</v>
      </c>
      <c r="AB271">
        <v>5237979493.6709261</v>
      </c>
      <c r="AC271">
        <v>-30.452491760000001</v>
      </c>
      <c r="AE271">
        <v>5237977728.7065315</v>
      </c>
      <c r="AF271">
        <v>-30.590091709999999</v>
      </c>
      <c r="AH271">
        <v>5237977728.7065315</v>
      </c>
      <c r="AI271">
        <v>-30.471912379999999</v>
      </c>
    </row>
    <row r="272" spans="1:35">
      <c r="A272">
        <v>5140635911.8237457</v>
      </c>
      <c r="B272" s="72">
        <v>-26.258060459999999</v>
      </c>
      <c r="D272">
        <v>5185635911.8237457</v>
      </c>
      <c r="E272" s="72">
        <v>-28.266235349999999</v>
      </c>
      <c r="G272">
        <v>5239275911.8237457</v>
      </c>
      <c r="H272" s="72">
        <v>-30.342555999999998</v>
      </c>
      <c r="J272">
        <v>5142135911.8237457</v>
      </c>
      <c r="K272" s="72">
        <v>-25.458171839999999</v>
      </c>
      <c r="M272">
        <v>5237775911.8237457</v>
      </c>
      <c r="N272" s="72">
        <v>-30.416755680000001</v>
      </c>
      <c r="P272">
        <v>5239478490.5660324</v>
      </c>
      <c r="Q272">
        <v>-29.953811649999999</v>
      </c>
      <c r="S272">
        <v>5142338490.5660324</v>
      </c>
      <c r="T272">
        <v>-34.447113039999998</v>
      </c>
      <c r="V272">
        <v>5142338490.5660324</v>
      </c>
      <c r="W272">
        <v>-34.452568049999996</v>
      </c>
      <c r="Y272">
        <v>5142338490.5660324</v>
      </c>
      <c r="Z272">
        <v>-34.333587649999998</v>
      </c>
      <c r="AB272">
        <v>5237982025.3164959</v>
      </c>
      <c r="AC272">
        <v>-31.058902740000001</v>
      </c>
      <c r="AE272">
        <v>5237980252.3658371</v>
      </c>
      <c r="AF272">
        <v>-31.08647156</v>
      </c>
      <c r="AH272">
        <v>5237980252.3658371</v>
      </c>
      <c r="AI272">
        <v>-30.96163177</v>
      </c>
    </row>
    <row r="273" spans="1:35">
      <c r="A273">
        <v>5140637515.030159</v>
      </c>
      <c r="B273" s="72">
        <v>-26.299957280000001</v>
      </c>
      <c r="D273">
        <v>5185637515.030159</v>
      </c>
      <c r="E273" s="72">
        <v>-28.062675479999999</v>
      </c>
      <c r="G273">
        <v>5239277515.030159</v>
      </c>
      <c r="H273" s="72">
        <v>-30.320178989999999</v>
      </c>
      <c r="J273">
        <v>5142137515.030159</v>
      </c>
      <c r="K273" s="72">
        <v>-25.310848239999999</v>
      </c>
      <c r="M273">
        <v>5237777515.030159</v>
      </c>
      <c r="N273" s="72">
        <v>-29.599193570000001</v>
      </c>
      <c r="P273">
        <v>5239481006.2893028</v>
      </c>
      <c r="Q273">
        <v>-29.673328399999999</v>
      </c>
      <c r="S273">
        <v>5142341006.2893028</v>
      </c>
      <c r="T273">
        <v>-34.39961624</v>
      </c>
      <c r="V273">
        <v>5142341006.2893028</v>
      </c>
      <c r="W273">
        <v>-34.399559019999998</v>
      </c>
      <c r="Y273">
        <v>5142341006.2893028</v>
      </c>
      <c r="Z273">
        <v>-34.262939449999998</v>
      </c>
      <c r="AB273">
        <v>5237984556.9620657</v>
      </c>
      <c r="AC273">
        <v>-30.137092590000002</v>
      </c>
      <c r="AE273">
        <v>5237982776.0251427</v>
      </c>
      <c r="AF273">
        <v>-30.290977479999999</v>
      </c>
      <c r="AH273">
        <v>5237982776.0251427</v>
      </c>
      <c r="AI273">
        <v>-30.188919070000001</v>
      </c>
    </row>
    <row r="274" spans="1:35">
      <c r="A274">
        <v>5140639118.2365723</v>
      </c>
      <c r="B274" s="72">
        <v>-26.188327789999999</v>
      </c>
      <c r="D274">
        <v>5185639118.2365723</v>
      </c>
      <c r="E274" s="72">
        <v>-28.44982147</v>
      </c>
      <c r="G274">
        <v>5239279118.2365723</v>
      </c>
      <c r="H274" s="72">
        <v>-30.746883390000001</v>
      </c>
      <c r="J274">
        <v>5142139118.2365723</v>
      </c>
      <c r="K274" s="72">
        <v>-25.16589355</v>
      </c>
      <c r="M274">
        <v>5237779118.2365723</v>
      </c>
      <c r="N274" s="72">
        <v>-29.739345549999999</v>
      </c>
      <c r="P274">
        <v>5239483522.0125732</v>
      </c>
      <c r="Q274">
        <v>-30.401657100000001</v>
      </c>
      <c r="S274">
        <v>5142343522.0125732</v>
      </c>
      <c r="T274">
        <v>-34.105792999999998</v>
      </c>
      <c r="V274">
        <v>5142343522.0125732</v>
      </c>
      <c r="W274">
        <v>-34.108100890000003</v>
      </c>
      <c r="Y274">
        <v>5142343522.0125732</v>
      </c>
      <c r="Z274">
        <v>-33.992164610000003</v>
      </c>
      <c r="AB274">
        <v>5237987088.6076355</v>
      </c>
      <c r="AC274">
        <v>-30.00920868</v>
      </c>
      <c r="AE274">
        <v>5237985299.6844482</v>
      </c>
      <c r="AF274">
        <v>-30.172538759999998</v>
      </c>
      <c r="AH274">
        <v>5237985299.6844482</v>
      </c>
      <c r="AI274">
        <v>-30.05717087</v>
      </c>
    </row>
    <row r="275" spans="1:35">
      <c r="A275">
        <v>5140640721.4429855</v>
      </c>
      <c r="B275" s="72">
        <v>-25.758159639999999</v>
      </c>
      <c r="D275">
        <v>5185640721.4429855</v>
      </c>
      <c r="E275" s="72">
        <v>-28.604679109999999</v>
      </c>
      <c r="G275">
        <v>5239280721.4429855</v>
      </c>
      <c r="H275" s="72">
        <v>-30.707077030000001</v>
      </c>
      <c r="J275">
        <v>5142140721.4429855</v>
      </c>
      <c r="K275" s="72">
        <v>-25.63245392</v>
      </c>
      <c r="M275">
        <v>5237780721.4429855</v>
      </c>
      <c r="N275" s="72">
        <v>-29.63939285</v>
      </c>
      <c r="P275">
        <v>5239486037.7358437</v>
      </c>
      <c r="Q275">
        <v>-30.360897059999999</v>
      </c>
      <c r="S275">
        <v>5142346037.7358437</v>
      </c>
      <c r="T275">
        <v>-34.544780729999999</v>
      </c>
      <c r="V275">
        <v>5142346037.7358437</v>
      </c>
      <c r="W275">
        <v>-34.5577507</v>
      </c>
      <c r="Y275">
        <v>5142346037.7358437</v>
      </c>
      <c r="Z275">
        <v>-34.448753359999998</v>
      </c>
      <c r="AB275">
        <v>5237989620.2532053</v>
      </c>
      <c r="AC275">
        <v>-30.021678919999999</v>
      </c>
      <c r="AE275">
        <v>5237987823.3437538</v>
      </c>
      <c r="AF275">
        <v>-30.17192841</v>
      </c>
      <c r="AH275">
        <v>5237987823.3437538</v>
      </c>
      <c r="AI275">
        <v>-30.050621029999999</v>
      </c>
    </row>
    <row r="276" spans="1:35">
      <c r="A276">
        <v>5140642324.6493988</v>
      </c>
      <c r="B276" s="72">
        <v>-25.508350369999999</v>
      </c>
      <c r="D276">
        <v>5185642324.6493988</v>
      </c>
      <c r="E276" s="72">
        <v>-27.75014114</v>
      </c>
      <c r="G276">
        <v>5239282324.6493988</v>
      </c>
      <c r="H276" s="72">
        <v>-30.00001907</v>
      </c>
      <c r="J276">
        <v>5142142324.6493988</v>
      </c>
      <c r="K276" s="72">
        <v>-25.220600130000001</v>
      </c>
      <c r="M276">
        <v>5237782324.6493988</v>
      </c>
      <c r="N276" s="72">
        <v>-30.037769319999999</v>
      </c>
      <c r="P276">
        <v>5239488553.4591141</v>
      </c>
      <c r="Q276">
        <v>-29.37044525</v>
      </c>
      <c r="S276">
        <v>5142348553.4591141</v>
      </c>
      <c r="T276">
        <v>-34.173744200000002</v>
      </c>
      <c r="V276">
        <v>5142348553.4591141</v>
      </c>
      <c r="W276">
        <v>-34.181007389999998</v>
      </c>
      <c r="Y276">
        <v>5142348553.4591141</v>
      </c>
      <c r="Z276">
        <v>-34.06110382</v>
      </c>
      <c r="AB276">
        <v>5237992151.8987751</v>
      </c>
      <c r="AC276">
        <v>-30.555328370000002</v>
      </c>
      <c r="AE276">
        <v>5237990347.0030594</v>
      </c>
      <c r="AF276">
        <v>-30.62041473</v>
      </c>
      <c r="AH276">
        <v>5237990347.0030594</v>
      </c>
      <c r="AI276">
        <v>-30.49399567</v>
      </c>
    </row>
    <row r="277" spans="1:35">
      <c r="A277">
        <v>5140643927.8558121</v>
      </c>
      <c r="B277" s="72">
        <v>-26.09512711</v>
      </c>
      <c r="D277">
        <v>5185643927.8558121</v>
      </c>
      <c r="E277" s="72">
        <v>-28.041828160000001</v>
      </c>
      <c r="G277">
        <v>5239283927.8558121</v>
      </c>
      <c r="H277" s="72">
        <v>-30.40691777</v>
      </c>
      <c r="J277">
        <v>5142143927.8558121</v>
      </c>
      <c r="K277" s="72">
        <v>-24.905094550000001</v>
      </c>
      <c r="M277">
        <v>5237783927.8558121</v>
      </c>
      <c r="N277" s="72">
        <v>-29.281112669999999</v>
      </c>
      <c r="P277">
        <v>5239491069.1823845</v>
      </c>
      <c r="Q277">
        <v>-29.52994919</v>
      </c>
      <c r="S277">
        <v>5142351069.1823845</v>
      </c>
      <c r="T277">
        <v>-33.826881409999999</v>
      </c>
      <c r="V277">
        <v>5142351069.1823845</v>
      </c>
      <c r="W277">
        <v>-33.81865311</v>
      </c>
      <c r="Y277">
        <v>5142351069.1823845</v>
      </c>
      <c r="Z277">
        <v>-33.698661799999996</v>
      </c>
      <c r="AB277">
        <v>5237994683.5443449</v>
      </c>
      <c r="AC277">
        <v>-29.64112854</v>
      </c>
      <c r="AE277">
        <v>5237992870.662365</v>
      </c>
      <c r="AF277">
        <v>-29.80410767</v>
      </c>
      <c r="AH277">
        <v>5237992870.662365</v>
      </c>
      <c r="AI277">
        <v>-29.681533810000001</v>
      </c>
    </row>
    <row r="278" spans="1:35">
      <c r="A278">
        <v>5140645531.0622253</v>
      </c>
      <c r="B278" s="72">
        <v>-25.942676540000001</v>
      </c>
      <c r="D278">
        <v>5185645531.0622253</v>
      </c>
      <c r="E278" s="72">
        <v>-27.74266815</v>
      </c>
      <c r="G278">
        <v>5239285531.0622253</v>
      </c>
      <c r="H278" s="72">
        <v>-30.033561710000001</v>
      </c>
      <c r="J278">
        <v>5142145531.0622253</v>
      </c>
      <c r="K278" s="72">
        <v>-24.867336269999999</v>
      </c>
      <c r="M278">
        <v>5237785531.0622253</v>
      </c>
      <c r="N278" s="72">
        <v>-30.517929079999998</v>
      </c>
      <c r="P278">
        <v>5239493584.9056549</v>
      </c>
      <c r="Q278">
        <v>-29.493556980000001</v>
      </c>
      <c r="S278">
        <v>5142353584.9056549</v>
      </c>
      <c r="T278">
        <v>-33.342231750000003</v>
      </c>
      <c r="V278">
        <v>5142353584.9056549</v>
      </c>
      <c r="W278">
        <v>-33.295398710000001</v>
      </c>
      <c r="Y278">
        <v>5142353584.9056549</v>
      </c>
      <c r="Z278">
        <v>-33.180957790000001</v>
      </c>
      <c r="AB278">
        <v>5237997215.1899147</v>
      </c>
      <c r="AC278">
        <v>-30.651977540000001</v>
      </c>
      <c r="AE278">
        <v>5237995394.3216705</v>
      </c>
      <c r="AF278">
        <v>-30.75392532</v>
      </c>
      <c r="AH278">
        <v>5237995394.3216705</v>
      </c>
      <c r="AI278">
        <v>-30.624027250000001</v>
      </c>
    </row>
    <row r="279" spans="1:35">
      <c r="A279">
        <v>5140647134.2686386</v>
      </c>
      <c r="B279" s="72">
        <v>-26.316448210000001</v>
      </c>
      <c r="D279">
        <v>5185647134.2686386</v>
      </c>
      <c r="E279" s="72">
        <v>-29.050411220000001</v>
      </c>
      <c r="G279">
        <v>5239287134.2686386</v>
      </c>
      <c r="H279" s="72">
        <v>-31.443134310000001</v>
      </c>
      <c r="J279">
        <v>5142147134.2686386</v>
      </c>
      <c r="K279" s="72">
        <v>-25.746170039999999</v>
      </c>
      <c r="M279">
        <v>5237787134.2686386</v>
      </c>
      <c r="N279" s="72">
        <v>-29.110614779999999</v>
      </c>
      <c r="P279">
        <v>5239496100.6289253</v>
      </c>
      <c r="Q279">
        <v>-31.058891299999999</v>
      </c>
      <c r="S279">
        <v>5142356100.6289253</v>
      </c>
      <c r="T279">
        <v>-34.599945069999997</v>
      </c>
      <c r="V279">
        <v>5142356100.6289253</v>
      </c>
      <c r="W279">
        <v>-34.55553055</v>
      </c>
      <c r="Y279">
        <v>5142356100.6289253</v>
      </c>
      <c r="Z279">
        <v>-34.383857730000003</v>
      </c>
      <c r="AB279">
        <v>5237999746.8354845</v>
      </c>
      <c r="AC279">
        <v>-29.086555480000001</v>
      </c>
      <c r="AE279">
        <v>5237997917.9809761</v>
      </c>
      <c r="AF279">
        <v>-29.229942319999999</v>
      </c>
      <c r="AH279">
        <v>5237997917.9809761</v>
      </c>
      <c r="AI279">
        <v>-29.129978179999998</v>
      </c>
    </row>
    <row r="280" spans="1:35">
      <c r="A280">
        <v>5140648737.4750519</v>
      </c>
      <c r="B280" s="72">
        <v>-25.885555270000001</v>
      </c>
      <c r="D280">
        <v>5185648737.4750519</v>
      </c>
      <c r="E280" s="72">
        <v>-28.510646820000002</v>
      </c>
      <c r="G280">
        <v>5239288737.4750519</v>
      </c>
      <c r="H280" s="72">
        <v>-30.76133347</v>
      </c>
      <c r="J280">
        <v>5142148737.4750519</v>
      </c>
      <c r="K280" s="72">
        <v>-25.204471590000001</v>
      </c>
      <c r="M280">
        <v>5237788737.4750519</v>
      </c>
      <c r="N280" s="72">
        <v>-30.2377243</v>
      </c>
      <c r="P280">
        <v>5239498616.3521957</v>
      </c>
      <c r="Q280">
        <v>-30.336769100000001</v>
      </c>
      <c r="S280">
        <v>5142358616.3521957</v>
      </c>
      <c r="T280">
        <v>-34.180625919999997</v>
      </c>
      <c r="V280">
        <v>5142358616.3521957</v>
      </c>
      <c r="W280">
        <v>-34.277759549999999</v>
      </c>
      <c r="Y280">
        <v>5142358616.3521957</v>
      </c>
      <c r="Z280">
        <v>-34.22014618</v>
      </c>
      <c r="AB280">
        <v>5238002278.4810543</v>
      </c>
      <c r="AC280">
        <v>-30.711360930000001</v>
      </c>
      <c r="AE280">
        <v>5238000441.6402817</v>
      </c>
      <c r="AF280">
        <v>-30.804115299999999</v>
      </c>
      <c r="AH280">
        <v>5238000441.6402817</v>
      </c>
      <c r="AI280">
        <v>-30.671047210000001</v>
      </c>
    </row>
    <row r="281" spans="1:35">
      <c r="A281">
        <v>5140650340.6814651</v>
      </c>
      <c r="B281" s="72">
        <v>-26.069362640000001</v>
      </c>
      <c r="D281">
        <v>5185650340.6814651</v>
      </c>
      <c r="E281" s="72">
        <v>-27.23693085</v>
      </c>
      <c r="G281">
        <v>5239290340.6814651</v>
      </c>
      <c r="H281" s="72">
        <v>-29.593643190000002</v>
      </c>
      <c r="J281">
        <v>5142150340.6814651</v>
      </c>
      <c r="K281" s="72">
        <v>-25.447132109999998</v>
      </c>
      <c r="M281">
        <v>5237790340.6814651</v>
      </c>
      <c r="N281" s="72">
        <v>-28.894668580000001</v>
      </c>
      <c r="P281">
        <v>5239501132.0754662</v>
      </c>
      <c r="Q281">
        <v>-28.809928889999998</v>
      </c>
      <c r="S281">
        <v>5142361132.0754662</v>
      </c>
      <c r="T281">
        <v>-34.22072601</v>
      </c>
      <c r="V281">
        <v>5142361132.0754662</v>
      </c>
      <c r="W281">
        <v>-34.212932590000001</v>
      </c>
      <c r="Y281">
        <v>5142361132.0754662</v>
      </c>
      <c r="Z281">
        <v>-34.079032900000001</v>
      </c>
      <c r="AB281">
        <v>5238004810.1266241</v>
      </c>
      <c r="AC281">
        <v>-29.053894039999999</v>
      </c>
      <c r="AE281">
        <v>5238002965.2995872</v>
      </c>
      <c r="AF281">
        <v>-29.21151352</v>
      </c>
      <c r="AH281">
        <v>5238002965.2995872</v>
      </c>
      <c r="AI281">
        <v>-29.10414505</v>
      </c>
    </row>
    <row r="282" spans="1:35">
      <c r="A282">
        <v>5140651943.8878784</v>
      </c>
      <c r="B282" s="72">
        <v>-26.228412630000001</v>
      </c>
      <c r="D282">
        <v>5185651943.8878784</v>
      </c>
      <c r="E282" s="72">
        <v>-29.431987759999998</v>
      </c>
      <c r="G282">
        <v>5239291943.8878784</v>
      </c>
      <c r="H282" s="72">
        <v>-31.358188630000001</v>
      </c>
      <c r="J282">
        <v>5142151943.8878784</v>
      </c>
      <c r="K282" s="72">
        <v>-25.496837620000001</v>
      </c>
      <c r="M282">
        <v>5237791943.8878784</v>
      </c>
      <c r="N282" s="72">
        <v>-30.76690292</v>
      </c>
      <c r="P282">
        <v>5239503647.7987366</v>
      </c>
      <c r="Q282">
        <v>-31.328262330000001</v>
      </c>
      <c r="S282">
        <v>5142363647.7987366</v>
      </c>
      <c r="T282">
        <v>-34.721607210000002</v>
      </c>
      <c r="V282">
        <v>5142363647.7987366</v>
      </c>
      <c r="W282">
        <v>-34.778175349999998</v>
      </c>
      <c r="Y282">
        <v>5142363647.7987366</v>
      </c>
      <c r="Z282">
        <v>-34.667644500000002</v>
      </c>
      <c r="AB282">
        <v>5238007341.7721939</v>
      </c>
      <c r="AC282">
        <v>-31.519760130000002</v>
      </c>
      <c r="AE282">
        <v>5238005488.9588928</v>
      </c>
      <c r="AF282">
        <v>-31.629547120000002</v>
      </c>
      <c r="AH282">
        <v>5238005488.9588928</v>
      </c>
      <c r="AI282">
        <v>-31.481208800000001</v>
      </c>
    </row>
    <row r="283" spans="1:35">
      <c r="A283">
        <v>5140653547.0942917</v>
      </c>
      <c r="B283" s="72">
        <v>-25.151012420000001</v>
      </c>
      <c r="D283">
        <v>5185653547.0942917</v>
      </c>
      <c r="E283" s="72">
        <v>-27.020290370000001</v>
      </c>
      <c r="G283">
        <v>5239293547.0942917</v>
      </c>
      <c r="H283" s="72">
        <v>-29.413814540000001</v>
      </c>
      <c r="J283">
        <v>5142153547.0942917</v>
      </c>
      <c r="K283" s="72">
        <v>-25.525375369999999</v>
      </c>
      <c r="M283">
        <v>5237793547.0942917</v>
      </c>
      <c r="N283" s="72">
        <v>-29.621521000000001</v>
      </c>
      <c r="P283">
        <v>5239506163.522007</v>
      </c>
      <c r="Q283">
        <v>-28.547893519999999</v>
      </c>
      <c r="S283">
        <v>5142366163.522007</v>
      </c>
      <c r="T283">
        <v>-34.442699429999998</v>
      </c>
      <c r="V283">
        <v>5142366163.522007</v>
      </c>
      <c r="W283">
        <v>-34.475006100000002</v>
      </c>
      <c r="Y283">
        <v>5142366163.522007</v>
      </c>
      <c r="Z283">
        <v>-34.367591859999997</v>
      </c>
      <c r="AB283">
        <v>5238009873.4177637</v>
      </c>
      <c r="AC283">
        <v>-29.854728699999999</v>
      </c>
      <c r="AE283">
        <v>5238008012.6181984</v>
      </c>
      <c r="AF283">
        <v>-30.019981380000001</v>
      </c>
      <c r="AH283">
        <v>5238008012.6181984</v>
      </c>
      <c r="AI283">
        <v>-29.90593719</v>
      </c>
    </row>
    <row r="284" spans="1:35">
      <c r="A284">
        <v>5140655150.300705</v>
      </c>
      <c r="B284" s="72">
        <v>-27.42975998</v>
      </c>
      <c r="D284">
        <v>5185655150.300705</v>
      </c>
      <c r="E284" s="72">
        <v>-29.689823149999999</v>
      </c>
      <c r="G284">
        <v>5239295150.300705</v>
      </c>
      <c r="H284" s="72">
        <v>-32.146034239999999</v>
      </c>
      <c r="J284">
        <v>5142155150.300705</v>
      </c>
      <c r="K284" s="72">
        <v>-26.019702909999999</v>
      </c>
      <c r="M284">
        <v>5237795150.300705</v>
      </c>
      <c r="N284" s="72">
        <v>-30.537429809999999</v>
      </c>
      <c r="P284">
        <v>5239508679.2452774</v>
      </c>
      <c r="Q284">
        <v>-31.717437740000001</v>
      </c>
      <c r="S284">
        <v>5142368679.2452774</v>
      </c>
      <c r="T284">
        <v>-35.055065159999998</v>
      </c>
      <c r="V284">
        <v>5142368679.2452774</v>
      </c>
      <c r="W284">
        <v>-35.070472719999998</v>
      </c>
      <c r="Y284">
        <v>5142368679.2452774</v>
      </c>
      <c r="Z284">
        <v>-34.923973080000003</v>
      </c>
      <c r="AB284">
        <v>5238012405.0633335</v>
      </c>
      <c r="AC284">
        <v>-31.12822723</v>
      </c>
      <c r="AE284">
        <v>5238010536.277504</v>
      </c>
      <c r="AF284">
        <v>-31.240894319999999</v>
      </c>
      <c r="AH284">
        <v>5238010536.277504</v>
      </c>
      <c r="AI284">
        <v>-31.11395645</v>
      </c>
    </row>
    <row r="285" spans="1:35">
      <c r="A285">
        <v>5140656753.5071182</v>
      </c>
      <c r="B285" s="72">
        <v>-25.79776382</v>
      </c>
      <c r="D285">
        <v>5185656753.5071182</v>
      </c>
      <c r="E285" s="72">
        <v>-27.930061340000002</v>
      </c>
      <c r="G285">
        <v>5239296753.5071182</v>
      </c>
      <c r="H285" s="72">
        <v>-30.22033691</v>
      </c>
      <c r="J285">
        <v>5142156753.5071182</v>
      </c>
      <c r="K285" s="72">
        <v>-24.41230011</v>
      </c>
      <c r="M285">
        <v>5237796753.5071182</v>
      </c>
      <c r="N285" s="72">
        <v>-30.141063689999999</v>
      </c>
      <c r="P285">
        <v>5239511194.9685478</v>
      </c>
      <c r="Q285">
        <v>-29.751792909999999</v>
      </c>
      <c r="S285">
        <v>5142371194.9685478</v>
      </c>
      <c r="T285">
        <v>-33.312477110000003</v>
      </c>
      <c r="V285">
        <v>5142371194.9685478</v>
      </c>
      <c r="W285">
        <v>-33.363311770000003</v>
      </c>
      <c r="Y285">
        <v>5142371194.9685478</v>
      </c>
      <c r="Z285">
        <v>-33.255817409999999</v>
      </c>
      <c r="AB285">
        <v>5238014936.7089033</v>
      </c>
      <c r="AC285">
        <v>-30.696098330000002</v>
      </c>
      <c r="AE285">
        <v>5238013059.9368095</v>
      </c>
      <c r="AF285">
        <v>-30.815067290000002</v>
      </c>
      <c r="AH285">
        <v>5238013059.9368095</v>
      </c>
      <c r="AI285">
        <v>-30.6793251</v>
      </c>
    </row>
    <row r="286" spans="1:35">
      <c r="A286">
        <v>5140658356.7135315</v>
      </c>
      <c r="B286" s="72">
        <v>-25.63382721</v>
      </c>
      <c r="D286">
        <v>5185658356.7135315</v>
      </c>
      <c r="E286" s="72">
        <v>-27.821414950000001</v>
      </c>
      <c r="G286">
        <v>5239298356.7135315</v>
      </c>
      <c r="H286" s="72">
        <v>-30.181457519999999</v>
      </c>
      <c r="J286">
        <v>5142158356.7135315</v>
      </c>
      <c r="K286" s="72">
        <v>-26.513206480000001</v>
      </c>
      <c r="M286">
        <v>5237798356.7135315</v>
      </c>
      <c r="N286" s="72">
        <v>-30.432476040000001</v>
      </c>
      <c r="P286">
        <v>5239513710.6918182</v>
      </c>
      <c r="Q286">
        <v>-29.47340393</v>
      </c>
      <c r="S286">
        <v>5142373710.6918182</v>
      </c>
      <c r="T286">
        <v>-35.652423859999999</v>
      </c>
      <c r="V286">
        <v>5142373710.6918182</v>
      </c>
      <c r="W286">
        <v>-35.672492980000001</v>
      </c>
      <c r="Y286">
        <v>5142373710.6918182</v>
      </c>
      <c r="Z286">
        <v>-35.53001785</v>
      </c>
      <c r="AB286">
        <v>5238017468.3544731</v>
      </c>
      <c r="AC286">
        <v>-30.834999079999999</v>
      </c>
      <c r="AE286">
        <v>5238015583.5961151</v>
      </c>
      <c r="AF286">
        <v>-30.937576289999999</v>
      </c>
      <c r="AH286">
        <v>5238015583.5961151</v>
      </c>
      <c r="AI286">
        <v>-30.816051479999999</v>
      </c>
    </row>
    <row r="287" spans="1:35">
      <c r="A287">
        <v>5140659959.9199448</v>
      </c>
      <c r="B287" s="72">
        <v>-26.15261078</v>
      </c>
      <c r="D287">
        <v>5185659959.9199448</v>
      </c>
      <c r="E287" s="72">
        <v>-28.256347659999999</v>
      </c>
      <c r="G287">
        <v>5239299959.9199448</v>
      </c>
      <c r="H287" s="72">
        <v>-30.60911179</v>
      </c>
      <c r="J287">
        <v>5142159959.9199448</v>
      </c>
      <c r="K287" s="72">
        <v>-25.108230590000002</v>
      </c>
      <c r="M287">
        <v>5237799959.9199448</v>
      </c>
      <c r="N287" s="72">
        <v>-29.802845000000001</v>
      </c>
      <c r="P287">
        <v>5239516226.4150887</v>
      </c>
      <c r="Q287">
        <v>-29.81592178</v>
      </c>
      <c r="S287">
        <v>5142376226.4150887</v>
      </c>
      <c r="T287">
        <v>-34.019855499999998</v>
      </c>
      <c r="V287">
        <v>5142376226.4150887</v>
      </c>
      <c r="W287">
        <v>-33.9973259</v>
      </c>
      <c r="Y287">
        <v>5142376226.4150887</v>
      </c>
      <c r="Z287">
        <v>-33.85149002</v>
      </c>
      <c r="AB287">
        <v>5238020000.0000429</v>
      </c>
      <c r="AC287">
        <v>-30.274803160000001</v>
      </c>
      <c r="AE287">
        <v>5238018107.2554207</v>
      </c>
      <c r="AF287">
        <v>-30.441154480000002</v>
      </c>
      <c r="AH287">
        <v>5238018107.2554207</v>
      </c>
      <c r="AI287">
        <v>-30.32440948</v>
      </c>
    </row>
    <row r="288" spans="1:35">
      <c r="A288">
        <v>5140661563.126358</v>
      </c>
      <c r="B288" s="72">
        <v>-26.089763640000001</v>
      </c>
      <c r="D288">
        <v>5185661563.126358</v>
      </c>
      <c r="E288" s="72">
        <v>-29.518291470000001</v>
      </c>
      <c r="G288">
        <v>5239301563.126358</v>
      </c>
      <c r="H288" s="72">
        <v>-31.66119385</v>
      </c>
      <c r="J288">
        <v>5142161563.126358</v>
      </c>
      <c r="K288" s="72">
        <v>-25.45114899</v>
      </c>
      <c r="M288">
        <v>5237801563.126358</v>
      </c>
      <c r="N288" s="72">
        <v>-30.305431370000001</v>
      </c>
      <c r="P288">
        <v>5239518742.1383591</v>
      </c>
      <c r="Q288">
        <v>-31.389263150000001</v>
      </c>
      <c r="S288">
        <v>5142378742.1383591</v>
      </c>
      <c r="T288">
        <v>-34.692680359999997</v>
      </c>
      <c r="V288">
        <v>5142378742.1383591</v>
      </c>
      <c r="W288">
        <v>-34.783557889999997</v>
      </c>
      <c r="Y288">
        <v>5142378742.1383591</v>
      </c>
      <c r="Z288">
        <v>-34.710083009999998</v>
      </c>
      <c r="AB288">
        <v>5238022531.6456127</v>
      </c>
      <c r="AC288">
        <v>-30.951183319999998</v>
      </c>
      <c r="AE288">
        <v>5238020630.9147263</v>
      </c>
      <c r="AF288">
        <v>-31.074333190000001</v>
      </c>
      <c r="AH288">
        <v>5238020630.9147263</v>
      </c>
      <c r="AI288">
        <v>-30.940685269999999</v>
      </c>
    </row>
    <row r="289" spans="1:35">
      <c r="A289">
        <v>5140663166.3327713</v>
      </c>
      <c r="B289" s="72">
        <v>-26.99431229</v>
      </c>
      <c r="D289">
        <v>5185663166.3327713</v>
      </c>
      <c r="E289" s="72">
        <v>-27.757324220000001</v>
      </c>
      <c r="G289">
        <v>5239303166.3327713</v>
      </c>
      <c r="H289" s="72">
        <v>-30.144515989999999</v>
      </c>
      <c r="J289">
        <v>5142163166.3327713</v>
      </c>
      <c r="K289" s="72">
        <v>-25.823925020000001</v>
      </c>
      <c r="M289">
        <v>5237803166.3327713</v>
      </c>
      <c r="N289" s="72">
        <v>-30.130527499999999</v>
      </c>
      <c r="P289">
        <v>5239521257.8616295</v>
      </c>
      <c r="Q289">
        <v>-29.473587040000002</v>
      </c>
      <c r="S289">
        <v>5142381257.8616295</v>
      </c>
      <c r="T289">
        <v>-34.972362519999997</v>
      </c>
      <c r="V289">
        <v>5142381257.8616295</v>
      </c>
      <c r="W289">
        <v>-34.916999820000001</v>
      </c>
      <c r="Y289">
        <v>5142381257.8616295</v>
      </c>
      <c r="Z289">
        <v>-34.714805599999998</v>
      </c>
      <c r="AB289">
        <v>5238025063.2911825</v>
      </c>
      <c r="AC289">
        <v>-30.793560029999998</v>
      </c>
      <c r="AE289">
        <v>5238023154.5740318</v>
      </c>
      <c r="AF289">
        <v>-30.919025420000001</v>
      </c>
      <c r="AH289">
        <v>5238023154.5740318</v>
      </c>
      <c r="AI289">
        <v>-30.784538269999999</v>
      </c>
    </row>
    <row r="290" spans="1:35">
      <c r="A290">
        <v>5140664769.5391846</v>
      </c>
      <c r="B290" s="72">
        <v>-26.70792389</v>
      </c>
      <c r="D290">
        <v>5185664769.5391846</v>
      </c>
      <c r="E290" s="72">
        <v>-29.73126602</v>
      </c>
      <c r="G290">
        <v>5239304769.5391846</v>
      </c>
      <c r="H290" s="72">
        <v>-31.966243739999999</v>
      </c>
      <c r="J290">
        <v>5142164769.5391846</v>
      </c>
      <c r="K290" s="72">
        <v>-25.145645139999999</v>
      </c>
      <c r="M290">
        <v>5237804769.5391846</v>
      </c>
      <c r="N290" s="72">
        <v>-29.393001559999998</v>
      </c>
      <c r="P290">
        <v>5239523773.5848999</v>
      </c>
      <c r="Q290">
        <v>-31.779716489999998</v>
      </c>
      <c r="S290">
        <v>5142383773.5848999</v>
      </c>
      <c r="T290">
        <v>-34.068950649999998</v>
      </c>
      <c r="V290">
        <v>5142383773.5848999</v>
      </c>
      <c r="W290">
        <v>-34.162445069999997</v>
      </c>
      <c r="Y290">
        <v>5142383773.5848999</v>
      </c>
      <c r="Z290">
        <v>-34.124702450000001</v>
      </c>
      <c r="AB290">
        <v>5238027594.9367523</v>
      </c>
      <c r="AC290">
        <v>-29.588043209999999</v>
      </c>
      <c r="AE290">
        <v>5238025678.2333374</v>
      </c>
      <c r="AF290">
        <v>-29.738853450000001</v>
      </c>
      <c r="AH290">
        <v>5238025678.2333374</v>
      </c>
      <c r="AI290">
        <v>-29.618480680000001</v>
      </c>
    </row>
    <row r="291" spans="1:35">
      <c r="A291">
        <v>5140666372.7455978</v>
      </c>
      <c r="B291" s="72">
        <v>-25.149219510000002</v>
      </c>
      <c r="D291">
        <v>5185666372.7455978</v>
      </c>
      <c r="E291" s="72">
        <v>-27.440898900000001</v>
      </c>
      <c r="G291">
        <v>5239306372.7455978</v>
      </c>
      <c r="H291" s="72">
        <v>-29.80741501</v>
      </c>
      <c r="J291">
        <v>5142166372.7455978</v>
      </c>
      <c r="K291" s="72">
        <v>-24.2721138</v>
      </c>
      <c r="M291">
        <v>5237806372.7455978</v>
      </c>
      <c r="N291" s="72">
        <v>-29.394210820000001</v>
      </c>
      <c r="P291">
        <v>5239526289.3081703</v>
      </c>
      <c r="Q291">
        <v>-29.187076569999999</v>
      </c>
      <c r="S291">
        <v>5142386289.3081703</v>
      </c>
      <c r="T291">
        <v>-33.157512660000002</v>
      </c>
      <c r="V291">
        <v>5142386289.3081703</v>
      </c>
      <c r="W291">
        <v>-33.182449339999998</v>
      </c>
      <c r="Y291">
        <v>5142386289.3081703</v>
      </c>
      <c r="Z291">
        <v>-33.069953920000003</v>
      </c>
      <c r="AB291">
        <v>5238030126.5823221</v>
      </c>
      <c r="AC291">
        <v>-29.757419590000001</v>
      </c>
      <c r="AE291">
        <v>5238028201.892643</v>
      </c>
      <c r="AF291">
        <v>-29.814506529999999</v>
      </c>
      <c r="AH291">
        <v>5238028201.892643</v>
      </c>
      <c r="AI291">
        <v>-29.68663025</v>
      </c>
    </row>
    <row r="292" spans="1:35">
      <c r="A292">
        <v>5140667975.9520111</v>
      </c>
      <c r="B292" s="72">
        <v>-25.31223297</v>
      </c>
      <c r="D292">
        <v>5185667975.9520111</v>
      </c>
      <c r="E292" s="72">
        <v>-27.601406099999998</v>
      </c>
      <c r="G292">
        <v>5239307975.9520111</v>
      </c>
      <c r="H292" s="72">
        <v>-29.975170139999999</v>
      </c>
      <c r="J292">
        <v>5142167975.9520111</v>
      </c>
      <c r="K292" s="72">
        <v>-24.712810520000001</v>
      </c>
      <c r="M292">
        <v>5237807975.9520111</v>
      </c>
      <c r="N292" s="72">
        <v>-29.3858757</v>
      </c>
      <c r="P292">
        <v>5239528805.0314407</v>
      </c>
      <c r="Q292">
        <v>-29.26620483</v>
      </c>
      <c r="S292">
        <v>5142388805.0314407</v>
      </c>
      <c r="T292">
        <v>-33.555194849999999</v>
      </c>
      <c r="V292">
        <v>5142388805.0314407</v>
      </c>
      <c r="W292">
        <v>-33.568611150000002</v>
      </c>
      <c r="Y292">
        <v>5142388805.0314407</v>
      </c>
      <c r="Z292">
        <v>-33.444629669999998</v>
      </c>
      <c r="AB292">
        <v>5238032658.2278919</v>
      </c>
      <c r="AC292">
        <v>-29.673469539999999</v>
      </c>
      <c r="AE292">
        <v>5238030725.5519485</v>
      </c>
      <c r="AF292">
        <v>-29.864356990000001</v>
      </c>
      <c r="AH292">
        <v>5238030725.5519485</v>
      </c>
      <c r="AI292">
        <v>-29.75043488</v>
      </c>
    </row>
    <row r="293" spans="1:35">
      <c r="A293">
        <v>5140669579.1584244</v>
      </c>
      <c r="B293" s="72">
        <v>-26.572544100000002</v>
      </c>
      <c r="D293">
        <v>5185669579.1584244</v>
      </c>
      <c r="E293" s="72">
        <v>-28.430583949999999</v>
      </c>
      <c r="G293">
        <v>5239309579.1584244</v>
      </c>
      <c r="H293" s="72">
        <v>-30.575191499999999</v>
      </c>
      <c r="J293">
        <v>5142169579.1584244</v>
      </c>
      <c r="K293" s="72">
        <v>-27.125076289999999</v>
      </c>
      <c r="M293">
        <v>5237809579.1584244</v>
      </c>
      <c r="N293" s="72">
        <v>-30.899105070000001</v>
      </c>
      <c r="P293">
        <v>5239531320.7547112</v>
      </c>
      <c r="Q293">
        <v>-30.22055435</v>
      </c>
      <c r="S293">
        <v>5142391320.7547112</v>
      </c>
      <c r="T293">
        <v>-36.383617399999999</v>
      </c>
      <c r="V293">
        <v>5142391320.7547112</v>
      </c>
      <c r="W293">
        <v>-36.442607879999997</v>
      </c>
      <c r="Y293">
        <v>5142391320.7547112</v>
      </c>
      <c r="Z293">
        <v>-36.334583279999997</v>
      </c>
      <c r="AB293">
        <v>5238035189.8734617</v>
      </c>
      <c r="AC293">
        <v>-31.442741389999998</v>
      </c>
      <c r="AE293">
        <v>5238033249.2112541</v>
      </c>
      <c r="AF293">
        <v>-31.56223297</v>
      </c>
      <c r="AH293">
        <v>5238033249.2112541</v>
      </c>
      <c r="AI293">
        <v>-31.442344670000001</v>
      </c>
    </row>
    <row r="294" spans="1:35">
      <c r="A294">
        <v>5140671182.3648376</v>
      </c>
      <c r="B294" s="72">
        <v>-26.004833219999998</v>
      </c>
      <c r="D294">
        <v>5185671182.3648376</v>
      </c>
      <c r="E294" s="72">
        <v>-28.39588547</v>
      </c>
      <c r="G294">
        <v>5239311182.3648376</v>
      </c>
      <c r="H294" s="72">
        <v>-30.689167019999999</v>
      </c>
      <c r="J294">
        <v>5142171182.3648376</v>
      </c>
      <c r="K294" s="72">
        <v>-25.299903870000001</v>
      </c>
      <c r="M294">
        <v>5237811182.3648376</v>
      </c>
      <c r="N294" s="72">
        <v>-29.941028589999998</v>
      </c>
      <c r="P294">
        <v>5239533836.4779816</v>
      </c>
      <c r="Q294">
        <v>-30.224529270000001</v>
      </c>
      <c r="S294">
        <v>5142393836.4779816</v>
      </c>
      <c r="T294">
        <v>-34.01420212</v>
      </c>
      <c r="V294">
        <v>5142393836.4779816</v>
      </c>
      <c r="W294">
        <v>-34.011463169999999</v>
      </c>
      <c r="Y294">
        <v>5142393836.4779816</v>
      </c>
      <c r="Z294">
        <v>-33.894126890000003</v>
      </c>
      <c r="AB294">
        <v>5238037721.5190315</v>
      </c>
      <c r="AC294">
        <v>-29.973892209999999</v>
      </c>
      <c r="AE294">
        <v>5238035772.8705597</v>
      </c>
      <c r="AF294">
        <v>-30.041103360000001</v>
      </c>
      <c r="AH294">
        <v>5238035772.8705597</v>
      </c>
      <c r="AI294">
        <v>-29.91259003</v>
      </c>
    </row>
    <row r="295" spans="1:35">
      <c r="A295">
        <v>5140672785.5712509</v>
      </c>
      <c r="B295" s="72">
        <v>-25.67674637</v>
      </c>
      <c r="D295">
        <v>5185672785.5712509</v>
      </c>
      <c r="E295" s="72">
        <v>-27.497337340000001</v>
      </c>
      <c r="G295">
        <v>5239312785.5712509</v>
      </c>
      <c r="H295" s="72">
        <v>-29.876815799999999</v>
      </c>
      <c r="J295">
        <v>5142172785.5712509</v>
      </c>
      <c r="K295" s="72">
        <v>-24.511775969999999</v>
      </c>
      <c r="M295">
        <v>5237812785.5712509</v>
      </c>
      <c r="N295" s="72">
        <v>-29.549293519999999</v>
      </c>
      <c r="P295">
        <v>5239536352.201252</v>
      </c>
      <c r="Q295">
        <v>-29.404952999999999</v>
      </c>
      <c r="S295">
        <v>5142396352.201252</v>
      </c>
      <c r="T295">
        <v>-33.193759919999998</v>
      </c>
      <c r="V295">
        <v>5142396352.201252</v>
      </c>
      <c r="W295">
        <v>-33.201709749999999</v>
      </c>
      <c r="Y295">
        <v>5142396352.201252</v>
      </c>
      <c r="Z295">
        <v>-33.087482450000003</v>
      </c>
      <c r="AB295">
        <v>5238040253.1646013</v>
      </c>
      <c r="AC295">
        <v>-29.60438156</v>
      </c>
      <c r="AE295">
        <v>5238038296.5298653</v>
      </c>
      <c r="AF295">
        <v>-29.77960968</v>
      </c>
      <c r="AH295">
        <v>5238038296.5298653</v>
      </c>
      <c r="AI295">
        <v>-29.658813479999999</v>
      </c>
    </row>
    <row r="296" spans="1:35">
      <c r="A296">
        <v>5140674388.7776642</v>
      </c>
      <c r="B296" s="72">
        <v>-25.29781723</v>
      </c>
      <c r="D296">
        <v>5185674388.7776642</v>
      </c>
      <c r="E296" s="72">
        <v>-27.190483090000001</v>
      </c>
      <c r="G296">
        <v>5239314388.7776642</v>
      </c>
      <c r="H296" s="72">
        <v>-29.466865540000001</v>
      </c>
      <c r="J296">
        <v>5142174388.7776642</v>
      </c>
      <c r="K296" s="72">
        <v>-25.778560639999998</v>
      </c>
      <c r="M296">
        <v>5237814388.7776642</v>
      </c>
      <c r="N296" s="72">
        <v>-29.01877975</v>
      </c>
      <c r="P296">
        <v>5239538867.9245224</v>
      </c>
      <c r="Q296">
        <v>-28.560073849999998</v>
      </c>
      <c r="S296">
        <v>5142398867.9245224</v>
      </c>
      <c r="T296">
        <v>-34.462440489999999</v>
      </c>
      <c r="V296">
        <v>5142398867.9245224</v>
      </c>
      <c r="W296">
        <v>-34.497611999999997</v>
      </c>
      <c r="Y296">
        <v>5142398867.9245224</v>
      </c>
      <c r="Z296">
        <v>-34.47547531</v>
      </c>
      <c r="AB296">
        <v>5238042784.8101711</v>
      </c>
      <c r="AC296">
        <v>-29.231060029999998</v>
      </c>
      <c r="AE296">
        <v>5238040820.1891708</v>
      </c>
      <c r="AF296">
        <v>-29.288105009999999</v>
      </c>
      <c r="AH296">
        <v>5238040820.1891708</v>
      </c>
      <c r="AI296">
        <v>-29.29402924</v>
      </c>
    </row>
    <row r="297" spans="1:35">
      <c r="A297">
        <v>5140675991.9840775</v>
      </c>
      <c r="B297" s="72">
        <v>-26.261169429999999</v>
      </c>
      <c r="D297">
        <v>5185675991.9840775</v>
      </c>
      <c r="E297" s="72">
        <v>-28.09314728</v>
      </c>
      <c r="G297">
        <v>5239315991.9840775</v>
      </c>
      <c r="H297" s="72">
        <v>-30.350074769999999</v>
      </c>
      <c r="J297">
        <v>5142175991.9840775</v>
      </c>
      <c r="K297" s="72">
        <v>-26.176105499999998</v>
      </c>
      <c r="M297">
        <v>5237815991.9840775</v>
      </c>
      <c r="N297" s="72">
        <v>-29.565330509999999</v>
      </c>
      <c r="P297">
        <v>5239541383.6477928</v>
      </c>
      <c r="Q297">
        <v>-29.60903931</v>
      </c>
      <c r="S297">
        <v>5142401383.6477928</v>
      </c>
      <c r="T297">
        <v>-34.815040590000002</v>
      </c>
      <c r="V297">
        <v>5142401383.6477928</v>
      </c>
      <c r="W297">
        <v>-34.779693600000002</v>
      </c>
      <c r="Y297">
        <v>5142401383.6477928</v>
      </c>
      <c r="Z297">
        <v>-34.760478970000001</v>
      </c>
      <c r="AB297">
        <v>5238045316.4557409</v>
      </c>
      <c r="AC297">
        <v>-29.906501769999998</v>
      </c>
      <c r="AE297">
        <v>5238043343.8484764</v>
      </c>
      <c r="AF297">
        <v>-29.83164215</v>
      </c>
      <c r="AH297">
        <v>5238043343.8484764</v>
      </c>
      <c r="AI297">
        <v>-29.969722749999999</v>
      </c>
    </row>
    <row r="298" spans="1:35">
      <c r="A298">
        <v>5140677595.1904907</v>
      </c>
      <c r="B298" s="72">
        <v>-25.35088348</v>
      </c>
      <c r="D298">
        <v>5185677595.1904907</v>
      </c>
      <c r="E298" s="72">
        <v>-27.447418209999999</v>
      </c>
      <c r="G298">
        <v>5239317595.1904907</v>
      </c>
      <c r="H298" s="72">
        <v>-29.794136049999999</v>
      </c>
      <c r="J298">
        <v>5142177595.1904907</v>
      </c>
      <c r="K298" s="72">
        <v>-24.4500618</v>
      </c>
      <c r="M298">
        <v>5237817595.1904907</v>
      </c>
      <c r="N298" s="72">
        <v>-29.63365555</v>
      </c>
      <c r="P298">
        <v>5239543899.3710632</v>
      </c>
      <c r="Q298">
        <v>-28.832237240000001</v>
      </c>
      <c r="S298">
        <v>5142403899.3710632</v>
      </c>
      <c r="T298">
        <v>-33.165397640000002</v>
      </c>
      <c r="V298">
        <v>5142403899.3710632</v>
      </c>
      <c r="W298">
        <v>-33.253791810000003</v>
      </c>
      <c r="Y298">
        <v>5142403899.3710632</v>
      </c>
      <c r="Z298">
        <v>-33.271492000000002</v>
      </c>
      <c r="AB298">
        <v>5238047848.1013107</v>
      </c>
      <c r="AC298">
        <v>-29.884071349999999</v>
      </c>
      <c r="AE298">
        <v>5238045867.507782</v>
      </c>
      <c r="AF298">
        <v>-29.82359314</v>
      </c>
      <c r="AH298">
        <v>5238045867.507782</v>
      </c>
      <c r="AI298">
        <v>-29.893409729999998</v>
      </c>
    </row>
    <row r="299" spans="1:35">
      <c r="A299">
        <v>5140679198.396904</v>
      </c>
      <c r="B299" s="72">
        <v>-24.785858149999999</v>
      </c>
      <c r="D299">
        <v>5185679198.396904</v>
      </c>
      <c r="E299" s="72">
        <v>-27.44205856</v>
      </c>
      <c r="G299">
        <v>5239319198.396904</v>
      </c>
      <c r="H299" s="72">
        <v>-29.756519319999999</v>
      </c>
      <c r="J299">
        <v>5142179198.396904</v>
      </c>
      <c r="K299" s="72">
        <v>-25.188087459999998</v>
      </c>
      <c r="M299">
        <v>5237819198.396904</v>
      </c>
      <c r="N299" s="72">
        <v>-28.668342590000002</v>
      </c>
      <c r="P299">
        <v>5239546415.0943336</v>
      </c>
      <c r="Q299">
        <v>-29.14332199</v>
      </c>
      <c r="S299">
        <v>5142406415.0943336</v>
      </c>
      <c r="T299">
        <v>-34.133434299999998</v>
      </c>
      <c r="V299">
        <v>5142406415.0943336</v>
      </c>
      <c r="W299">
        <v>-34.052196500000001</v>
      </c>
      <c r="Y299">
        <v>5142406415.0943336</v>
      </c>
      <c r="Z299">
        <v>-34.088859560000003</v>
      </c>
      <c r="AB299">
        <v>5238050379.7468805</v>
      </c>
      <c r="AC299">
        <v>-28.969131470000001</v>
      </c>
      <c r="AE299">
        <v>5238048391.1670876</v>
      </c>
      <c r="AF299">
        <v>-28.972755429999999</v>
      </c>
      <c r="AH299">
        <v>5238048391.1670876</v>
      </c>
      <c r="AI299">
        <v>-29.109031680000001</v>
      </c>
    </row>
    <row r="300" spans="1:35">
      <c r="A300">
        <v>5140680801.6033173</v>
      </c>
      <c r="B300" s="72">
        <v>-25.822883610000002</v>
      </c>
      <c r="D300">
        <v>5185680801.6033173</v>
      </c>
      <c r="E300" s="72">
        <v>-28.140861510000001</v>
      </c>
      <c r="G300">
        <v>5239320801.6033173</v>
      </c>
      <c r="H300" s="72">
        <v>-30.41215897</v>
      </c>
      <c r="J300">
        <v>5142180801.6033173</v>
      </c>
      <c r="K300" s="72">
        <v>-25.297199249999998</v>
      </c>
      <c r="M300">
        <v>5237820801.6033173</v>
      </c>
      <c r="N300" s="72">
        <v>-29.68450928</v>
      </c>
      <c r="P300">
        <v>5239548930.8176041</v>
      </c>
      <c r="Q300">
        <v>-29.898273469999999</v>
      </c>
      <c r="S300">
        <v>5142408930.8176041</v>
      </c>
      <c r="T300">
        <v>-34.367961880000003</v>
      </c>
      <c r="V300">
        <v>5142408930.8176041</v>
      </c>
      <c r="W300">
        <v>-34.416290279999998</v>
      </c>
      <c r="Y300">
        <v>5142408930.8176041</v>
      </c>
      <c r="Z300">
        <v>-34.554241179999998</v>
      </c>
      <c r="AB300">
        <v>5238052911.3924503</v>
      </c>
      <c r="AC300">
        <v>-30.312828060000001</v>
      </c>
      <c r="AE300">
        <v>5238050914.8263931</v>
      </c>
      <c r="AF300">
        <v>-30.210533139999999</v>
      </c>
      <c r="AH300">
        <v>5238050914.8263931</v>
      </c>
      <c r="AI300">
        <v>-30.332878109999999</v>
      </c>
    </row>
    <row r="301" spans="1:35">
      <c r="A301">
        <v>5140682404.8097305</v>
      </c>
      <c r="B301" s="72">
        <v>-27.852348330000002</v>
      </c>
      <c r="D301">
        <v>5185682404.8097305</v>
      </c>
      <c r="E301" s="72">
        <v>-29.30512238</v>
      </c>
      <c r="G301">
        <v>5239322404.8097305</v>
      </c>
      <c r="H301" s="72">
        <v>-31.448745729999999</v>
      </c>
      <c r="J301">
        <v>5142182404.8097305</v>
      </c>
      <c r="K301" s="72">
        <v>-25.829219819999999</v>
      </c>
      <c r="M301">
        <v>5237822404.8097305</v>
      </c>
      <c r="N301" s="72">
        <v>-29.02705383</v>
      </c>
      <c r="P301">
        <v>5239551446.5408745</v>
      </c>
      <c r="Q301">
        <v>-30.985137940000001</v>
      </c>
      <c r="S301">
        <v>5142411446.5408745</v>
      </c>
      <c r="T301">
        <v>-34.555488590000003</v>
      </c>
      <c r="V301">
        <v>5142411446.5408745</v>
      </c>
      <c r="W301">
        <v>-34.498771669999996</v>
      </c>
      <c r="Y301">
        <v>5142411446.5408745</v>
      </c>
      <c r="Z301">
        <v>-34.506309510000001</v>
      </c>
      <c r="AB301">
        <v>5238055443.0380201</v>
      </c>
      <c r="AC301">
        <v>-29.16013336</v>
      </c>
      <c r="AE301">
        <v>5238053438.4856987</v>
      </c>
      <c r="AF301">
        <v>-29.16227722</v>
      </c>
      <c r="AH301">
        <v>5238053438.4856987</v>
      </c>
      <c r="AI301">
        <v>-29.28438568</v>
      </c>
    </row>
    <row r="302" spans="1:35">
      <c r="A302">
        <v>5140684008.0161438</v>
      </c>
      <c r="B302" s="72">
        <v>-24.676277160000001</v>
      </c>
      <c r="D302">
        <v>5185684008.0161438</v>
      </c>
      <c r="E302" s="72">
        <v>-26.703716279999998</v>
      </c>
      <c r="G302">
        <v>5239324008.0161438</v>
      </c>
      <c r="H302" s="72">
        <v>-29.14848709</v>
      </c>
      <c r="J302">
        <v>5142184008.0161438</v>
      </c>
      <c r="K302" s="72">
        <v>-24.512744900000001</v>
      </c>
      <c r="M302">
        <v>5237824008.0161438</v>
      </c>
      <c r="N302" s="72">
        <v>-29.429653170000002</v>
      </c>
      <c r="P302">
        <v>5239553962.2641449</v>
      </c>
      <c r="Q302">
        <v>-27.990734100000001</v>
      </c>
      <c r="S302">
        <v>5142413962.2641449</v>
      </c>
      <c r="T302">
        <v>-33.285552979999999</v>
      </c>
      <c r="V302">
        <v>5142413962.2641449</v>
      </c>
      <c r="W302">
        <v>-33.352600099999997</v>
      </c>
      <c r="Y302">
        <v>5142413962.2641449</v>
      </c>
      <c r="Z302">
        <v>-33.436622620000001</v>
      </c>
      <c r="AB302">
        <v>5238057974.6835899</v>
      </c>
      <c r="AC302">
        <v>-29.893653870000001</v>
      </c>
      <c r="AE302">
        <v>5238055962.1450043</v>
      </c>
      <c r="AF302">
        <v>-29.747459410000001</v>
      </c>
      <c r="AH302">
        <v>5238055962.1450043</v>
      </c>
      <c r="AI302">
        <v>-29.852447510000001</v>
      </c>
    </row>
    <row r="303" spans="1:35">
      <c r="A303">
        <v>5140685611.2225571</v>
      </c>
      <c r="B303" s="72">
        <v>-25.055114750000001</v>
      </c>
      <c r="D303">
        <v>5185685611.2225571</v>
      </c>
      <c r="E303" s="72">
        <v>-27.774536130000001</v>
      </c>
      <c r="G303">
        <v>5239325611.2225571</v>
      </c>
      <c r="H303" s="72">
        <v>-30.28522873</v>
      </c>
      <c r="J303">
        <v>5142185611.2225571</v>
      </c>
      <c r="K303" s="72">
        <v>-25.545082090000001</v>
      </c>
      <c r="M303">
        <v>5237825611.2225571</v>
      </c>
      <c r="N303" s="72">
        <v>-28.78069305</v>
      </c>
      <c r="P303">
        <v>5239556477.9874153</v>
      </c>
      <c r="Q303">
        <v>-29.274505619999999</v>
      </c>
      <c r="S303">
        <v>5142416477.9874153</v>
      </c>
      <c r="T303">
        <v>-34.483436580000003</v>
      </c>
      <c r="V303">
        <v>5142416477.9874153</v>
      </c>
      <c r="W303">
        <v>-34.409606930000002</v>
      </c>
      <c r="Y303">
        <v>5142416477.9874153</v>
      </c>
      <c r="Z303">
        <v>-34.407920840000003</v>
      </c>
      <c r="AB303">
        <v>5238060506.3291597</v>
      </c>
      <c r="AC303">
        <v>-28.797916409999999</v>
      </c>
      <c r="AE303">
        <v>5238058485.8043098</v>
      </c>
      <c r="AF303">
        <v>-28.850769039999999</v>
      </c>
      <c r="AH303">
        <v>5238058485.8043098</v>
      </c>
      <c r="AI303">
        <v>-29.000995639999999</v>
      </c>
    </row>
    <row r="304" spans="1:35">
      <c r="A304">
        <v>5140687214.4289703</v>
      </c>
      <c r="B304" s="72">
        <v>-25.94369507</v>
      </c>
      <c r="D304">
        <v>5185687214.4289703</v>
      </c>
      <c r="E304" s="72">
        <v>-27.273803709999999</v>
      </c>
      <c r="G304">
        <v>5239327214.4289703</v>
      </c>
      <c r="H304" s="72">
        <v>-29.43166351</v>
      </c>
      <c r="J304">
        <v>5142187214.4289703</v>
      </c>
      <c r="K304" s="72">
        <v>-24.772445680000001</v>
      </c>
      <c r="M304">
        <v>5237827214.4289703</v>
      </c>
      <c r="N304" s="72">
        <v>-29.375968929999999</v>
      </c>
      <c r="P304">
        <v>5239558993.7106857</v>
      </c>
      <c r="Q304">
        <v>-28.624042509999999</v>
      </c>
      <c r="S304">
        <v>5142418993.7106857</v>
      </c>
      <c r="T304">
        <v>-33.617980959999997</v>
      </c>
      <c r="V304">
        <v>5142418993.7106857</v>
      </c>
      <c r="W304">
        <v>-33.560344700000002</v>
      </c>
      <c r="Y304">
        <v>5142418993.7106857</v>
      </c>
      <c r="Z304">
        <v>-33.6107254</v>
      </c>
      <c r="AB304">
        <v>5238063037.9747295</v>
      </c>
      <c r="AC304">
        <v>-29.687328340000001</v>
      </c>
      <c r="AE304">
        <v>5238061009.4636154</v>
      </c>
      <c r="AF304">
        <v>-29.615707400000002</v>
      </c>
      <c r="AH304">
        <v>5238061009.4636154</v>
      </c>
      <c r="AI304">
        <v>-29.762798310000001</v>
      </c>
    </row>
    <row r="305" spans="1:35">
      <c r="A305">
        <v>5140688817.6353836</v>
      </c>
      <c r="B305" s="72">
        <v>-25.22851562</v>
      </c>
      <c r="D305">
        <v>5185688817.6353836</v>
      </c>
      <c r="E305" s="72">
        <v>-28.50882339</v>
      </c>
      <c r="G305">
        <v>5239328817.6353836</v>
      </c>
      <c r="H305" s="72">
        <v>-30.771911620000001</v>
      </c>
      <c r="J305">
        <v>5142188817.6353836</v>
      </c>
      <c r="K305" s="72">
        <v>-25.28255081</v>
      </c>
      <c r="M305">
        <v>5237828817.6353836</v>
      </c>
      <c r="N305" s="72">
        <v>-29.516307829999999</v>
      </c>
      <c r="P305">
        <v>5239561509.4339561</v>
      </c>
      <c r="Q305">
        <v>-30.287071229999999</v>
      </c>
      <c r="S305">
        <v>5142421509.4339561</v>
      </c>
      <c r="T305">
        <v>-34.436359410000001</v>
      </c>
      <c r="V305">
        <v>5142421509.4339561</v>
      </c>
      <c r="W305">
        <v>-34.345977779999998</v>
      </c>
      <c r="Y305">
        <v>5142421509.4339561</v>
      </c>
      <c r="Z305">
        <v>-34.486675259999998</v>
      </c>
      <c r="AB305">
        <v>5238065569.6202993</v>
      </c>
      <c r="AC305">
        <v>-30.310707090000001</v>
      </c>
      <c r="AE305">
        <v>5238063533.122921</v>
      </c>
      <c r="AF305">
        <v>-30.223915099999999</v>
      </c>
      <c r="AH305">
        <v>5238063533.122921</v>
      </c>
      <c r="AI305">
        <v>-30.360691070000001</v>
      </c>
    </row>
    <row r="306" spans="1:35">
      <c r="A306">
        <v>5140690420.8417969</v>
      </c>
      <c r="B306" s="72">
        <v>-25.929576869999998</v>
      </c>
      <c r="D306">
        <v>5185690420.8417969</v>
      </c>
      <c r="E306" s="72">
        <v>-27.397071839999999</v>
      </c>
      <c r="G306">
        <v>5239330420.8417969</v>
      </c>
      <c r="H306" s="72">
        <v>-29.833705899999998</v>
      </c>
      <c r="J306">
        <v>5142190420.8417969</v>
      </c>
      <c r="K306" s="72">
        <v>-26.456954960000001</v>
      </c>
      <c r="M306">
        <v>5237830420.8417969</v>
      </c>
      <c r="N306" s="72">
        <v>-30.134418490000002</v>
      </c>
      <c r="P306">
        <v>5239564025.1572266</v>
      </c>
      <c r="Q306">
        <v>-28.850563050000002</v>
      </c>
      <c r="S306">
        <v>5142424025.1572266</v>
      </c>
      <c r="T306">
        <v>-35.882152560000002</v>
      </c>
      <c r="V306">
        <v>5142424025.1572266</v>
      </c>
      <c r="W306">
        <v>-35.784904480000002</v>
      </c>
      <c r="Y306">
        <v>5142424025.1572266</v>
      </c>
      <c r="Z306">
        <v>-35.939952849999997</v>
      </c>
      <c r="AB306">
        <v>5238068101.2658691</v>
      </c>
      <c r="AC306">
        <v>-31.013858800000001</v>
      </c>
      <c r="AE306">
        <v>5238066056.7822266</v>
      </c>
      <c r="AF306">
        <v>-30.98674011</v>
      </c>
      <c r="AH306">
        <v>5238066056.7822266</v>
      </c>
      <c r="AI306">
        <v>-31.137260439999999</v>
      </c>
    </row>
    <row r="307" spans="1:35">
      <c r="A307">
        <v>5140692024.0482101</v>
      </c>
      <c r="B307" s="72">
        <v>-25.493041989999998</v>
      </c>
      <c r="D307">
        <v>5185692024.0482101</v>
      </c>
      <c r="E307" s="72">
        <v>-27.06710434</v>
      </c>
      <c r="G307">
        <v>5239332024.0482101</v>
      </c>
      <c r="H307" s="72">
        <v>-29.56442642</v>
      </c>
      <c r="J307">
        <v>5142192024.0482101</v>
      </c>
      <c r="K307" s="72">
        <v>-25.363346100000001</v>
      </c>
      <c r="M307">
        <v>5237832024.0482101</v>
      </c>
      <c r="N307" s="72">
        <v>-29.651168819999999</v>
      </c>
      <c r="P307">
        <v>5239566540.880497</v>
      </c>
      <c r="Q307">
        <v>-28.295433039999999</v>
      </c>
      <c r="S307">
        <v>5142426540.880497</v>
      </c>
      <c r="T307">
        <v>-34.340148929999998</v>
      </c>
      <c r="V307">
        <v>5142426540.880497</v>
      </c>
      <c r="W307">
        <v>-34.239482879999997</v>
      </c>
      <c r="Y307">
        <v>5142426540.880497</v>
      </c>
      <c r="Z307">
        <v>-34.388755799999998</v>
      </c>
      <c r="AB307">
        <v>5238070632.9114389</v>
      </c>
      <c r="AC307">
        <v>-30.27602005</v>
      </c>
      <c r="AE307">
        <v>5238068580.4415321</v>
      </c>
      <c r="AF307">
        <v>-30.216133119999999</v>
      </c>
      <c r="AH307">
        <v>5238068580.4415321</v>
      </c>
      <c r="AI307">
        <v>-30.35599899</v>
      </c>
    </row>
    <row r="308" spans="1:35">
      <c r="A308">
        <v>5140693627.2546234</v>
      </c>
      <c r="B308" s="72">
        <v>-25.456562040000001</v>
      </c>
      <c r="D308">
        <v>5185693627.2546234</v>
      </c>
      <c r="E308" s="72">
        <v>-28.935260769999999</v>
      </c>
      <c r="G308">
        <v>5239333627.2546234</v>
      </c>
      <c r="H308" s="72">
        <v>-31.229515079999999</v>
      </c>
      <c r="J308">
        <v>5142193627.2546234</v>
      </c>
      <c r="K308" s="72">
        <v>-25.717414860000002</v>
      </c>
      <c r="M308">
        <v>5237833627.2546234</v>
      </c>
      <c r="N308" s="72">
        <v>-29.83509827</v>
      </c>
      <c r="P308">
        <v>5239569056.6037674</v>
      </c>
      <c r="Q308">
        <v>-30.794517519999999</v>
      </c>
      <c r="S308">
        <v>5142429056.6037674</v>
      </c>
      <c r="T308">
        <v>-35.020679469999997</v>
      </c>
      <c r="V308">
        <v>5142429056.6037674</v>
      </c>
      <c r="W308">
        <v>-34.8997879</v>
      </c>
      <c r="Y308">
        <v>5142429056.6037674</v>
      </c>
      <c r="Z308">
        <v>-35.01514435</v>
      </c>
      <c r="AB308">
        <v>5238073164.5570087</v>
      </c>
      <c r="AC308">
        <v>-30.836086269999999</v>
      </c>
      <c r="AE308">
        <v>5238071104.1008377</v>
      </c>
      <c r="AF308">
        <v>-30.74756241</v>
      </c>
      <c r="AH308">
        <v>5238071104.1008377</v>
      </c>
      <c r="AI308">
        <v>-30.89385605</v>
      </c>
    </row>
    <row r="309" spans="1:35">
      <c r="A309">
        <v>5140695230.4610367</v>
      </c>
      <c r="B309" s="72">
        <v>-26.545658110000002</v>
      </c>
      <c r="D309">
        <v>5185695230.4610367</v>
      </c>
      <c r="E309" s="72">
        <v>-27.938190460000001</v>
      </c>
      <c r="G309">
        <v>5239335230.4610367</v>
      </c>
      <c r="H309" s="72">
        <v>-30.267948149999999</v>
      </c>
      <c r="J309">
        <v>5142195230.4610367</v>
      </c>
      <c r="K309" s="72">
        <v>-25.407375340000002</v>
      </c>
      <c r="M309">
        <v>5237835230.4610367</v>
      </c>
      <c r="N309" s="72">
        <v>-30.030532839999999</v>
      </c>
      <c r="P309">
        <v>5239571572.3270378</v>
      </c>
      <c r="Q309">
        <v>-29.646041870000001</v>
      </c>
      <c r="S309">
        <v>5142431572.3270378</v>
      </c>
      <c r="T309">
        <v>-34.659851070000002</v>
      </c>
      <c r="V309">
        <v>5142431572.3270378</v>
      </c>
      <c r="W309">
        <v>-34.565452579999999</v>
      </c>
      <c r="Y309">
        <v>5142431572.3270378</v>
      </c>
      <c r="Z309">
        <v>-34.70954132</v>
      </c>
      <c r="AB309">
        <v>5238075696.2025785</v>
      </c>
      <c r="AC309">
        <v>-30.90764618</v>
      </c>
      <c r="AE309">
        <v>5238073627.7601433</v>
      </c>
      <c r="AF309">
        <v>-30.835823059999999</v>
      </c>
      <c r="AH309">
        <v>5238073627.7601433</v>
      </c>
      <c r="AI309">
        <v>-30.975612640000001</v>
      </c>
    </row>
    <row r="310" spans="1:35">
      <c r="A310">
        <v>5140696833.66745</v>
      </c>
      <c r="B310" s="72">
        <v>-25.94070816</v>
      </c>
      <c r="D310">
        <v>5185696833.66745</v>
      </c>
      <c r="E310" s="72">
        <v>-28.11617279</v>
      </c>
      <c r="G310">
        <v>5239336833.66745</v>
      </c>
      <c r="H310" s="72">
        <v>-30.402866360000001</v>
      </c>
      <c r="J310">
        <v>5142196833.66745</v>
      </c>
      <c r="K310" s="72">
        <v>-25.111961359999999</v>
      </c>
      <c r="M310">
        <v>5237836833.66745</v>
      </c>
      <c r="N310" s="72">
        <v>-29.463321690000001</v>
      </c>
      <c r="P310">
        <v>5239574088.0503082</v>
      </c>
      <c r="Q310">
        <v>-29.998600010000001</v>
      </c>
      <c r="S310">
        <v>5142434088.0503082</v>
      </c>
      <c r="T310">
        <v>-33.893821719999998</v>
      </c>
      <c r="V310">
        <v>5142434088.0503082</v>
      </c>
      <c r="W310">
        <v>-33.829246519999998</v>
      </c>
      <c r="Y310">
        <v>5142434088.0503082</v>
      </c>
      <c r="Z310">
        <v>-33.99227905</v>
      </c>
      <c r="AB310">
        <v>5238078227.8481483</v>
      </c>
      <c r="AC310">
        <v>-29.75026321</v>
      </c>
      <c r="AE310">
        <v>5238076151.4194489</v>
      </c>
      <c r="AF310">
        <v>-29.647285459999999</v>
      </c>
      <c r="AH310">
        <v>5238076151.4194489</v>
      </c>
      <c r="AI310">
        <v>-29.79735565</v>
      </c>
    </row>
    <row r="311" spans="1:35">
      <c r="A311">
        <v>5140698436.8738632</v>
      </c>
      <c r="B311" s="72">
        <v>-25.947887420000001</v>
      </c>
      <c r="D311">
        <v>5185698436.8738632</v>
      </c>
      <c r="E311" s="72">
        <v>-28.636322020000001</v>
      </c>
      <c r="G311">
        <v>5239338436.8738632</v>
      </c>
      <c r="H311" s="72">
        <v>-31.006877899999999</v>
      </c>
      <c r="J311">
        <v>5142198436.8738632</v>
      </c>
      <c r="K311" s="72">
        <v>-25.640182500000002</v>
      </c>
      <c r="M311">
        <v>5237838436.8738632</v>
      </c>
      <c r="N311" s="72">
        <v>-30.556747439999999</v>
      </c>
      <c r="P311">
        <v>5239576603.7735786</v>
      </c>
      <c r="Q311">
        <v>-30.438686369999999</v>
      </c>
      <c r="S311">
        <v>5142436603.7735786</v>
      </c>
      <c r="T311">
        <v>-34.852272030000002</v>
      </c>
      <c r="V311">
        <v>5142436603.7735786</v>
      </c>
      <c r="W311">
        <v>-34.768486019999997</v>
      </c>
      <c r="Y311">
        <v>5142436603.7735786</v>
      </c>
      <c r="Z311">
        <v>-34.913848880000003</v>
      </c>
      <c r="AB311">
        <v>5238080759.4937181</v>
      </c>
      <c r="AC311">
        <v>-31.56797791</v>
      </c>
      <c r="AE311">
        <v>5238078675.0787544</v>
      </c>
      <c r="AF311">
        <v>-31.568042760000001</v>
      </c>
      <c r="AH311">
        <v>5238078675.0787544</v>
      </c>
      <c r="AI311">
        <v>-31.716545100000001</v>
      </c>
    </row>
    <row r="312" spans="1:35">
      <c r="A312">
        <v>5140700040.0802765</v>
      </c>
      <c r="B312" s="72">
        <v>-26.408790589999999</v>
      </c>
      <c r="D312">
        <v>5185700040.0802765</v>
      </c>
      <c r="E312" s="72">
        <v>-28.098968509999999</v>
      </c>
      <c r="G312">
        <v>5239340040.0802765</v>
      </c>
      <c r="H312" s="72">
        <v>-30.499450679999999</v>
      </c>
      <c r="J312">
        <v>5142200040.0802765</v>
      </c>
      <c r="K312" s="72">
        <v>-25.871952060000002</v>
      </c>
      <c r="M312">
        <v>5237840040.0802765</v>
      </c>
      <c r="N312" s="72">
        <v>-29.676391599999999</v>
      </c>
      <c r="P312">
        <v>5239579119.4968491</v>
      </c>
      <c r="Q312">
        <v>-29.876388550000001</v>
      </c>
      <c r="S312">
        <v>5142439119.4968491</v>
      </c>
      <c r="T312">
        <v>-34.839241029999997</v>
      </c>
      <c r="V312">
        <v>5142439119.4968491</v>
      </c>
      <c r="W312">
        <v>-34.770885470000003</v>
      </c>
      <c r="Y312">
        <v>5142439119.4968491</v>
      </c>
      <c r="Z312">
        <v>-34.920219420000002</v>
      </c>
      <c r="AB312">
        <v>5238083291.1392879</v>
      </c>
      <c r="AC312">
        <v>-30.172004699999999</v>
      </c>
      <c r="AE312">
        <v>5238081198.73806</v>
      </c>
      <c r="AF312">
        <v>-30.028495790000001</v>
      </c>
      <c r="AH312">
        <v>5238081198.73806</v>
      </c>
      <c r="AI312">
        <v>-30.170436859999999</v>
      </c>
    </row>
    <row r="313" spans="1:35">
      <c r="A313">
        <v>5140701643.2866898</v>
      </c>
      <c r="B313" s="72">
        <v>-25.074939730000001</v>
      </c>
      <c r="D313">
        <v>5185701643.2866898</v>
      </c>
      <c r="E313" s="72">
        <v>-27.41256714</v>
      </c>
      <c r="G313">
        <v>5239341643.2866898</v>
      </c>
      <c r="H313" s="72">
        <v>-29.956367490000002</v>
      </c>
      <c r="J313">
        <v>5142201643.2866898</v>
      </c>
      <c r="K313" s="72">
        <v>-24.10163116</v>
      </c>
      <c r="M313">
        <v>5237841643.2866898</v>
      </c>
      <c r="N313" s="72">
        <v>-28.469005580000001</v>
      </c>
      <c r="P313">
        <v>5239581635.2201195</v>
      </c>
      <c r="Q313">
        <v>-29.18868256</v>
      </c>
      <c r="S313">
        <v>5142441635.2201195</v>
      </c>
      <c r="T313">
        <v>-32.802623750000002</v>
      </c>
      <c r="V313">
        <v>5142441635.2201195</v>
      </c>
      <c r="W313">
        <v>-32.691524510000001</v>
      </c>
      <c r="Y313">
        <v>5142441635.2201195</v>
      </c>
      <c r="Z313">
        <v>-32.812000269999999</v>
      </c>
      <c r="AB313">
        <v>5238085822.7848577</v>
      </c>
      <c r="AC313">
        <v>-28.745883939999999</v>
      </c>
      <c r="AE313">
        <v>5238083722.3973656</v>
      </c>
      <c r="AF313">
        <v>-28.73550797</v>
      </c>
      <c r="AH313">
        <v>5238083722.3973656</v>
      </c>
      <c r="AI313">
        <v>-28.880634310000001</v>
      </c>
    </row>
    <row r="314" spans="1:35">
      <c r="A314">
        <v>5140703246.493103</v>
      </c>
      <c r="B314" s="72">
        <v>-25.783359529999998</v>
      </c>
      <c r="D314">
        <v>5185703246.493103</v>
      </c>
      <c r="E314" s="72">
        <v>-28.43137741</v>
      </c>
      <c r="G314">
        <v>5239343246.493103</v>
      </c>
      <c r="H314" s="72">
        <v>-30.750621800000001</v>
      </c>
      <c r="J314">
        <v>5142203246.493103</v>
      </c>
      <c r="K314" s="72">
        <v>-26.826156619999999</v>
      </c>
      <c r="M314">
        <v>5237843246.493103</v>
      </c>
      <c r="N314" s="72">
        <v>-30.864643099999999</v>
      </c>
      <c r="P314">
        <v>5239584150.9433899</v>
      </c>
      <c r="Q314">
        <v>-30.342052460000001</v>
      </c>
      <c r="S314">
        <v>5142444150.9433899</v>
      </c>
      <c r="T314">
        <v>-36.429603579999998</v>
      </c>
      <c r="V314">
        <v>5142444150.9433899</v>
      </c>
      <c r="W314">
        <v>-36.42810059</v>
      </c>
      <c r="Y314">
        <v>5142444150.9433899</v>
      </c>
      <c r="Z314">
        <v>-36.622505189999998</v>
      </c>
      <c r="AB314">
        <v>5238088354.4304276</v>
      </c>
      <c r="AC314">
        <v>-31.891899110000001</v>
      </c>
      <c r="AE314">
        <v>5238086246.0566711</v>
      </c>
      <c r="AF314">
        <v>-31.802803040000001</v>
      </c>
      <c r="AH314">
        <v>5238086246.0566711</v>
      </c>
      <c r="AI314">
        <v>-31.9523735</v>
      </c>
    </row>
    <row r="315" spans="1:35">
      <c r="A315">
        <v>5140704849.6995163</v>
      </c>
      <c r="B315" s="72">
        <v>-26.239810940000002</v>
      </c>
      <c r="D315">
        <v>5185704849.6995163</v>
      </c>
      <c r="E315" s="72">
        <v>-27.904232029999999</v>
      </c>
      <c r="G315">
        <v>5239344849.6995163</v>
      </c>
      <c r="H315" s="72">
        <v>-30.449573520000001</v>
      </c>
      <c r="J315">
        <v>5142204849.6995163</v>
      </c>
      <c r="K315" s="72">
        <v>-24.434062959999999</v>
      </c>
      <c r="M315">
        <v>5237844849.6995163</v>
      </c>
      <c r="N315" s="72">
        <v>-28.706829070000001</v>
      </c>
      <c r="P315">
        <v>5239586666.6666603</v>
      </c>
      <c r="Q315">
        <v>-29.92007065</v>
      </c>
      <c r="S315">
        <v>5142446666.6666603</v>
      </c>
      <c r="T315">
        <v>-32.93414688</v>
      </c>
      <c r="V315">
        <v>5142446666.6666603</v>
      </c>
      <c r="W315">
        <v>-32.838081359999997</v>
      </c>
      <c r="Y315">
        <v>5142446666.6666603</v>
      </c>
      <c r="Z315">
        <v>-32.978351590000003</v>
      </c>
      <c r="AB315">
        <v>5238090886.0759974</v>
      </c>
      <c r="AC315">
        <v>-28.691082000000002</v>
      </c>
      <c r="AE315">
        <v>5238088769.7159767</v>
      </c>
      <c r="AF315">
        <v>-28.62801743</v>
      </c>
      <c r="AH315">
        <v>5238088769.7159767</v>
      </c>
      <c r="AI315">
        <v>-28.773155209999999</v>
      </c>
    </row>
    <row r="316" spans="1:35">
      <c r="A316">
        <v>5140706452.9059296</v>
      </c>
      <c r="B316" s="72">
        <v>-25.858173369999999</v>
      </c>
      <c r="D316">
        <v>5185706452.9059296</v>
      </c>
      <c r="E316" s="72">
        <v>-28.76907349</v>
      </c>
      <c r="G316">
        <v>5239346452.9059296</v>
      </c>
      <c r="H316" s="72">
        <v>-31.111938479999999</v>
      </c>
      <c r="J316">
        <v>5142206452.9059296</v>
      </c>
      <c r="K316" s="72">
        <v>-25.251770019999999</v>
      </c>
      <c r="M316">
        <v>5237846452.9059296</v>
      </c>
      <c r="N316" s="72">
        <v>-30.57375717</v>
      </c>
      <c r="P316">
        <v>5239589182.3899307</v>
      </c>
      <c r="Q316">
        <v>-30.605800630000001</v>
      </c>
      <c r="S316">
        <v>5142449182.3899307</v>
      </c>
      <c r="T316">
        <v>-34.384086609999997</v>
      </c>
      <c r="V316">
        <v>5142449182.3899307</v>
      </c>
      <c r="W316">
        <v>-34.311054230000003</v>
      </c>
      <c r="Y316">
        <v>5142449182.3899307</v>
      </c>
      <c r="Z316">
        <v>-34.515052799999999</v>
      </c>
      <c r="AB316">
        <v>5238093417.7215672</v>
      </c>
      <c r="AC316">
        <v>-31.588050840000001</v>
      </c>
      <c r="AE316">
        <v>5238091293.3752823</v>
      </c>
      <c r="AF316">
        <v>-31.449382780000001</v>
      </c>
      <c r="AH316">
        <v>5238091293.3752823</v>
      </c>
      <c r="AI316">
        <v>-31.565677640000001</v>
      </c>
    </row>
    <row r="317" spans="1:35">
      <c r="A317">
        <v>5140708056.1123428</v>
      </c>
      <c r="B317" s="72">
        <v>-26.07921219</v>
      </c>
      <c r="D317">
        <v>5185708056.1123428</v>
      </c>
      <c r="E317" s="72">
        <v>-27.726074220000001</v>
      </c>
      <c r="G317">
        <v>5239348056.1123428</v>
      </c>
      <c r="H317" s="72">
        <v>-30.019897459999999</v>
      </c>
      <c r="J317">
        <v>5142208056.1123428</v>
      </c>
      <c r="K317" s="72">
        <v>-25.611320500000001</v>
      </c>
      <c r="M317">
        <v>5237848056.1123428</v>
      </c>
      <c r="N317" s="72">
        <v>-29.816539760000001</v>
      </c>
      <c r="P317">
        <v>5239591698.1132011</v>
      </c>
      <c r="Q317">
        <v>-29.326786040000002</v>
      </c>
      <c r="S317">
        <v>5142451698.1132011</v>
      </c>
      <c r="T317">
        <v>-34.517494200000002</v>
      </c>
      <c r="V317">
        <v>5142451698.1132011</v>
      </c>
      <c r="W317">
        <v>-34.362468720000003</v>
      </c>
      <c r="Y317">
        <v>5142451698.1132011</v>
      </c>
      <c r="Z317">
        <v>-34.520721440000003</v>
      </c>
      <c r="AB317">
        <v>5238095949.367137</v>
      </c>
      <c r="AC317">
        <v>-30.358837130000001</v>
      </c>
      <c r="AE317">
        <v>5238093817.0345879</v>
      </c>
      <c r="AF317">
        <v>-30.36178207</v>
      </c>
      <c r="AH317">
        <v>5238093817.0345879</v>
      </c>
      <c r="AI317">
        <v>-30.50487137</v>
      </c>
    </row>
    <row r="318" spans="1:35">
      <c r="A318">
        <v>5140709659.3187561</v>
      </c>
      <c r="B318" s="72">
        <v>-25.914794919999999</v>
      </c>
      <c r="D318">
        <v>5185709659.3187561</v>
      </c>
      <c r="E318" s="72">
        <v>-28.031211849999998</v>
      </c>
      <c r="G318">
        <v>5239349659.3187561</v>
      </c>
      <c r="H318" s="72">
        <v>-30.43098831</v>
      </c>
      <c r="J318">
        <v>5142209659.3187561</v>
      </c>
      <c r="K318" s="72">
        <v>-25.298622129999998</v>
      </c>
      <c r="M318">
        <v>5237849659.3187561</v>
      </c>
      <c r="N318" s="72">
        <v>-29.931373600000001</v>
      </c>
      <c r="P318">
        <v>5239594213.8364716</v>
      </c>
      <c r="Q318">
        <v>-29.684837340000001</v>
      </c>
      <c r="S318">
        <v>5142454213.8364716</v>
      </c>
      <c r="T318">
        <v>-34.401023860000002</v>
      </c>
      <c r="V318">
        <v>5142454213.8364716</v>
      </c>
      <c r="W318">
        <v>-34.352680210000003</v>
      </c>
      <c r="Y318">
        <v>5142454213.8364716</v>
      </c>
      <c r="Z318">
        <v>-34.575927729999997</v>
      </c>
      <c r="AB318">
        <v>5238098481.0127068</v>
      </c>
      <c r="AC318">
        <v>-30.66080475</v>
      </c>
      <c r="AE318">
        <v>5238096340.6938934</v>
      </c>
      <c r="AF318">
        <v>-30.58996964</v>
      </c>
      <c r="AH318">
        <v>5238096340.6938934</v>
      </c>
      <c r="AI318">
        <v>-30.72207642</v>
      </c>
    </row>
    <row r="319" spans="1:35">
      <c r="A319">
        <v>5140711262.5251694</v>
      </c>
      <c r="B319" s="72">
        <v>-26.044956209999999</v>
      </c>
      <c r="D319">
        <v>5185711262.5251694</v>
      </c>
      <c r="E319" s="72">
        <v>-28.769527440000001</v>
      </c>
      <c r="G319">
        <v>5239351262.5251694</v>
      </c>
      <c r="H319" s="72">
        <v>-31.274047849999999</v>
      </c>
      <c r="J319">
        <v>5142211262.5251694</v>
      </c>
      <c r="K319" s="72">
        <v>-25.441520690000001</v>
      </c>
      <c r="M319">
        <v>5237851262.5251694</v>
      </c>
      <c r="N319" s="72">
        <v>-29.17918396</v>
      </c>
      <c r="P319">
        <v>5239596729.559742</v>
      </c>
      <c r="Q319">
        <v>-30.654991150000001</v>
      </c>
      <c r="S319">
        <v>5142456729.559742</v>
      </c>
      <c r="T319">
        <v>-34.35503387</v>
      </c>
      <c r="V319">
        <v>5142456729.559742</v>
      </c>
      <c r="W319">
        <v>-34.264747620000001</v>
      </c>
      <c r="Y319">
        <v>5142456729.559742</v>
      </c>
      <c r="Z319">
        <v>-34.475090029999997</v>
      </c>
      <c r="AB319">
        <v>5238101012.6582766</v>
      </c>
      <c r="AC319">
        <v>-29.476070400000001</v>
      </c>
      <c r="AE319">
        <v>5238098864.353199</v>
      </c>
      <c r="AF319">
        <v>-29.3895874</v>
      </c>
      <c r="AH319">
        <v>5238098864.353199</v>
      </c>
      <c r="AI319">
        <v>-29.52191925</v>
      </c>
    </row>
    <row r="320" spans="1:35">
      <c r="A320">
        <v>5140712865.7315826</v>
      </c>
      <c r="B320" s="72">
        <v>-26.23145294</v>
      </c>
      <c r="D320">
        <v>5185712865.7315826</v>
      </c>
      <c r="E320" s="72">
        <v>-28.50359344</v>
      </c>
      <c r="G320">
        <v>5239352865.7315826</v>
      </c>
      <c r="H320" s="72">
        <v>-30.796154019999999</v>
      </c>
      <c r="J320">
        <v>5142212865.7315826</v>
      </c>
      <c r="K320" s="72">
        <v>-25.440841670000001</v>
      </c>
      <c r="M320">
        <v>5237852865.7315826</v>
      </c>
      <c r="N320" s="72">
        <v>-30.077781680000001</v>
      </c>
      <c r="P320">
        <v>5239599245.2830124</v>
      </c>
      <c r="Q320">
        <v>-30.201713560000002</v>
      </c>
      <c r="S320">
        <v>5142459245.2830124</v>
      </c>
      <c r="T320">
        <v>-34.355663300000003</v>
      </c>
      <c r="V320">
        <v>5142459245.2830124</v>
      </c>
      <c r="W320">
        <v>-34.282218929999999</v>
      </c>
      <c r="Y320">
        <v>5142459245.2830124</v>
      </c>
      <c r="Z320">
        <v>-34.488807680000001</v>
      </c>
      <c r="AB320">
        <v>5238103544.3038464</v>
      </c>
      <c r="AC320">
        <v>-30.784828189999999</v>
      </c>
      <c r="AE320">
        <v>5238101388.0125046</v>
      </c>
      <c r="AF320">
        <v>-30.633281709999999</v>
      </c>
      <c r="AH320">
        <v>5238101388.0125046</v>
      </c>
      <c r="AI320">
        <v>-30.747653960000001</v>
      </c>
    </row>
    <row r="321" spans="1:35">
      <c r="A321">
        <v>5140714468.9379959</v>
      </c>
      <c r="B321" s="72">
        <v>-25.784851069999998</v>
      </c>
      <c r="D321">
        <v>5185714468.9379959</v>
      </c>
      <c r="E321" s="72">
        <v>-27.657077789999999</v>
      </c>
      <c r="G321">
        <v>5239354468.9379959</v>
      </c>
      <c r="H321" s="72">
        <v>-30.056144710000002</v>
      </c>
      <c r="J321">
        <v>5142214468.9379959</v>
      </c>
      <c r="K321" s="72">
        <v>-25.52368164</v>
      </c>
      <c r="M321">
        <v>5237854468.9379959</v>
      </c>
      <c r="N321" s="72">
        <v>-29.72687531</v>
      </c>
      <c r="P321">
        <v>5239601761.0062828</v>
      </c>
      <c r="Q321">
        <v>-29.300479889999998</v>
      </c>
      <c r="S321">
        <v>5142461761.0062828</v>
      </c>
      <c r="T321">
        <v>-34.372962950000002</v>
      </c>
      <c r="V321">
        <v>5142461761.0062828</v>
      </c>
      <c r="W321">
        <v>-34.244281770000001</v>
      </c>
      <c r="Y321">
        <v>5142461761.0062828</v>
      </c>
      <c r="Z321">
        <v>-34.422931669999997</v>
      </c>
      <c r="AB321">
        <v>5238106075.9494162</v>
      </c>
      <c r="AC321">
        <v>-30.16020966</v>
      </c>
      <c r="AE321">
        <v>5238103911.6718102</v>
      </c>
      <c r="AF321">
        <v>-30.174400330000001</v>
      </c>
      <c r="AH321">
        <v>5238103911.6718102</v>
      </c>
      <c r="AI321">
        <v>-30.31813812</v>
      </c>
    </row>
    <row r="322" spans="1:35">
      <c r="A322">
        <v>5140716072.1444092</v>
      </c>
      <c r="B322" s="72">
        <v>-25.847133639999999</v>
      </c>
      <c r="D322">
        <v>5185716072.1444092</v>
      </c>
      <c r="E322" s="72">
        <v>-27.92715454</v>
      </c>
      <c r="G322">
        <v>5239356072.1444092</v>
      </c>
      <c r="H322" s="72">
        <v>-30.418891909999999</v>
      </c>
      <c r="J322">
        <v>5142216072.1444092</v>
      </c>
      <c r="K322" s="72">
        <v>-25.08268356</v>
      </c>
      <c r="M322">
        <v>5237856072.1444092</v>
      </c>
      <c r="N322" s="72">
        <v>-28.98731613</v>
      </c>
      <c r="P322">
        <v>5239604276.7295532</v>
      </c>
      <c r="Q322">
        <v>-29.430397030000002</v>
      </c>
      <c r="S322">
        <v>5142464276.7295532</v>
      </c>
      <c r="T322">
        <v>-34.028919219999999</v>
      </c>
      <c r="V322">
        <v>5142464276.7295532</v>
      </c>
      <c r="W322">
        <v>-33.95505524</v>
      </c>
      <c r="Y322">
        <v>5142464276.7295532</v>
      </c>
      <c r="Z322">
        <v>-34.162525180000003</v>
      </c>
      <c r="AB322">
        <v>5238108607.594986</v>
      </c>
      <c r="AC322">
        <v>-29.449565889999999</v>
      </c>
      <c r="AE322">
        <v>5238106435.3311157</v>
      </c>
      <c r="AF322">
        <v>-29.36190414</v>
      </c>
      <c r="AH322">
        <v>5238106435.3311157</v>
      </c>
      <c r="AI322">
        <v>-29.493556980000001</v>
      </c>
    </row>
    <row r="323" spans="1:35">
      <c r="A323">
        <v>5140717675.3508224</v>
      </c>
      <c r="B323" s="72">
        <v>-25.387317660000001</v>
      </c>
      <c r="D323">
        <v>5185717675.3508224</v>
      </c>
      <c r="E323" s="72">
        <v>-28.554767609999999</v>
      </c>
      <c r="G323">
        <v>5239357675.3508224</v>
      </c>
      <c r="H323" s="72">
        <v>-30.995014189999999</v>
      </c>
      <c r="J323">
        <v>5142217675.3508224</v>
      </c>
      <c r="K323" s="72">
        <v>-25.984828950000001</v>
      </c>
      <c r="M323">
        <v>5237857675.3508224</v>
      </c>
      <c r="N323" s="72">
        <v>-30.31269455</v>
      </c>
      <c r="P323">
        <v>5239606792.4528236</v>
      </c>
      <c r="Q323">
        <v>-30.334068299999998</v>
      </c>
      <c r="S323">
        <v>5142466792.4528236</v>
      </c>
      <c r="T323">
        <v>-34.559947970000003</v>
      </c>
      <c r="V323">
        <v>5142466792.4528236</v>
      </c>
      <c r="W323">
        <v>-34.341033940000003</v>
      </c>
      <c r="Y323">
        <v>5142466792.4528236</v>
      </c>
      <c r="Z323">
        <v>-34.512359619999998</v>
      </c>
      <c r="AB323">
        <v>5238111139.2405558</v>
      </c>
      <c r="AC323">
        <v>-30.566997529999998</v>
      </c>
      <c r="AE323">
        <v>5238108958.9904213</v>
      </c>
      <c r="AF323">
        <v>-30.522361759999999</v>
      </c>
      <c r="AH323">
        <v>5238108958.9904213</v>
      </c>
      <c r="AI323">
        <v>-30.65111542</v>
      </c>
    </row>
    <row r="324" spans="1:35">
      <c r="A324">
        <v>5140719278.5572357</v>
      </c>
      <c r="B324" s="72">
        <v>-26.76015091</v>
      </c>
      <c r="D324">
        <v>5185719278.5572357</v>
      </c>
      <c r="E324" s="72">
        <v>-29.182285310000001</v>
      </c>
      <c r="G324">
        <v>5239359278.5572357</v>
      </c>
      <c r="H324" s="72">
        <v>-31.723747249999999</v>
      </c>
      <c r="J324">
        <v>5142219278.5572357</v>
      </c>
      <c r="K324" s="72">
        <v>-25.061351779999999</v>
      </c>
      <c r="M324">
        <v>5237859278.5572357</v>
      </c>
      <c r="N324" s="72">
        <v>-30.052749630000001</v>
      </c>
      <c r="P324">
        <v>5239609308.1760941</v>
      </c>
      <c r="Q324">
        <v>-31.18545151</v>
      </c>
      <c r="S324">
        <v>5142469308.1760941</v>
      </c>
      <c r="T324">
        <v>-33.731922150000003</v>
      </c>
      <c r="V324">
        <v>5142469308.1760941</v>
      </c>
      <c r="W324">
        <v>-33.701305390000002</v>
      </c>
      <c r="Y324">
        <v>5142469308.1760941</v>
      </c>
      <c r="Z324">
        <v>-34.014251710000003</v>
      </c>
      <c r="AB324">
        <v>5238113670.8861256</v>
      </c>
      <c r="AC324">
        <v>-30.10710907</v>
      </c>
      <c r="AE324">
        <v>5238111482.6497269</v>
      </c>
      <c r="AF324">
        <v>-29.98126602</v>
      </c>
      <c r="AH324">
        <v>5238111482.6497269</v>
      </c>
      <c r="AI324">
        <v>-30.097309110000001</v>
      </c>
    </row>
    <row r="325" spans="1:35">
      <c r="A325">
        <v>5140720881.763649</v>
      </c>
      <c r="B325" s="72">
        <v>-26.045013430000001</v>
      </c>
      <c r="D325">
        <v>5185720881.763649</v>
      </c>
      <c r="E325" s="72">
        <v>-27.789440160000002</v>
      </c>
      <c r="G325">
        <v>5239360881.763649</v>
      </c>
      <c r="H325" s="72">
        <v>-30.2839241</v>
      </c>
      <c r="J325">
        <v>5142220881.763649</v>
      </c>
      <c r="K325" s="72">
        <v>-25.538394929999999</v>
      </c>
      <c r="M325">
        <v>5237860881.763649</v>
      </c>
      <c r="N325" s="72">
        <v>-29.51779938</v>
      </c>
      <c r="P325">
        <v>5239611823.8993645</v>
      </c>
      <c r="Q325">
        <v>-29.449661249999998</v>
      </c>
      <c r="S325">
        <v>5142471823.8993645</v>
      </c>
      <c r="T325">
        <v>-34.408622739999998</v>
      </c>
      <c r="V325">
        <v>5142471823.8993645</v>
      </c>
      <c r="W325">
        <v>-34.259712219999997</v>
      </c>
      <c r="Y325">
        <v>5142471823.8993645</v>
      </c>
      <c r="Z325">
        <v>-34.417137150000002</v>
      </c>
      <c r="AB325">
        <v>5238116202.5316954</v>
      </c>
      <c r="AC325">
        <v>-29.952415469999998</v>
      </c>
      <c r="AE325">
        <v>5238114006.3090324</v>
      </c>
      <c r="AF325">
        <v>-29.945270539999999</v>
      </c>
      <c r="AH325">
        <v>5238114006.3090324</v>
      </c>
      <c r="AI325">
        <v>-30.089569090000001</v>
      </c>
    </row>
    <row r="326" spans="1:35">
      <c r="A326">
        <v>5140722484.9700623</v>
      </c>
      <c r="B326" s="72">
        <v>-25.265174869999999</v>
      </c>
      <c r="D326">
        <v>5185722484.9700623</v>
      </c>
      <c r="E326" s="72">
        <v>-28.026191709999999</v>
      </c>
      <c r="G326">
        <v>5239362484.9700623</v>
      </c>
      <c r="H326" s="72">
        <v>-30.476566309999999</v>
      </c>
      <c r="J326">
        <v>5142222484.9700623</v>
      </c>
      <c r="K326" s="72">
        <v>-24.83738327</v>
      </c>
      <c r="M326">
        <v>5237862484.9700623</v>
      </c>
      <c r="N326" s="72">
        <v>-29.70290756</v>
      </c>
      <c r="P326">
        <v>5239614339.6226349</v>
      </c>
      <c r="Q326">
        <v>-29.676677699999999</v>
      </c>
      <c r="S326">
        <v>5142474339.6226349</v>
      </c>
      <c r="T326">
        <v>-33.675231930000002</v>
      </c>
      <c r="V326">
        <v>5142474339.6226349</v>
      </c>
      <c r="W326">
        <v>-33.623210909999997</v>
      </c>
      <c r="Y326">
        <v>5142474339.6226349</v>
      </c>
      <c r="Z326">
        <v>-33.89862823</v>
      </c>
      <c r="AB326">
        <v>5238118734.1772652</v>
      </c>
      <c r="AC326">
        <v>-30.11803055</v>
      </c>
      <c r="AE326">
        <v>5238116529.968338</v>
      </c>
      <c r="AF326">
        <v>-30.028617860000001</v>
      </c>
      <c r="AH326">
        <v>5238116529.968338</v>
      </c>
      <c r="AI326">
        <v>-30.156139369999998</v>
      </c>
    </row>
    <row r="327" spans="1:35">
      <c r="A327">
        <v>5140724088.1764755</v>
      </c>
      <c r="B327" s="72">
        <v>-26.998283390000001</v>
      </c>
      <c r="D327">
        <v>5185724088.1764755</v>
      </c>
      <c r="E327" s="72">
        <v>-28.318492890000002</v>
      </c>
      <c r="G327">
        <v>5239364088.1764755</v>
      </c>
      <c r="H327" s="72">
        <v>-30.7051506</v>
      </c>
      <c r="J327">
        <v>5142224088.1764755</v>
      </c>
      <c r="K327" s="72">
        <v>-26.02719879</v>
      </c>
      <c r="M327">
        <v>5237864088.1764755</v>
      </c>
      <c r="N327" s="72">
        <v>-29.694740299999999</v>
      </c>
      <c r="P327">
        <v>5239616855.3459053</v>
      </c>
      <c r="Q327">
        <v>-30.185455319999999</v>
      </c>
      <c r="S327">
        <v>5142476855.3459053</v>
      </c>
      <c r="T327">
        <v>-35.172222140000002</v>
      </c>
      <c r="V327">
        <v>5142476855.3459053</v>
      </c>
      <c r="W327">
        <v>-35.031089780000002</v>
      </c>
      <c r="Y327">
        <v>5142476855.3459053</v>
      </c>
      <c r="Z327">
        <v>-35.18709183</v>
      </c>
      <c r="AB327">
        <v>5238121265.822835</v>
      </c>
      <c r="AC327">
        <v>-30.267372129999998</v>
      </c>
      <c r="AE327">
        <v>5238119053.6276436</v>
      </c>
      <c r="AF327">
        <v>-30.206993099999998</v>
      </c>
      <c r="AH327">
        <v>5238119053.6276436</v>
      </c>
      <c r="AI327">
        <v>-30.339427950000001</v>
      </c>
    </row>
    <row r="328" spans="1:35">
      <c r="A328">
        <v>5140725691.3828888</v>
      </c>
      <c r="B328" s="72">
        <v>-24.68296432</v>
      </c>
      <c r="D328">
        <v>5185725691.3828888</v>
      </c>
      <c r="E328" s="72">
        <v>-27.390541079999998</v>
      </c>
      <c r="G328">
        <v>5239365691.3828888</v>
      </c>
      <c r="H328" s="72">
        <v>-29.781326289999999</v>
      </c>
      <c r="J328">
        <v>5142225691.3828888</v>
      </c>
      <c r="K328" s="72">
        <v>-25.388938899999999</v>
      </c>
      <c r="M328">
        <v>5237865691.3828888</v>
      </c>
      <c r="N328" s="72">
        <v>-29.779922490000001</v>
      </c>
      <c r="P328">
        <v>5239619371.0691757</v>
      </c>
      <c r="Q328">
        <v>-28.777137759999999</v>
      </c>
      <c r="S328">
        <v>5142479371.0691757</v>
      </c>
      <c r="T328">
        <v>-34.342567440000003</v>
      </c>
      <c r="V328">
        <v>5142479371.0691757</v>
      </c>
      <c r="W328">
        <v>-34.26345062</v>
      </c>
      <c r="Y328">
        <v>5142479371.0691757</v>
      </c>
      <c r="Z328">
        <v>-34.475395200000001</v>
      </c>
      <c r="AB328">
        <v>5238123797.4684048</v>
      </c>
      <c r="AC328">
        <v>-30.151344300000002</v>
      </c>
      <c r="AE328">
        <v>5238121577.2869492</v>
      </c>
      <c r="AF328">
        <v>-30.046131129999999</v>
      </c>
      <c r="AH328">
        <v>5238121577.2869492</v>
      </c>
      <c r="AI328">
        <v>-30.177291870000001</v>
      </c>
    </row>
    <row r="329" spans="1:35">
      <c r="A329">
        <v>5140727294.5893021</v>
      </c>
      <c r="B329" s="72">
        <v>-27.561859129999998</v>
      </c>
      <c r="D329">
        <v>5185727294.5893021</v>
      </c>
      <c r="E329" s="72">
        <v>-28.776775359999998</v>
      </c>
      <c r="G329">
        <v>5239367294.5893021</v>
      </c>
      <c r="H329" s="72">
        <v>-31.375041960000001</v>
      </c>
      <c r="J329">
        <v>5142227294.5893021</v>
      </c>
      <c r="K329" s="72">
        <v>-25.886890409999999</v>
      </c>
      <c r="M329">
        <v>5237867294.5893021</v>
      </c>
      <c r="N329" s="72">
        <v>-30.627826689999999</v>
      </c>
      <c r="P329">
        <v>5239621886.7924461</v>
      </c>
      <c r="Q329">
        <v>-30.761802670000002</v>
      </c>
      <c r="S329">
        <v>5142481886.7924461</v>
      </c>
      <c r="T329">
        <v>-35.001850130000001</v>
      </c>
      <c r="V329">
        <v>5142481886.7924461</v>
      </c>
      <c r="W329">
        <v>-34.909290310000003</v>
      </c>
      <c r="Y329">
        <v>5142481886.7924461</v>
      </c>
      <c r="Z329">
        <v>-35.106952669999998</v>
      </c>
      <c r="AB329">
        <v>5238126329.1139746</v>
      </c>
      <c r="AC329">
        <v>-31.290699010000001</v>
      </c>
      <c r="AE329">
        <v>5238124100.9462547</v>
      </c>
      <c r="AF329">
        <v>-31.252834320000002</v>
      </c>
      <c r="AH329">
        <v>5238124100.9462547</v>
      </c>
      <c r="AI329">
        <v>-31.383930209999999</v>
      </c>
    </row>
    <row r="330" spans="1:35">
      <c r="A330">
        <v>5140728897.7957153</v>
      </c>
      <c r="B330" s="72">
        <v>-25.649414060000002</v>
      </c>
      <c r="D330">
        <v>5185728897.7957153</v>
      </c>
      <c r="E330" s="72">
        <v>-27.986824039999998</v>
      </c>
      <c r="G330">
        <v>5239368897.7957153</v>
      </c>
      <c r="H330" s="72">
        <v>-30.45794296</v>
      </c>
      <c r="J330">
        <v>5142228897.7957153</v>
      </c>
      <c r="K330" s="72">
        <v>-25.51844788</v>
      </c>
      <c r="M330">
        <v>5237868897.7957153</v>
      </c>
      <c r="N330" s="72">
        <v>-29.758319849999999</v>
      </c>
      <c r="P330">
        <v>5239624402.5157166</v>
      </c>
      <c r="Q330">
        <v>-29.740058900000001</v>
      </c>
      <c r="S330">
        <v>5142484402.5157166</v>
      </c>
      <c r="T330">
        <v>-34.495983119999998</v>
      </c>
      <c r="V330">
        <v>5142484402.5157166</v>
      </c>
      <c r="W330">
        <v>-34.337257389999998</v>
      </c>
      <c r="Y330">
        <v>5142484402.5157166</v>
      </c>
      <c r="Z330">
        <v>-34.457374569999999</v>
      </c>
      <c r="AB330">
        <v>5238128860.7595444</v>
      </c>
      <c r="AC330">
        <v>-30.41288376</v>
      </c>
      <c r="AE330">
        <v>5238126624.6055603</v>
      </c>
      <c r="AF330">
        <v>-30.353050230000001</v>
      </c>
      <c r="AH330">
        <v>5238126624.6055603</v>
      </c>
      <c r="AI330">
        <v>-30.491592409999999</v>
      </c>
    </row>
    <row r="331" spans="1:35">
      <c r="A331">
        <v>5140730501.0021286</v>
      </c>
      <c r="B331" s="72">
        <v>-25.589813230000001</v>
      </c>
      <c r="D331">
        <v>5185730501.0021286</v>
      </c>
      <c r="E331" s="72">
        <v>-28.579990389999999</v>
      </c>
      <c r="G331">
        <v>5239370501.0021286</v>
      </c>
      <c r="H331" s="72">
        <v>-30.956649779999999</v>
      </c>
      <c r="J331">
        <v>5142230501.0021286</v>
      </c>
      <c r="K331" s="72">
        <v>-25.857547759999999</v>
      </c>
      <c r="M331">
        <v>5237870501.0021286</v>
      </c>
      <c r="N331" s="72">
        <v>-30.875129699999999</v>
      </c>
      <c r="P331">
        <v>5239626918.238987</v>
      </c>
      <c r="Q331">
        <v>-30.504722600000001</v>
      </c>
      <c r="S331">
        <v>5142486918.238987</v>
      </c>
      <c r="T331">
        <v>-34.816894529999999</v>
      </c>
      <c r="V331">
        <v>5142486918.238987</v>
      </c>
      <c r="W331">
        <v>-34.743370059999997</v>
      </c>
      <c r="Y331">
        <v>5142486918.238987</v>
      </c>
      <c r="Z331">
        <v>-34.95023346</v>
      </c>
      <c r="AB331">
        <v>5238131392.4051142</v>
      </c>
      <c r="AC331">
        <v>-31.354427340000001</v>
      </c>
      <c r="AE331">
        <v>5238129148.2648659</v>
      </c>
      <c r="AF331">
        <v>-31.252834320000002</v>
      </c>
      <c r="AH331">
        <v>5238129148.2648659</v>
      </c>
      <c r="AI331">
        <v>-31.37813568</v>
      </c>
    </row>
    <row r="332" spans="1:35">
      <c r="A332">
        <v>5140732104.2085419</v>
      </c>
      <c r="B332" s="72">
        <v>-26.181610110000001</v>
      </c>
      <c r="D332">
        <v>5185732104.2085419</v>
      </c>
      <c r="E332" s="72">
        <v>-27.644451140000001</v>
      </c>
      <c r="G332">
        <v>5239372104.2085419</v>
      </c>
      <c r="H332" s="72">
        <v>-30.222568509999999</v>
      </c>
      <c r="J332">
        <v>5142232104.2085419</v>
      </c>
      <c r="K332" s="72">
        <v>-25.331325530000001</v>
      </c>
      <c r="M332">
        <v>5237872104.2085419</v>
      </c>
      <c r="N332" s="72">
        <v>-29.527725220000001</v>
      </c>
      <c r="P332">
        <v>5239629433.9622574</v>
      </c>
      <c r="Q332">
        <v>-28.987804409999999</v>
      </c>
      <c r="S332">
        <v>5142489433.9622574</v>
      </c>
      <c r="T332">
        <v>-34.447162630000001</v>
      </c>
      <c r="V332">
        <v>5142489433.9622574</v>
      </c>
      <c r="W332">
        <v>-34.387226099999999</v>
      </c>
      <c r="Y332">
        <v>5142489433.9622574</v>
      </c>
      <c r="Z332">
        <v>-34.596485139999999</v>
      </c>
      <c r="AB332">
        <v>5238133924.050684</v>
      </c>
      <c r="AC332">
        <v>-30.08424759</v>
      </c>
      <c r="AE332">
        <v>5238131671.9241714</v>
      </c>
      <c r="AF332">
        <v>-30.04745483</v>
      </c>
      <c r="AH332">
        <v>5238131671.9241714</v>
      </c>
      <c r="AI332">
        <v>-30.177841189999999</v>
      </c>
    </row>
    <row r="333" spans="1:35">
      <c r="A333">
        <v>5140733707.4149551</v>
      </c>
      <c r="B333" s="72">
        <v>-27.024284359999999</v>
      </c>
      <c r="D333">
        <v>5185733707.4149551</v>
      </c>
      <c r="E333" s="72">
        <v>-29.366935730000002</v>
      </c>
      <c r="G333">
        <v>5239373707.4149551</v>
      </c>
      <c r="H333" s="72">
        <v>-31.70232773</v>
      </c>
      <c r="J333">
        <v>5142233707.4149551</v>
      </c>
      <c r="K333" s="72">
        <v>-25.765544890000001</v>
      </c>
      <c r="M333">
        <v>5237873707.4149551</v>
      </c>
      <c r="N333" s="72">
        <v>-30.375415799999999</v>
      </c>
      <c r="P333">
        <v>5239631949.6855278</v>
      </c>
      <c r="Q333">
        <v>-31.20196533</v>
      </c>
      <c r="S333">
        <v>5142491949.6855278</v>
      </c>
      <c r="T333">
        <v>-34.951660160000003</v>
      </c>
      <c r="V333">
        <v>5142491949.6855278</v>
      </c>
      <c r="W333">
        <v>-34.833213809999997</v>
      </c>
      <c r="Y333">
        <v>5142491949.6855278</v>
      </c>
      <c r="Z333">
        <v>-34.982959749999999</v>
      </c>
      <c r="AB333">
        <v>5238136455.6962538</v>
      </c>
      <c r="AC333">
        <v>-31.146392819999999</v>
      </c>
      <c r="AE333">
        <v>5238134195.583477</v>
      </c>
      <c r="AF333">
        <v>-31.06009293</v>
      </c>
      <c r="AH333">
        <v>5238134195.583477</v>
      </c>
      <c r="AI333">
        <v>-31.1868248</v>
      </c>
    </row>
    <row r="334" spans="1:35">
      <c r="A334">
        <v>5140735310.6213684</v>
      </c>
      <c r="B334" s="72">
        <v>-25.4714241</v>
      </c>
      <c r="D334">
        <v>5185735310.6213684</v>
      </c>
      <c r="E334" s="72">
        <v>-28.73126602</v>
      </c>
      <c r="G334">
        <v>5239375310.6213684</v>
      </c>
      <c r="H334" s="72">
        <v>-31.20939636</v>
      </c>
      <c r="J334">
        <v>5142235310.6213684</v>
      </c>
      <c r="K334" s="72">
        <v>-25.353408810000001</v>
      </c>
      <c r="M334">
        <v>5237875310.6213684</v>
      </c>
      <c r="N334" s="72">
        <v>-29.930690769999998</v>
      </c>
      <c r="P334">
        <v>5239634465.4087982</v>
      </c>
      <c r="Q334">
        <v>-30.545249940000001</v>
      </c>
      <c r="S334">
        <v>5142494465.4087982</v>
      </c>
      <c r="T334">
        <v>-34.58359909</v>
      </c>
      <c r="V334">
        <v>5142494465.4087982</v>
      </c>
      <c r="W334">
        <v>-34.501518249999997</v>
      </c>
      <c r="Y334">
        <v>5142494465.4087982</v>
      </c>
      <c r="Z334">
        <v>-34.679450989999999</v>
      </c>
      <c r="AB334">
        <v>5238138987.3418236</v>
      </c>
      <c r="AC334">
        <v>-30.69358063</v>
      </c>
      <c r="AE334">
        <v>5238136719.2427826</v>
      </c>
      <c r="AF334">
        <v>-30.62386322</v>
      </c>
      <c r="AH334">
        <v>5238136719.2427826</v>
      </c>
      <c r="AI334">
        <v>-30.757869719999999</v>
      </c>
    </row>
    <row r="335" spans="1:35">
      <c r="A335">
        <v>5140736913.8277817</v>
      </c>
      <c r="B335" s="72">
        <v>-27.406764979999998</v>
      </c>
      <c r="D335">
        <v>5185736913.8277817</v>
      </c>
      <c r="E335" s="72">
        <v>-28.65205765</v>
      </c>
      <c r="G335">
        <v>5239376913.8277817</v>
      </c>
      <c r="H335" s="72">
        <v>-31.12806702</v>
      </c>
      <c r="J335">
        <v>5142236913.8277817</v>
      </c>
      <c r="K335" s="72">
        <v>-25.049365999999999</v>
      </c>
      <c r="M335">
        <v>5237876913.8277817</v>
      </c>
      <c r="N335" s="72">
        <v>-29.416358949999999</v>
      </c>
      <c r="P335">
        <v>5239636981.1320686</v>
      </c>
      <c r="Q335">
        <v>-30.46187973</v>
      </c>
      <c r="S335">
        <v>5142496981.1320686</v>
      </c>
      <c r="T335">
        <v>-33.86743164</v>
      </c>
      <c r="V335">
        <v>5142496981.1320686</v>
      </c>
      <c r="W335">
        <v>-33.79164505</v>
      </c>
      <c r="Y335">
        <v>5142496981.1320686</v>
      </c>
      <c r="Z335">
        <v>-34.011558530000002</v>
      </c>
      <c r="AB335">
        <v>5238141518.9873934</v>
      </c>
      <c r="AC335">
        <v>-29.750526430000001</v>
      </c>
      <c r="AE335">
        <v>5238139242.9020882</v>
      </c>
      <c r="AF335">
        <v>-29.670925140000001</v>
      </c>
      <c r="AH335">
        <v>5238139242.9020882</v>
      </c>
      <c r="AI335">
        <v>-29.7962265</v>
      </c>
    </row>
    <row r="336" spans="1:35">
      <c r="A336">
        <v>5140738517.0341949</v>
      </c>
      <c r="B336" s="72">
        <v>-25.140895839999999</v>
      </c>
      <c r="D336">
        <v>5185738517.0341949</v>
      </c>
      <c r="E336" s="72">
        <v>-27.838935849999999</v>
      </c>
      <c r="G336">
        <v>5239378517.0341949</v>
      </c>
      <c r="H336" s="72">
        <v>-30.34886169</v>
      </c>
      <c r="J336">
        <v>5142238517.0341949</v>
      </c>
      <c r="K336" s="72">
        <v>-24.689373020000001</v>
      </c>
      <c r="M336">
        <v>5237878517.0341949</v>
      </c>
      <c r="N336" s="72">
        <v>-29.749549869999999</v>
      </c>
      <c r="P336">
        <v>5239639496.8553391</v>
      </c>
      <c r="Q336">
        <v>-29.461578370000002</v>
      </c>
      <c r="S336">
        <v>5142499496.8553391</v>
      </c>
      <c r="T336">
        <v>-33.515991210000003</v>
      </c>
      <c r="V336">
        <v>5142499496.8553391</v>
      </c>
      <c r="W336">
        <v>-33.368236539999998</v>
      </c>
      <c r="Y336">
        <v>5142499496.8553391</v>
      </c>
      <c r="Z336">
        <v>-33.530632019999999</v>
      </c>
      <c r="AB336">
        <v>5238144050.6329632</v>
      </c>
      <c r="AC336">
        <v>-30.236892699999999</v>
      </c>
      <c r="AE336">
        <v>5238141766.5613937</v>
      </c>
      <c r="AF336">
        <v>-30.12046814</v>
      </c>
      <c r="AH336">
        <v>5238141766.5613937</v>
      </c>
      <c r="AI336">
        <v>-30.255676269999999</v>
      </c>
    </row>
    <row r="337" spans="1:35">
      <c r="A337">
        <v>5140740120.2406082</v>
      </c>
      <c r="B337" s="72">
        <v>-25.61590958</v>
      </c>
      <c r="D337">
        <v>5185740120.2406082</v>
      </c>
      <c r="E337" s="72">
        <v>-27.200492860000001</v>
      </c>
      <c r="G337">
        <v>5239380120.2406082</v>
      </c>
      <c r="H337" s="72">
        <v>-29.72135162</v>
      </c>
      <c r="J337">
        <v>5142240120.2406082</v>
      </c>
      <c r="K337" s="72">
        <v>-25.130317689999998</v>
      </c>
      <c r="M337">
        <v>5237880120.2406082</v>
      </c>
      <c r="N337" s="72">
        <v>-28.81049728</v>
      </c>
      <c r="P337">
        <v>5239642012.5786095</v>
      </c>
      <c r="Q337">
        <v>-28.9174881</v>
      </c>
      <c r="S337">
        <v>5142502012.5786095</v>
      </c>
      <c r="T337">
        <v>-34.105194089999998</v>
      </c>
      <c r="V337">
        <v>5142502012.5786095</v>
      </c>
      <c r="W337">
        <v>-34.062896729999999</v>
      </c>
      <c r="Y337">
        <v>5142502012.5786095</v>
      </c>
      <c r="Z337">
        <v>-34.281455989999998</v>
      </c>
      <c r="AB337">
        <v>5238146582.278533</v>
      </c>
      <c r="AC337">
        <v>-29.174003599999999</v>
      </c>
      <c r="AE337">
        <v>5238144290.2206993</v>
      </c>
      <c r="AF337">
        <v>-29.171333310000001</v>
      </c>
      <c r="AH337">
        <v>5238144290.2206993</v>
      </c>
      <c r="AI337">
        <v>-29.293338779999999</v>
      </c>
    </row>
    <row r="338" spans="1:35">
      <c r="A338">
        <v>5140741723.4470215</v>
      </c>
      <c r="B338" s="72">
        <v>-25.93245697</v>
      </c>
      <c r="D338">
        <v>5185741723.4470215</v>
      </c>
      <c r="E338" s="72">
        <v>-28.85459518</v>
      </c>
      <c r="G338">
        <v>5239381723.4470215</v>
      </c>
      <c r="H338" s="72">
        <v>-31.23145294</v>
      </c>
      <c r="J338">
        <v>5142241723.4470215</v>
      </c>
      <c r="K338" s="72">
        <v>-26.319507600000001</v>
      </c>
      <c r="M338">
        <v>5237881723.4470215</v>
      </c>
      <c r="N338" s="72">
        <v>-31.154064179999999</v>
      </c>
      <c r="P338">
        <v>5239644528.3018799</v>
      </c>
      <c r="Q338">
        <v>-30.57279205</v>
      </c>
      <c r="S338">
        <v>5142504528.3018799</v>
      </c>
      <c r="T338">
        <v>-35.392539980000002</v>
      </c>
      <c r="V338">
        <v>5142504528.3018799</v>
      </c>
      <c r="W338">
        <v>-35.324348450000002</v>
      </c>
      <c r="Y338">
        <v>5142504528.3018799</v>
      </c>
      <c r="Z338">
        <v>-35.52300262</v>
      </c>
      <c r="AB338">
        <v>5238149113.9241028</v>
      </c>
      <c r="AC338">
        <v>-31.74358368</v>
      </c>
      <c r="AE338">
        <v>5238146813.8800049</v>
      </c>
      <c r="AF338">
        <v>-31.6881752</v>
      </c>
      <c r="AH338">
        <v>5238146813.8800049</v>
      </c>
      <c r="AI338">
        <v>-31.816749569999999</v>
      </c>
    </row>
    <row r="339" spans="1:35">
      <c r="A339">
        <v>5140743326.6534348</v>
      </c>
      <c r="B339" s="72">
        <v>-26.286064150000001</v>
      </c>
      <c r="D339">
        <v>5185743326.6534348</v>
      </c>
      <c r="E339" s="72">
        <v>-28.36649323</v>
      </c>
      <c r="G339">
        <v>5239383326.6534348</v>
      </c>
      <c r="H339" s="72">
        <v>-30.7910614</v>
      </c>
      <c r="J339">
        <v>5142243326.6534348</v>
      </c>
      <c r="K339" s="72">
        <v>-25.628177640000001</v>
      </c>
      <c r="M339">
        <v>5237883326.6534348</v>
      </c>
      <c r="N339" s="72">
        <v>-30.72716522</v>
      </c>
      <c r="P339">
        <v>5239647044.0251503</v>
      </c>
      <c r="Q339">
        <v>-30.25931168</v>
      </c>
      <c r="S339">
        <v>5142507044.0251503</v>
      </c>
      <c r="T339">
        <v>-34.232154850000001</v>
      </c>
      <c r="V339">
        <v>5142507044.0251503</v>
      </c>
      <c r="W339">
        <v>-34.101428990000002</v>
      </c>
      <c r="Y339">
        <v>5142507044.0251503</v>
      </c>
      <c r="Z339">
        <v>-34.312477110000003</v>
      </c>
      <c r="AB339">
        <v>5238151645.5696726</v>
      </c>
      <c r="AC339">
        <v>-30.849983219999999</v>
      </c>
      <c r="AE339">
        <v>5238149337.5393105</v>
      </c>
      <c r="AF339">
        <v>-30.78308105</v>
      </c>
      <c r="AH339">
        <v>5238149337.5393105</v>
      </c>
      <c r="AI339">
        <v>-30.912467960000001</v>
      </c>
    </row>
    <row r="340" spans="1:35">
      <c r="A340">
        <v>5140744929.859848</v>
      </c>
      <c r="B340" s="72">
        <v>-25.173095700000001</v>
      </c>
      <c r="D340">
        <v>5185744929.859848</v>
      </c>
      <c r="E340" s="72">
        <v>-27.71358871</v>
      </c>
      <c r="G340">
        <v>5239384929.859848</v>
      </c>
      <c r="H340" s="72">
        <v>-30.288547520000002</v>
      </c>
      <c r="J340">
        <v>5142244929.859848</v>
      </c>
      <c r="K340" s="72">
        <v>-25.253963469999999</v>
      </c>
      <c r="M340">
        <v>5237884929.859848</v>
      </c>
      <c r="N340" s="72">
        <v>-29.218418119999999</v>
      </c>
      <c r="P340">
        <v>5239649559.7484207</v>
      </c>
      <c r="Q340">
        <v>-29.5668869</v>
      </c>
      <c r="S340">
        <v>5142509559.7484207</v>
      </c>
      <c r="T340">
        <v>-33.985523219999997</v>
      </c>
      <c r="V340">
        <v>5142509559.7484207</v>
      </c>
      <c r="W340">
        <v>-33.892749790000003</v>
      </c>
      <c r="Y340">
        <v>5142509559.7484207</v>
      </c>
      <c r="Z340">
        <v>-34.098705289999998</v>
      </c>
      <c r="AB340">
        <v>5238154177.2152424</v>
      </c>
      <c r="AC340">
        <v>-29.347808839999999</v>
      </c>
      <c r="AE340">
        <v>5238151861.198616</v>
      </c>
      <c r="AF340">
        <v>-29.266487120000001</v>
      </c>
      <c r="AH340">
        <v>5238151861.198616</v>
      </c>
      <c r="AI340">
        <v>-29.388603209999999</v>
      </c>
    </row>
    <row r="341" spans="1:35">
      <c r="A341">
        <v>5140746533.0662613</v>
      </c>
      <c r="B341" s="72">
        <v>-25.58140182</v>
      </c>
      <c r="D341">
        <v>5185746533.0662613</v>
      </c>
      <c r="E341" s="72">
        <v>-27.1243515</v>
      </c>
      <c r="G341">
        <v>5239386533.0662613</v>
      </c>
      <c r="H341" s="72">
        <v>-29.58767319</v>
      </c>
      <c r="J341">
        <v>5142246533.0662613</v>
      </c>
      <c r="K341" s="72">
        <v>-25.090225220000001</v>
      </c>
      <c r="M341">
        <v>5237886533.0662613</v>
      </c>
      <c r="N341" s="72">
        <v>-29.247642519999999</v>
      </c>
      <c r="P341">
        <v>5239652075.4716911</v>
      </c>
      <c r="Q341">
        <v>-28.742588040000001</v>
      </c>
      <c r="S341">
        <v>5142512075.4716911</v>
      </c>
      <c r="T341">
        <v>-33.750541689999999</v>
      </c>
      <c r="V341">
        <v>5142512075.4716911</v>
      </c>
      <c r="W341">
        <v>-33.740661619999997</v>
      </c>
      <c r="Y341">
        <v>5142512075.4716911</v>
      </c>
      <c r="Z341">
        <v>-33.81601715</v>
      </c>
      <c r="AB341">
        <v>5238156708.8608122</v>
      </c>
      <c r="AC341">
        <v>-29.534446719999998</v>
      </c>
      <c r="AE341">
        <v>5238154384.8579216</v>
      </c>
      <c r="AF341">
        <v>-29.47357178</v>
      </c>
      <c r="AH341">
        <v>5238154384.8579216</v>
      </c>
      <c r="AI341">
        <v>-29.52305222</v>
      </c>
    </row>
    <row r="342" spans="1:35">
      <c r="A342">
        <v>5140748136.2726746</v>
      </c>
      <c r="B342" s="72">
        <v>-26.091899869999999</v>
      </c>
      <c r="D342">
        <v>5185748136.2726746</v>
      </c>
      <c r="E342" s="72">
        <v>-27.93115616</v>
      </c>
      <c r="G342">
        <v>5239388136.2726746</v>
      </c>
      <c r="H342" s="72">
        <v>-30.349925989999999</v>
      </c>
      <c r="J342">
        <v>5142248136.2726746</v>
      </c>
      <c r="K342" s="72">
        <v>-26.186313630000001</v>
      </c>
      <c r="M342">
        <v>5237888136.2726746</v>
      </c>
      <c r="N342" s="72">
        <v>-30.168434139999999</v>
      </c>
      <c r="P342">
        <v>5239654591.1949615</v>
      </c>
      <c r="Q342">
        <v>-29.276866909999999</v>
      </c>
      <c r="S342">
        <v>5142514591.1949615</v>
      </c>
      <c r="T342">
        <v>-34.910583500000001</v>
      </c>
      <c r="V342">
        <v>5142514591.1949615</v>
      </c>
      <c r="W342">
        <v>-34.944908140000003</v>
      </c>
      <c r="Y342">
        <v>5142514591.1949615</v>
      </c>
      <c r="Z342">
        <v>-34.911560059999999</v>
      </c>
      <c r="AB342">
        <v>5238159240.506382</v>
      </c>
      <c r="AC342">
        <v>-30.123741150000001</v>
      </c>
      <c r="AE342">
        <v>5238156908.5172272</v>
      </c>
      <c r="AF342">
        <v>-30.27746582</v>
      </c>
      <c r="AH342">
        <v>5238156908.5172272</v>
      </c>
      <c r="AI342">
        <v>-30.314701079999999</v>
      </c>
    </row>
    <row r="343" spans="1:35">
      <c r="A343">
        <v>5140749739.4790878</v>
      </c>
      <c r="B343" s="72">
        <v>-25.575904850000001</v>
      </c>
      <c r="D343">
        <v>5185749739.4790878</v>
      </c>
      <c r="E343" s="72">
        <v>-28.169574740000002</v>
      </c>
      <c r="G343">
        <v>5239389739.4790878</v>
      </c>
      <c r="H343" s="72">
        <v>-30.571643829999999</v>
      </c>
      <c r="J343">
        <v>5142249739.4790878</v>
      </c>
      <c r="K343" s="72">
        <v>-25.443675989999999</v>
      </c>
      <c r="M343">
        <v>5237889739.4790878</v>
      </c>
      <c r="N343" s="72">
        <v>-29.416820529999999</v>
      </c>
      <c r="P343">
        <v>5239657106.918232</v>
      </c>
      <c r="Q343">
        <v>-29.642349240000001</v>
      </c>
      <c r="S343">
        <v>5142517106.918232</v>
      </c>
      <c r="T343">
        <v>-34.166511540000002</v>
      </c>
      <c r="V343">
        <v>5142517106.918232</v>
      </c>
      <c r="W343">
        <v>-34.043750760000002</v>
      </c>
      <c r="Y343">
        <v>5142517106.918232</v>
      </c>
      <c r="Z343">
        <v>-33.953205109999999</v>
      </c>
      <c r="AB343">
        <v>5238161772.1519518</v>
      </c>
      <c r="AC343">
        <v>-29.557212830000001</v>
      </c>
      <c r="AE343">
        <v>5238159432.1765327</v>
      </c>
      <c r="AF343">
        <v>-29.556129460000001</v>
      </c>
      <c r="AH343">
        <v>5238159432.1765327</v>
      </c>
      <c r="AI343">
        <v>-29.586730960000001</v>
      </c>
    </row>
    <row r="344" spans="1:35">
      <c r="A344">
        <v>5140751342.6855011</v>
      </c>
      <c r="B344" s="72">
        <v>-25.367176059999998</v>
      </c>
      <c r="D344">
        <v>5185751342.6855011</v>
      </c>
      <c r="E344" s="72">
        <v>-27.498081209999999</v>
      </c>
      <c r="G344">
        <v>5239391342.6855011</v>
      </c>
      <c r="H344" s="72">
        <v>-29.93733215</v>
      </c>
      <c r="J344">
        <v>5142251342.6855011</v>
      </c>
      <c r="K344" s="72">
        <v>-24.955493929999999</v>
      </c>
      <c r="M344">
        <v>5237891342.6855011</v>
      </c>
      <c r="N344" s="72">
        <v>-29.514389040000001</v>
      </c>
      <c r="P344">
        <v>5239659622.6415024</v>
      </c>
      <c r="Q344">
        <v>-29.204338069999999</v>
      </c>
      <c r="S344">
        <v>5142519622.6415024</v>
      </c>
      <c r="T344">
        <v>-33.875133509999998</v>
      </c>
      <c r="V344">
        <v>5142519622.6415024</v>
      </c>
      <c r="W344">
        <v>-33.972450260000002</v>
      </c>
      <c r="Y344">
        <v>5142519622.6415024</v>
      </c>
      <c r="Z344">
        <v>-33.984222410000001</v>
      </c>
      <c r="AB344">
        <v>5238164303.7975216</v>
      </c>
      <c r="AC344">
        <v>-29.683765409999999</v>
      </c>
      <c r="AE344">
        <v>5238161955.8358383</v>
      </c>
      <c r="AF344">
        <v>-29.672760010000001</v>
      </c>
      <c r="AH344">
        <v>5238161955.8358383</v>
      </c>
      <c r="AI344">
        <v>-29.69283295</v>
      </c>
    </row>
    <row r="345" spans="1:35">
      <c r="A345">
        <v>5140752945.8919144</v>
      </c>
      <c r="B345" s="72">
        <v>-25.873760220000001</v>
      </c>
      <c r="D345">
        <v>5185752945.8919144</v>
      </c>
      <c r="E345" s="72">
        <v>-27.657905580000001</v>
      </c>
      <c r="G345">
        <v>5239392945.8919144</v>
      </c>
      <c r="H345" s="72">
        <v>-30.12309647</v>
      </c>
      <c r="J345">
        <v>5142252945.8919144</v>
      </c>
      <c r="K345" s="72">
        <v>-25.357440950000001</v>
      </c>
      <c r="M345">
        <v>5237892945.8919144</v>
      </c>
      <c r="N345" s="72">
        <v>-29.438758849999999</v>
      </c>
      <c r="P345">
        <v>5239662138.3647728</v>
      </c>
      <c r="Q345">
        <v>-29.233325959999998</v>
      </c>
      <c r="S345">
        <v>5142522138.3647728</v>
      </c>
      <c r="T345">
        <v>-34.272632600000001</v>
      </c>
      <c r="V345">
        <v>5142522138.3647728</v>
      </c>
      <c r="W345">
        <v>-34.215900419999997</v>
      </c>
      <c r="Y345">
        <v>5142522138.3647728</v>
      </c>
      <c r="Z345">
        <v>-34.130195620000002</v>
      </c>
      <c r="AB345">
        <v>5238166835.4430914</v>
      </c>
      <c r="AC345">
        <v>-29.74095917</v>
      </c>
      <c r="AE345">
        <v>5238164479.4951439</v>
      </c>
      <c r="AF345">
        <v>-29.853282929999999</v>
      </c>
      <c r="AH345">
        <v>5238164479.4951439</v>
      </c>
      <c r="AI345">
        <v>-29.90630341</v>
      </c>
    </row>
    <row r="346" spans="1:35">
      <c r="A346">
        <v>5140754549.0983276</v>
      </c>
      <c r="B346" s="72">
        <v>-27.48955917</v>
      </c>
      <c r="D346">
        <v>5185754549.0983276</v>
      </c>
      <c r="E346" s="72">
        <v>-28.89153671</v>
      </c>
      <c r="G346">
        <v>5239394549.0983276</v>
      </c>
      <c r="H346" s="72">
        <v>-31.142272949999999</v>
      </c>
      <c r="J346">
        <v>5142254549.0983276</v>
      </c>
      <c r="K346" s="72">
        <v>-25.416851040000001</v>
      </c>
      <c r="M346">
        <v>5237894549.0983276</v>
      </c>
      <c r="N346" s="72">
        <v>-28.979225159999999</v>
      </c>
      <c r="P346">
        <v>5239664654.0880432</v>
      </c>
      <c r="Q346">
        <v>-30.63266754</v>
      </c>
      <c r="S346">
        <v>5142524654.0880432</v>
      </c>
      <c r="T346">
        <v>-34.256141659999997</v>
      </c>
      <c r="V346">
        <v>5142524654.0880432</v>
      </c>
      <c r="W346">
        <v>-34.354351039999997</v>
      </c>
      <c r="Y346">
        <v>5142524654.0880432</v>
      </c>
      <c r="Z346">
        <v>-34.344825739999997</v>
      </c>
      <c r="AB346">
        <v>5238169367.0886612</v>
      </c>
      <c r="AC346">
        <v>-28.96681976</v>
      </c>
      <c r="AE346">
        <v>5238167003.1544495</v>
      </c>
      <c r="AF346">
        <v>-28.998947139999999</v>
      </c>
      <c r="AH346">
        <v>5238167003.1544495</v>
      </c>
      <c r="AI346">
        <v>-29.040592190000002</v>
      </c>
    </row>
    <row r="347" spans="1:35">
      <c r="A347">
        <v>5140756152.3047409</v>
      </c>
      <c r="B347" s="72">
        <v>-24.79764557</v>
      </c>
      <c r="D347">
        <v>5185756152.3047409</v>
      </c>
      <c r="E347" s="72">
        <v>-26.79400253</v>
      </c>
      <c r="G347">
        <v>5239396152.3047409</v>
      </c>
      <c r="H347" s="72">
        <v>-29.35129547</v>
      </c>
      <c r="J347">
        <v>5142256152.3047409</v>
      </c>
      <c r="K347" s="72">
        <v>-25.163349149999998</v>
      </c>
      <c r="M347">
        <v>5237896152.3047409</v>
      </c>
      <c r="N347" s="72">
        <v>-29.958591460000001</v>
      </c>
      <c r="P347">
        <v>5239667169.8113136</v>
      </c>
      <c r="Q347">
        <v>-28.044517519999999</v>
      </c>
      <c r="S347">
        <v>5142527169.8113136</v>
      </c>
      <c r="T347">
        <v>-33.887001040000001</v>
      </c>
      <c r="V347">
        <v>5142527169.8113136</v>
      </c>
      <c r="W347">
        <v>-33.84093094</v>
      </c>
      <c r="Y347">
        <v>5142527169.8113136</v>
      </c>
      <c r="Z347">
        <v>-33.708374020000001</v>
      </c>
      <c r="AB347">
        <v>5238171898.734231</v>
      </c>
      <c r="AC347">
        <v>-30.25554657</v>
      </c>
      <c r="AE347">
        <v>5238169526.813755</v>
      </c>
      <c r="AF347">
        <v>-30.294960020000001</v>
      </c>
      <c r="AH347">
        <v>5238169526.813755</v>
      </c>
      <c r="AI347">
        <v>-30.339424130000001</v>
      </c>
    </row>
    <row r="348" spans="1:35">
      <c r="A348">
        <v>5140757755.5111542</v>
      </c>
      <c r="B348" s="72">
        <v>-25.953578950000001</v>
      </c>
      <c r="D348">
        <v>5185757755.5111542</v>
      </c>
      <c r="E348" s="72">
        <v>-27.719264979999998</v>
      </c>
      <c r="G348">
        <v>5239397755.5111542</v>
      </c>
      <c r="H348" s="72">
        <v>-30.319988250000002</v>
      </c>
      <c r="J348">
        <v>5142257755.5111542</v>
      </c>
      <c r="K348" s="72">
        <v>-25.228111269999999</v>
      </c>
      <c r="M348">
        <v>5237897755.5111542</v>
      </c>
      <c r="N348" s="72">
        <v>-29.00979233</v>
      </c>
      <c r="P348">
        <v>5239669685.534584</v>
      </c>
      <c r="Q348">
        <v>-29.223388669999999</v>
      </c>
      <c r="S348">
        <v>5142529685.534584</v>
      </c>
      <c r="T348">
        <v>-34.016052250000001</v>
      </c>
      <c r="V348">
        <v>5142529685.534584</v>
      </c>
      <c r="W348">
        <v>-34.055061340000002</v>
      </c>
      <c r="Y348">
        <v>5142529685.534584</v>
      </c>
      <c r="Z348">
        <v>-34.117927549999997</v>
      </c>
      <c r="AB348">
        <v>5238174430.3798008</v>
      </c>
      <c r="AC348">
        <v>-28.86164093</v>
      </c>
      <c r="AE348">
        <v>5238172050.4730606</v>
      </c>
      <c r="AF348">
        <v>-28.838237759999998</v>
      </c>
      <c r="AH348">
        <v>5238172050.4730606</v>
      </c>
      <c r="AI348">
        <v>-28.869342799999998</v>
      </c>
    </row>
    <row r="349" spans="1:35">
      <c r="A349">
        <v>5140759358.7175674</v>
      </c>
      <c r="B349" s="72">
        <v>-25.207885739999998</v>
      </c>
      <c r="D349">
        <v>5185759358.7175674</v>
      </c>
      <c r="E349" s="72">
        <v>-28.31946945</v>
      </c>
      <c r="G349">
        <v>5239399358.7175674</v>
      </c>
      <c r="H349" s="72">
        <v>-30.670104980000001</v>
      </c>
      <c r="J349">
        <v>5142259358.7175674</v>
      </c>
      <c r="K349" s="72">
        <v>-25.306835169999999</v>
      </c>
      <c r="M349">
        <v>5237899358.7175674</v>
      </c>
      <c r="N349" s="72">
        <v>-29.625350950000001</v>
      </c>
      <c r="P349">
        <v>5239672201.2578545</v>
      </c>
      <c r="Q349">
        <v>-29.918323520000001</v>
      </c>
      <c r="S349">
        <v>5142532201.2578545</v>
      </c>
      <c r="T349">
        <v>-34.163215639999997</v>
      </c>
      <c r="V349">
        <v>5142532201.2578545</v>
      </c>
      <c r="W349">
        <v>-34.052051540000001</v>
      </c>
      <c r="Y349">
        <v>5142532201.2578545</v>
      </c>
      <c r="Z349">
        <v>-34.059021000000001</v>
      </c>
      <c r="AB349">
        <v>5238176962.0253706</v>
      </c>
      <c r="AC349">
        <v>-29.688819890000001</v>
      </c>
      <c r="AE349">
        <v>5238174574.1323662</v>
      </c>
      <c r="AF349">
        <v>-29.75998688</v>
      </c>
      <c r="AH349">
        <v>5238174574.1323662</v>
      </c>
      <c r="AI349">
        <v>-29.799224850000002</v>
      </c>
    </row>
    <row r="350" spans="1:35">
      <c r="A350">
        <v>5140760961.9239807</v>
      </c>
      <c r="B350" s="72">
        <v>-26.092044829999999</v>
      </c>
      <c r="D350">
        <v>5185760961.9239807</v>
      </c>
      <c r="E350" s="72">
        <v>-27.824646000000001</v>
      </c>
      <c r="G350">
        <v>5239400961.9239807</v>
      </c>
      <c r="H350" s="72">
        <v>-30.183284759999999</v>
      </c>
      <c r="J350">
        <v>5142260961.9239807</v>
      </c>
      <c r="K350" s="72">
        <v>-26.071414950000001</v>
      </c>
      <c r="M350">
        <v>5237900961.9239807</v>
      </c>
      <c r="N350" s="72">
        <v>-30.019401550000001</v>
      </c>
      <c r="P350">
        <v>5239674716.9811249</v>
      </c>
      <c r="Q350">
        <v>-29.509975430000001</v>
      </c>
      <c r="S350">
        <v>5142534716.9811249</v>
      </c>
      <c r="T350">
        <v>-35.1019516</v>
      </c>
      <c r="V350">
        <v>5142534716.9811249</v>
      </c>
      <c r="W350">
        <v>-35.045459749999999</v>
      </c>
      <c r="Y350">
        <v>5142534716.9811249</v>
      </c>
      <c r="Z350">
        <v>-35.007781979999997</v>
      </c>
      <c r="AB350">
        <v>5238179493.6709404</v>
      </c>
      <c r="AC350">
        <v>-30.383598330000002</v>
      </c>
      <c r="AE350">
        <v>5238177097.7916718</v>
      </c>
      <c r="AF350">
        <v>-30.38037872</v>
      </c>
      <c r="AH350">
        <v>5238177097.7916718</v>
      </c>
      <c r="AI350">
        <v>-30.42845917</v>
      </c>
    </row>
    <row r="351" spans="1:35">
      <c r="A351">
        <v>5140762565.130394</v>
      </c>
      <c r="B351" s="72">
        <v>-26.048450469999999</v>
      </c>
      <c r="D351">
        <v>5185762565.130394</v>
      </c>
      <c r="E351" s="72">
        <v>-28.438938140000001</v>
      </c>
      <c r="G351">
        <v>5239402565.130394</v>
      </c>
      <c r="H351" s="72">
        <v>-31.007442470000001</v>
      </c>
      <c r="J351">
        <v>5142262565.130394</v>
      </c>
      <c r="K351" s="72">
        <v>-25.333328250000001</v>
      </c>
      <c r="M351">
        <v>5237902565.130394</v>
      </c>
      <c r="N351" s="72">
        <v>-30.015331270000001</v>
      </c>
      <c r="P351">
        <v>5239677232.7043953</v>
      </c>
      <c r="Q351">
        <v>-29.952468870000001</v>
      </c>
      <c r="S351">
        <v>5142537232.7043953</v>
      </c>
      <c r="T351">
        <v>-34.34654999</v>
      </c>
      <c r="V351">
        <v>5142537232.7043953</v>
      </c>
      <c r="W351">
        <v>-34.314105990000002</v>
      </c>
      <c r="Y351">
        <v>5142537232.7043953</v>
      </c>
      <c r="Z351">
        <v>-34.3254509</v>
      </c>
      <c r="AB351">
        <v>5238182025.3165102</v>
      </c>
      <c r="AC351">
        <v>-30.53421402</v>
      </c>
      <c r="AE351">
        <v>5238179621.4509773</v>
      </c>
      <c r="AF351">
        <v>-30.536617280000002</v>
      </c>
      <c r="AH351">
        <v>5238179621.4509773</v>
      </c>
      <c r="AI351">
        <v>-30.594120029999999</v>
      </c>
    </row>
    <row r="352" spans="1:35">
      <c r="A352">
        <v>5140764168.3368073</v>
      </c>
      <c r="B352" s="72">
        <v>-26.29012299</v>
      </c>
      <c r="D352">
        <v>5185764168.3368073</v>
      </c>
      <c r="E352" s="72">
        <v>-29.578449249999998</v>
      </c>
      <c r="G352">
        <v>5239404168.3368073</v>
      </c>
      <c r="H352" s="72">
        <v>-32.105213169999999</v>
      </c>
      <c r="J352">
        <v>5142264168.3368073</v>
      </c>
      <c r="K352" s="72">
        <v>-25.24264908</v>
      </c>
      <c r="M352">
        <v>5237904168.3368073</v>
      </c>
      <c r="N352" s="72">
        <v>-29.920757290000001</v>
      </c>
      <c r="P352">
        <v>5239679748.4276657</v>
      </c>
      <c r="Q352">
        <v>-31.697952269999998</v>
      </c>
      <c r="S352">
        <v>5142539748.4276657</v>
      </c>
      <c r="T352">
        <v>-34.126476289999999</v>
      </c>
      <c r="V352">
        <v>5142539748.4276657</v>
      </c>
      <c r="W352">
        <v>-34.16869354</v>
      </c>
      <c r="Y352">
        <v>5142539748.4276657</v>
      </c>
      <c r="Z352">
        <v>-34.231086730000001</v>
      </c>
      <c r="AB352">
        <v>5238184556.96208</v>
      </c>
      <c r="AC352">
        <v>-29.967597959999999</v>
      </c>
      <c r="AE352">
        <v>5238182145.1102829</v>
      </c>
      <c r="AF352">
        <v>-29.968444819999998</v>
      </c>
      <c r="AH352">
        <v>5238182145.1102829</v>
      </c>
      <c r="AI352">
        <v>-30.02435303</v>
      </c>
    </row>
    <row r="353" spans="1:35">
      <c r="A353">
        <v>5140765771.5432205</v>
      </c>
      <c r="B353" s="72">
        <v>-26.526081090000002</v>
      </c>
      <c r="D353">
        <v>5185765771.5432205</v>
      </c>
      <c r="E353" s="72">
        <v>-27.384971620000002</v>
      </c>
      <c r="G353">
        <v>5239405771.5432205</v>
      </c>
      <c r="H353" s="72">
        <v>-29.96482468</v>
      </c>
      <c r="J353">
        <v>5142265771.5432205</v>
      </c>
      <c r="K353" s="72">
        <v>-25.359455109999999</v>
      </c>
      <c r="M353">
        <v>5237905771.5432205</v>
      </c>
      <c r="N353" s="72">
        <v>-30.150955199999999</v>
      </c>
      <c r="P353">
        <v>5239682264.1509361</v>
      </c>
      <c r="Q353">
        <v>-29.017734529999998</v>
      </c>
      <c r="S353">
        <v>5142542264.1509361</v>
      </c>
      <c r="T353">
        <v>-34.289916990000002</v>
      </c>
      <c r="V353">
        <v>5142542264.1509361</v>
      </c>
      <c r="W353">
        <v>-34.286643980000001</v>
      </c>
      <c r="Y353">
        <v>5142542264.1509361</v>
      </c>
      <c r="Z353">
        <v>-34.31932449</v>
      </c>
      <c r="AB353">
        <v>5238187088.6076498</v>
      </c>
      <c r="AC353">
        <v>-30.6399765</v>
      </c>
      <c r="AE353">
        <v>5238184668.7695885</v>
      </c>
      <c r="AF353">
        <v>-30.668830870000001</v>
      </c>
      <c r="AH353">
        <v>5238184668.7695885</v>
      </c>
      <c r="AI353">
        <v>-30.729015350000001</v>
      </c>
    </row>
    <row r="354" spans="1:35">
      <c r="A354">
        <v>5140767374.7496338</v>
      </c>
      <c r="B354" s="72">
        <v>-25.64645767</v>
      </c>
      <c r="D354">
        <v>5185767374.7496338</v>
      </c>
      <c r="E354" s="72">
        <v>-28.02297592</v>
      </c>
      <c r="G354">
        <v>5239407374.7496338</v>
      </c>
      <c r="H354" s="72">
        <v>-30.421524049999999</v>
      </c>
      <c r="J354">
        <v>5142267374.7496338</v>
      </c>
      <c r="K354" s="72">
        <v>-26.100902560000002</v>
      </c>
      <c r="M354">
        <v>5237907374.7496338</v>
      </c>
      <c r="N354" s="72">
        <v>-29.820716860000001</v>
      </c>
      <c r="P354">
        <v>5239684779.8742065</v>
      </c>
      <c r="Q354">
        <v>-29.68323135</v>
      </c>
      <c r="S354">
        <v>5142544779.8742065</v>
      </c>
      <c r="T354">
        <v>-34.975543979999998</v>
      </c>
      <c r="V354">
        <v>5142544779.8742065</v>
      </c>
      <c r="W354">
        <v>-34.894977570000002</v>
      </c>
      <c r="Y354">
        <v>5142544779.8742065</v>
      </c>
      <c r="Z354">
        <v>-34.852226260000002</v>
      </c>
      <c r="AB354">
        <v>5238189620.2532196</v>
      </c>
      <c r="AC354">
        <v>-30.0598259</v>
      </c>
      <c r="AE354">
        <v>5238187192.428894</v>
      </c>
      <c r="AF354">
        <v>-30.0503006</v>
      </c>
      <c r="AH354">
        <v>5238187192.428894</v>
      </c>
      <c r="AI354">
        <v>-30.101497649999999</v>
      </c>
    </row>
    <row r="355" spans="1:35">
      <c r="A355">
        <v>5140768977.9560471</v>
      </c>
      <c r="B355" s="72">
        <v>-26.086742399999999</v>
      </c>
      <c r="D355">
        <v>5185768977.9560471</v>
      </c>
      <c r="E355" s="72">
        <v>-29.916004180000002</v>
      </c>
      <c r="G355">
        <v>5239408977.9560471</v>
      </c>
      <c r="H355" s="72">
        <v>-32.40943146</v>
      </c>
      <c r="J355">
        <v>5142268977.9560471</v>
      </c>
      <c r="K355" s="72">
        <v>-24.91201019</v>
      </c>
      <c r="M355">
        <v>5237908977.9560471</v>
      </c>
      <c r="N355" s="72">
        <v>-30.080570219999998</v>
      </c>
      <c r="P355">
        <v>5239687295.597477</v>
      </c>
      <c r="Q355">
        <v>-31.5862999</v>
      </c>
      <c r="S355">
        <v>5142547295.597477</v>
      </c>
      <c r="T355">
        <v>-33.902210240000002</v>
      </c>
      <c r="V355">
        <v>5142547295.597477</v>
      </c>
      <c r="W355">
        <v>-33.9089241</v>
      </c>
      <c r="Y355">
        <v>5142547295.597477</v>
      </c>
      <c r="Z355">
        <v>-33.952747340000002</v>
      </c>
      <c r="AB355">
        <v>5238192151.8987894</v>
      </c>
      <c r="AC355">
        <v>-30.410072329999998</v>
      </c>
      <c r="AE355">
        <v>5238189716.0881996</v>
      </c>
      <c r="AF355">
        <v>-30.429748539999999</v>
      </c>
      <c r="AH355">
        <v>5238189716.0881996</v>
      </c>
      <c r="AI355">
        <v>-30.48763275</v>
      </c>
    </row>
    <row r="356" spans="1:35">
      <c r="A356">
        <v>5140770581.1624603</v>
      </c>
      <c r="B356" s="72">
        <v>-25.444461820000001</v>
      </c>
      <c r="D356">
        <v>5185770581.1624603</v>
      </c>
      <c r="E356" s="72">
        <v>-26.930198669999999</v>
      </c>
      <c r="G356">
        <v>5239410581.1624603</v>
      </c>
      <c r="H356" s="72">
        <v>-29.611164089999999</v>
      </c>
      <c r="J356">
        <v>5142270581.1624603</v>
      </c>
      <c r="K356" s="72">
        <v>-26.114887240000002</v>
      </c>
      <c r="M356">
        <v>5237910581.1624603</v>
      </c>
      <c r="N356" s="72">
        <v>-30.905941009999999</v>
      </c>
      <c r="P356">
        <v>5239689811.3207474</v>
      </c>
      <c r="Q356">
        <v>-28.370384219999998</v>
      </c>
      <c r="S356">
        <v>5142549811.3207474</v>
      </c>
      <c r="T356">
        <v>-34.919227599999999</v>
      </c>
      <c r="V356">
        <v>5142549811.3207474</v>
      </c>
      <c r="W356">
        <v>-34.922523499999997</v>
      </c>
      <c r="Y356">
        <v>5142549811.3207474</v>
      </c>
      <c r="Z356">
        <v>-34.948253630000004</v>
      </c>
      <c r="AB356">
        <v>5238194683.5443592</v>
      </c>
      <c r="AC356">
        <v>-31.449012759999999</v>
      </c>
      <c r="AE356">
        <v>5238192239.7475052</v>
      </c>
      <c r="AF356">
        <v>-31.324981690000001</v>
      </c>
      <c r="AH356">
        <v>5238192239.7475052</v>
      </c>
      <c r="AI356">
        <v>-31.3475647</v>
      </c>
    </row>
    <row r="357" spans="1:35">
      <c r="A357">
        <v>5140772184.3688736</v>
      </c>
      <c r="B357" s="72">
        <v>-26.983783720000002</v>
      </c>
      <c r="D357">
        <v>5185772184.3688736</v>
      </c>
      <c r="E357" s="72">
        <v>-29.255001069999999</v>
      </c>
      <c r="G357">
        <v>5239412184.3688736</v>
      </c>
      <c r="H357" s="72">
        <v>-31.922462459999998</v>
      </c>
      <c r="J357">
        <v>5142272184.3688736</v>
      </c>
      <c r="K357" s="72">
        <v>-25.03816986</v>
      </c>
      <c r="M357">
        <v>5237912184.3688736</v>
      </c>
      <c r="N357" s="72">
        <v>-29.18489838</v>
      </c>
      <c r="P357">
        <v>5239692327.0440178</v>
      </c>
      <c r="Q357">
        <v>-31.232635500000001</v>
      </c>
      <c r="S357">
        <v>5142552327.0440178</v>
      </c>
      <c r="T357">
        <v>-33.556713100000003</v>
      </c>
      <c r="V357">
        <v>5142552327.0440178</v>
      </c>
      <c r="W357">
        <v>-33.554870610000002</v>
      </c>
      <c r="Y357">
        <v>5142552327.0440178</v>
      </c>
      <c r="Z357">
        <v>-33.583946230000002</v>
      </c>
      <c r="AB357">
        <v>5238197215.189929</v>
      </c>
      <c r="AC357">
        <v>-28.774772639999998</v>
      </c>
      <c r="AE357">
        <v>5238194763.4068108</v>
      </c>
      <c r="AF357">
        <v>-28.868354799999999</v>
      </c>
      <c r="AH357">
        <v>5238194763.4068108</v>
      </c>
      <c r="AI357">
        <v>-28.95715714</v>
      </c>
    </row>
    <row r="358" spans="1:35">
      <c r="A358">
        <v>5140773787.5752869</v>
      </c>
      <c r="B358" s="72">
        <v>-26.363800049999998</v>
      </c>
      <c r="D358">
        <v>5185773787.5752869</v>
      </c>
      <c r="E358" s="72">
        <v>-27.55963135</v>
      </c>
      <c r="G358">
        <v>5239413787.5752869</v>
      </c>
      <c r="H358" s="72">
        <v>-30.145099640000002</v>
      </c>
      <c r="J358">
        <v>5142273787.5752869</v>
      </c>
      <c r="K358" s="72">
        <v>-25.72323227</v>
      </c>
      <c r="M358">
        <v>5237913787.5752869</v>
      </c>
      <c r="N358" s="72">
        <v>-29.507389069999999</v>
      </c>
      <c r="P358">
        <v>5239694842.7672882</v>
      </c>
      <c r="Q358">
        <v>-29.238170619999998</v>
      </c>
      <c r="S358">
        <v>5142554842.7672882</v>
      </c>
      <c r="T358">
        <v>-34.749336239999998</v>
      </c>
      <c r="V358">
        <v>5142554842.7672882</v>
      </c>
      <c r="W358">
        <v>-34.705615999999999</v>
      </c>
      <c r="Y358">
        <v>5142554842.7672882</v>
      </c>
      <c r="Z358">
        <v>-34.705738070000002</v>
      </c>
      <c r="AB358">
        <v>5238199746.8354988</v>
      </c>
      <c r="AC358">
        <v>-29.75850677</v>
      </c>
      <c r="AE358">
        <v>5238197287.0661163</v>
      </c>
      <c r="AF358">
        <v>-29.779232029999999</v>
      </c>
      <c r="AH358">
        <v>5238197287.0661163</v>
      </c>
      <c r="AI358">
        <v>-29.834487920000001</v>
      </c>
    </row>
    <row r="359" spans="1:35">
      <c r="A359">
        <v>5140775390.7817001</v>
      </c>
      <c r="B359" s="72">
        <v>-25.311237340000002</v>
      </c>
      <c r="D359">
        <v>5185775390.7817001</v>
      </c>
      <c r="E359" s="72">
        <v>-29.730529789999999</v>
      </c>
      <c r="G359">
        <v>5239415390.7817001</v>
      </c>
      <c r="H359" s="72">
        <v>-32.20440292</v>
      </c>
      <c r="J359">
        <v>5142275390.7817001</v>
      </c>
      <c r="K359" s="72">
        <v>-24.85744476</v>
      </c>
      <c r="M359">
        <v>5237915390.7817001</v>
      </c>
      <c r="N359" s="72">
        <v>-31.547508239999999</v>
      </c>
      <c r="P359">
        <v>5239697358.4905586</v>
      </c>
      <c r="Q359">
        <v>-31.690814970000002</v>
      </c>
      <c r="S359">
        <v>5142557358.4905586</v>
      </c>
      <c r="T359">
        <v>-33.620227810000003</v>
      </c>
      <c r="V359">
        <v>5142557358.4905586</v>
      </c>
      <c r="W359">
        <v>-33.594104770000001</v>
      </c>
      <c r="Y359">
        <v>5142557358.4905586</v>
      </c>
      <c r="Z359">
        <v>-33.626228330000004</v>
      </c>
      <c r="AB359">
        <v>5238202278.4810686</v>
      </c>
      <c r="AC359">
        <v>-32.113178249999997</v>
      </c>
      <c r="AE359">
        <v>5238199810.7254219</v>
      </c>
      <c r="AF359">
        <v>-31.999893190000002</v>
      </c>
      <c r="AH359">
        <v>5238199810.7254219</v>
      </c>
      <c r="AI359">
        <v>-32.015899660000002</v>
      </c>
    </row>
    <row r="360" spans="1:35">
      <c r="A360">
        <v>5140776993.9881134</v>
      </c>
      <c r="B360" s="72">
        <v>-27.04106522</v>
      </c>
      <c r="D360">
        <v>5185776993.9881134</v>
      </c>
      <c r="E360" s="72">
        <v>-27.62075806</v>
      </c>
      <c r="G360">
        <v>5239416993.9881134</v>
      </c>
      <c r="H360" s="72">
        <v>-30.206153870000001</v>
      </c>
      <c r="J360">
        <v>5142276993.9881134</v>
      </c>
      <c r="K360" s="72">
        <v>-26.02946854</v>
      </c>
      <c r="M360">
        <v>5237916993.9881134</v>
      </c>
      <c r="N360" s="72">
        <v>-29.428222659999999</v>
      </c>
      <c r="P360">
        <v>5239699874.213829</v>
      </c>
      <c r="Q360">
        <v>-29.233512879999999</v>
      </c>
      <c r="S360">
        <v>5142559874.213829</v>
      </c>
      <c r="T360">
        <v>-35.402984619999998</v>
      </c>
      <c r="V360">
        <v>5142559874.213829</v>
      </c>
      <c r="W360">
        <v>-35.409423830000001</v>
      </c>
      <c r="Y360">
        <v>5142559874.213829</v>
      </c>
      <c r="Z360">
        <v>-35.416481019999999</v>
      </c>
      <c r="AB360">
        <v>5238204810.1266384</v>
      </c>
      <c r="AC360">
        <v>-29.555660249999999</v>
      </c>
      <c r="AE360">
        <v>5238202334.3847275</v>
      </c>
      <c r="AF360">
        <v>-29.582614899999999</v>
      </c>
      <c r="AH360">
        <v>5238202334.3847275</v>
      </c>
      <c r="AI360">
        <v>-29.645381929999999</v>
      </c>
    </row>
    <row r="361" spans="1:35">
      <c r="A361">
        <v>5140778597.1945267</v>
      </c>
      <c r="B361" s="72">
        <v>-25.030490879999999</v>
      </c>
      <c r="D361">
        <v>5185778597.1945267</v>
      </c>
      <c r="E361" s="72">
        <v>-27.6205368</v>
      </c>
      <c r="G361">
        <v>5239418597.1945267</v>
      </c>
      <c r="H361" s="72">
        <v>-30.121170039999999</v>
      </c>
      <c r="J361">
        <v>5142278597.1945267</v>
      </c>
      <c r="K361" s="72">
        <v>-25.282344819999999</v>
      </c>
      <c r="M361">
        <v>5237918597.1945267</v>
      </c>
      <c r="N361" s="72">
        <v>-30.052021029999999</v>
      </c>
      <c r="P361">
        <v>5239702389.9370995</v>
      </c>
      <c r="Q361">
        <v>-28.920188899999999</v>
      </c>
      <c r="S361">
        <v>5142562389.9370995</v>
      </c>
      <c r="T361">
        <v>-34.270179749999997</v>
      </c>
      <c r="V361">
        <v>5142562389.9370995</v>
      </c>
      <c r="W361">
        <v>-34.26560593</v>
      </c>
      <c r="Y361">
        <v>5142562389.9370995</v>
      </c>
      <c r="Z361">
        <v>-34.303302760000001</v>
      </c>
      <c r="AB361">
        <v>5238207341.7722082</v>
      </c>
      <c r="AC361">
        <v>-30.17963409</v>
      </c>
      <c r="AE361">
        <v>5238204858.0440331</v>
      </c>
      <c r="AF361">
        <v>-30.228988650000002</v>
      </c>
      <c r="AH361">
        <v>5238204858.0440331</v>
      </c>
      <c r="AI361">
        <v>-30.292999269999999</v>
      </c>
    </row>
    <row r="362" spans="1:35">
      <c r="A362">
        <v>5140780200.4009399</v>
      </c>
      <c r="B362" s="72">
        <v>-26.969879150000001</v>
      </c>
      <c r="D362">
        <v>5185780200.4009399</v>
      </c>
      <c r="E362" s="72">
        <v>-28.453155519999999</v>
      </c>
      <c r="G362">
        <v>5239420200.4009399</v>
      </c>
      <c r="H362" s="72">
        <v>-31.079101560000002</v>
      </c>
      <c r="J362">
        <v>5142280200.4009399</v>
      </c>
      <c r="K362" s="72">
        <v>-26.071460720000001</v>
      </c>
      <c r="M362">
        <v>5237920200.4009399</v>
      </c>
      <c r="N362" s="72">
        <v>-30.291557310000002</v>
      </c>
      <c r="P362">
        <v>5239704905.6603699</v>
      </c>
      <c r="Q362">
        <v>-30.311912540000002</v>
      </c>
      <c r="S362">
        <v>5142564905.6603699</v>
      </c>
      <c r="T362">
        <v>-35.200798030000001</v>
      </c>
      <c r="V362">
        <v>5142564905.6603699</v>
      </c>
      <c r="W362">
        <v>-35.144538879999999</v>
      </c>
      <c r="Y362">
        <v>5142564905.6603699</v>
      </c>
      <c r="Z362">
        <v>-35.128845210000001</v>
      </c>
      <c r="AB362">
        <v>5238209873.417778</v>
      </c>
      <c r="AC362">
        <v>-30.753314970000002</v>
      </c>
      <c r="AE362">
        <v>5238207381.7033386</v>
      </c>
      <c r="AF362">
        <v>-30.78149414</v>
      </c>
      <c r="AH362">
        <v>5238207381.7033386</v>
      </c>
      <c r="AI362">
        <v>-30.835830690000002</v>
      </c>
    </row>
    <row r="363" spans="1:35">
      <c r="A363">
        <v>5140781803.6073532</v>
      </c>
      <c r="B363" s="72">
        <v>-25.831844329999999</v>
      </c>
      <c r="D363">
        <v>5185781803.6073532</v>
      </c>
      <c r="E363" s="72">
        <v>-28.393310549999999</v>
      </c>
      <c r="G363">
        <v>5239421803.6073532</v>
      </c>
      <c r="H363" s="72">
        <v>-31.02674103</v>
      </c>
      <c r="J363">
        <v>5142281803.6073532</v>
      </c>
      <c r="K363" s="72">
        <v>-25.582206729999999</v>
      </c>
      <c r="M363">
        <v>5237921803.6073532</v>
      </c>
      <c r="N363" s="72">
        <v>-30.442382810000002</v>
      </c>
      <c r="P363">
        <v>5239707421.3836403</v>
      </c>
      <c r="Q363">
        <v>-30.373847959999999</v>
      </c>
      <c r="S363">
        <v>5142567421.3836403</v>
      </c>
      <c r="T363">
        <v>-34.744880680000001</v>
      </c>
      <c r="V363">
        <v>5142567421.3836403</v>
      </c>
      <c r="W363">
        <v>-34.712757109999998</v>
      </c>
      <c r="Y363">
        <v>5142567421.3836403</v>
      </c>
      <c r="Z363">
        <v>-34.738452909999999</v>
      </c>
      <c r="AB363">
        <v>5238212405.0633478</v>
      </c>
      <c r="AC363">
        <v>-30.86590576</v>
      </c>
      <c r="AE363">
        <v>5238209905.3626442</v>
      </c>
      <c r="AF363">
        <v>-30.865303040000001</v>
      </c>
      <c r="AH363">
        <v>5238209905.3626442</v>
      </c>
      <c r="AI363">
        <v>-30.912750240000001</v>
      </c>
    </row>
    <row r="364" spans="1:35">
      <c r="A364">
        <v>5140783406.8137665</v>
      </c>
      <c r="B364" s="72">
        <v>-25.459316250000001</v>
      </c>
      <c r="D364">
        <v>5185783406.8137665</v>
      </c>
      <c r="E364" s="72">
        <v>-28.461460110000001</v>
      </c>
      <c r="G364">
        <v>5239423406.8137665</v>
      </c>
      <c r="H364" s="72">
        <v>-31.02994537</v>
      </c>
      <c r="J364">
        <v>5142283406.8137665</v>
      </c>
      <c r="K364" s="72">
        <v>-26.00961685</v>
      </c>
      <c r="M364">
        <v>5237923406.8137665</v>
      </c>
      <c r="N364" s="72">
        <v>-31.03310394</v>
      </c>
      <c r="P364">
        <v>5239709937.1069107</v>
      </c>
      <c r="Q364">
        <v>-30.210750579999999</v>
      </c>
      <c r="S364">
        <v>5142569937.1069107</v>
      </c>
      <c r="T364">
        <v>-34.978485110000001</v>
      </c>
      <c r="V364">
        <v>5142569937.1069107</v>
      </c>
      <c r="W364">
        <v>-34.92617035</v>
      </c>
      <c r="Y364">
        <v>5142569937.1069107</v>
      </c>
      <c r="Z364">
        <v>-34.923717500000002</v>
      </c>
      <c r="AB364">
        <v>5238214936.7089176</v>
      </c>
      <c r="AC364">
        <v>-31.33169174</v>
      </c>
      <c r="AE364">
        <v>5238212429.0219498</v>
      </c>
      <c r="AF364">
        <v>-31.358779909999999</v>
      </c>
      <c r="AH364">
        <v>5238212429.0219498</v>
      </c>
      <c r="AI364">
        <v>-31.426059720000001</v>
      </c>
    </row>
    <row r="365" spans="1:35">
      <c r="A365">
        <v>5140785010.0201797</v>
      </c>
      <c r="B365" s="72">
        <v>-26.36397552</v>
      </c>
      <c r="D365">
        <v>5185785010.0201797</v>
      </c>
      <c r="E365" s="72">
        <v>-27.27420807</v>
      </c>
      <c r="G365">
        <v>5239425010.0201797</v>
      </c>
      <c r="H365" s="72">
        <v>-29.92016602</v>
      </c>
      <c r="J365">
        <v>5142285010.0201797</v>
      </c>
      <c r="K365" s="72">
        <v>-25.082958219999998</v>
      </c>
      <c r="M365">
        <v>5237925010.0201797</v>
      </c>
      <c r="N365" s="72">
        <v>-29.677650450000002</v>
      </c>
      <c r="P365">
        <v>5239712452.8301811</v>
      </c>
      <c r="Q365">
        <v>-28.77877045</v>
      </c>
      <c r="S365">
        <v>5142572452.8301811</v>
      </c>
      <c r="T365">
        <v>-34.178703310000003</v>
      </c>
      <c r="V365">
        <v>5142572452.8301811</v>
      </c>
      <c r="W365">
        <v>-34.169685360000003</v>
      </c>
      <c r="Y365">
        <v>5142572452.8301811</v>
      </c>
      <c r="Z365">
        <v>-34.204669950000003</v>
      </c>
      <c r="AB365">
        <v>5238217468.3544874</v>
      </c>
      <c r="AC365">
        <v>-30.056907649999999</v>
      </c>
      <c r="AE365">
        <v>5238214952.6812553</v>
      </c>
      <c r="AF365">
        <v>-30.015800479999999</v>
      </c>
      <c r="AH365">
        <v>5238214952.6812553</v>
      </c>
      <c r="AI365">
        <v>-30.053062440000001</v>
      </c>
    </row>
    <row r="366" spans="1:35">
      <c r="A366">
        <v>5140786613.226593</v>
      </c>
      <c r="B366" s="72">
        <v>-27.225368499999998</v>
      </c>
      <c r="D366">
        <v>5185786613.226593</v>
      </c>
      <c r="E366" s="72">
        <v>-30.71240997</v>
      </c>
      <c r="G366">
        <v>5239426613.226593</v>
      </c>
      <c r="H366" s="72">
        <v>-33.078174590000003</v>
      </c>
      <c r="J366">
        <v>5142286613.226593</v>
      </c>
      <c r="K366" s="72">
        <v>-25.83472824</v>
      </c>
      <c r="M366">
        <v>5237926613.226593</v>
      </c>
      <c r="N366" s="72">
        <v>-30.431537630000001</v>
      </c>
      <c r="P366">
        <v>5239714968.5534515</v>
      </c>
      <c r="Q366">
        <v>-32.427173609999997</v>
      </c>
      <c r="S366">
        <v>5142574968.5534515</v>
      </c>
      <c r="T366">
        <v>-35.119194030000003</v>
      </c>
      <c r="V366">
        <v>5142574968.5534515</v>
      </c>
      <c r="W366">
        <v>-35.081054690000002</v>
      </c>
      <c r="Y366">
        <v>5142574968.5534515</v>
      </c>
      <c r="Z366">
        <v>-35.091564179999999</v>
      </c>
      <c r="AB366">
        <v>5238220000</v>
      </c>
      <c r="AC366">
        <v>-30.9215126</v>
      </c>
      <c r="AE366">
        <v>5238217476.3405609</v>
      </c>
      <c r="AF366">
        <v>-30.991935730000002</v>
      </c>
      <c r="AH366">
        <v>5238217476.3405609</v>
      </c>
      <c r="AI366">
        <v>-31.058086400000001</v>
      </c>
    </row>
    <row r="367" spans="1:35">
      <c r="A367">
        <v>5140788216.4330063</v>
      </c>
      <c r="B367" s="72">
        <v>-25.561687469999999</v>
      </c>
      <c r="D367">
        <v>5185788216.4330063</v>
      </c>
      <c r="E367" s="72">
        <v>-27.742557529999999</v>
      </c>
      <c r="G367">
        <v>5239428216.4330063</v>
      </c>
      <c r="H367" s="72">
        <v>-30.424583439999999</v>
      </c>
      <c r="J367">
        <v>5142288216.4330063</v>
      </c>
      <c r="K367" s="72">
        <v>-25.38597107</v>
      </c>
      <c r="M367">
        <v>5237928216.4330063</v>
      </c>
      <c r="N367" s="72">
        <v>-30.311191560000001</v>
      </c>
      <c r="P367">
        <v>5239717484.276722</v>
      </c>
      <c r="Q367">
        <v>-29.398715970000001</v>
      </c>
      <c r="S367">
        <v>5142577484.276722</v>
      </c>
      <c r="T367">
        <v>-34.66374588</v>
      </c>
      <c r="V367">
        <v>5142577484.276722</v>
      </c>
      <c r="W367">
        <v>-34.616493230000003</v>
      </c>
      <c r="Y367">
        <v>5142577484.276722</v>
      </c>
      <c r="Z367">
        <v>-34.614082340000003</v>
      </c>
      <c r="AE367">
        <v>5238220000</v>
      </c>
      <c r="AF367">
        <v>-30.850158</v>
      </c>
      <c r="AH367">
        <v>5238220000</v>
      </c>
      <c r="AI367">
        <v>-30.907543</v>
      </c>
    </row>
    <row r="368" spans="1:35">
      <c r="A368">
        <v>5140789819.6394196</v>
      </c>
      <c r="B368" s="72">
        <v>-27.308048249999999</v>
      </c>
      <c r="D368">
        <v>5185789819.6394196</v>
      </c>
      <c r="E368" s="72">
        <v>-28.89737701</v>
      </c>
      <c r="G368">
        <v>5239429819.6394196</v>
      </c>
      <c r="H368" s="72">
        <v>-31.50376129</v>
      </c>
      <c r="J368">
        <v>5142289819.6394196</v>
      </c>
      <c r="K368" s="72">
        <v>-24.92100143</v>
      </c>
      <c r="M368">
        <v>5237929819.6394196</v>
      </c>
      <c r="N368" s="72">
        <v>-29.995140079999999</v>
      </c>
      <c r="P368">
        <v>5239720000</v>
      </c>
      <c r="Q368">
        <v>-30</v>
      </c>
      <c r="S368">
        <v>5142580000</v>
      </c>
      <c r="T368">
        <v>0</v>
      </c>
      <c r="V368">
        <v>5142580000</v>
      </c>
      <c r="W368">
        <v>-33.798870000000001</v>
      </c>
      <c r="Y368">
        <v>5142580000</v>
      </c>
      <c r="Z368">
        <v>0</v>
      </c>
    </row>
    <row r="369" spans="1:14">
      <c r="A369">
        <v>5140791422.8458328</v>
      </c>
      <c r="B369" s="72">
        <v>-25.834987640000001</v>
      </c>
      <c r="D369">
        <v>5185791422.8458328</v>
      </c>
      <c r="E369" s="72">
        <v>-27.972774510000001</v>
      </c>
      <c r="G369">
        <v>5239431422.8458328</v>
      </c>
      <c r="H369" s="72">
        <v>-30.552741999999999</v>
      </c>
      <c r="J369">
        <v>5142291422.8458328</v>
      </c>
      <c r="K369" s="72">
        <v>-25.17699051</v>
      </c>
      <c r="M369">
        <v>5237931422.8458328</v>
      </c>
      <c r="N369" s="72">
        <v>-30.81626511</v>
      </c>
    </row>
    <row r="370" spans="1:14">
      <c r="A370">
        <v>5140793026.0522461</v>
      </c>
      <c r="B370" s="72">
        <v>-25.382652279999999</v>
      </c>
      <c r="D370">
        <v>5185793026.0522461</v>
      </c>
      <c r="E370" s="72">
        <v>-27.775398249999999</v>
      </c>
      <c r="G370">
        <v>5239433026.0522461</v>
      </c>
      <c r="H370" s="72">
        <v>-30.400329589999998</v>
      </c>
      <c r="J370">
        <v>5142293026.0522461</v>
      </c>
      <c r="K370" s="72">
        <v>-24.820594790000001</v>
      </c>
      <c r="M370">
        <v>5237933026.0522461</v>
      </c>
      <c r="N370" s="72">
        <v>-28.86075211</v>
      </c>
    </row>
    <row r="371" spans="1:14">
      <c r="A371">
        <v>5140794629.2586594</v>
      </c>
      <c r="B371" s="72">
        <v>-26.438274379999999</v>
      </c>
      <c r="D371">
        <v>5185794629.2586594</v>
      </c>
      <c r="E371" s="72">
        <v>-28.235740660000001</v>
      </c>
      <c r="G371">
        <v>5239434629.2586594</v>
      </c>
      <c r="H371" s="72">
        <v>-30.785121920000002</v>
      </c>
      <c r="J371">
        <v>5142294629.2586594</v>
      </c>
      <c r="K371" s="72">
        <v>-26.39578629</v>
      </c>
      <c r="M371">
        <v>5237934629.2586594</v>
      </c>
      <c r="N371" s="72">
        <v>-30.53440475</v>
      </c>
    </row>
    <row r="372" spans="1:14">
      <c r="A372">
        <v>5140796232.4650726</v>
      </c>
      <c r="B372" s="72">
        <v>-26.06155777</v>
      </c>
      <c r="D372">
        <v>5185796232.4650726</v>
      </c>
      <c r="E372" s="72">
        <v>-28.674591060000001</v>
      </c>
      <c r="G372">
        <v>5239436232.4650726</v>
      </c>
      <c r="H372" s="72">
        <v>-31.25574112</v>
      </c>
      <c r="J372">
        <v>5142296232.4650726</v>
      </c>
      <c r="K372" s="72">
        <v>-26.25028992</v>
      </c>
      <c r="M372">
        <v>5237936232.4650726</v>
      </c>
      <c r="N372" s="72">
        <v>-31.032222749999999</v>
      </c>
    </row>
    <row r="373" spans="1:14">
      <c r="A373">
        <v>5140797835.6714859</v>
      </c>
      <c r="B373" s="72">
        <v>-25.471488950000001</v>
      </c>
      <c r="D373">
        <v>5185797835.6714859</v>
      </c>
      <c r="E373" s="72">
        <v>-28.393554689999998</v>
      </c>
      <c r="G373">
        <v>5239437835.6714859</v>
      </c>
      <c r="H373" s="72">
        <v>-31.05751038</v>
      </c>
      <c r="J373">
        <v>5142297835.6714859</v>
      </c>
      <c r="K373" s="72">
        <v>-25.019630429999999</v>
      </c>
      <c r="M373">
        <v>5237937835.6714859</v>
      </c>
      <c r="N373" s="72">
        <v>-29.466732029999999</v>
      </c>
    </row>
    <row r="374" spans="1:14">
      <c r="A374">
        <v>5140799438.8778992</v>
      </c>
      <c r="B374" s="72">
        <v>-25.602336879999999</v>
      </c>
      <c r="D374">
        <v>5185799438.8778992</v>
      </c>
      <c r="E374" s="72">
        <v>-27.590332029999999</v>
      </c>
      <c r="G374">
        <v>5239439438.8778992</v>
      </c>
      <c r="H374" s="72">
        <v>-30.24187088</v>
      </c>
      <c r="J374">
        <v>5142299438.8778992</v>
      </c>
      <c r="K374" s="72">
        <v>-25.102245329999999</v>
      </c>
      <c r="M374">
        <v>5237939438.8778992</v>
      </c>
      <c r="N374" s="72">
        <v>-31.189628599999999</v>
      </c>
    </row>
    <row r="375" spans="1:14">
      <c r="A375">
        <v>5140801042.0843124</v>
      </c>
      <c r="B375" s="72">
        <v>-26.297374730000001</v>
      </c>
      <c r="D375">
        <v>5185801042.0843124</v>
      </c>
      <c r="E375" s="72">
        <v>-27.077007290000001</v>
      </c>
      <c r="G375">
        <v>5239441042.0843124</v>
      </c>
      <c r="H375" s="72">
        <v>-29.61369324</v>
      </c>
      <c r="J375">
        <v>5142301042.0843124</v>
      </c>
      <c r="K375" s="72">
        <v>-26.532493590000001</v>
      </c>
      <c r="M375">
        <v>5237941042.0843124</v>
      </c>
      <c r="N375" s="72">
        <v>-28.95071793</v>
      </c>
    </row>
    <row r="376" spans="1:14">
      <c r="A376">
        <v>5140802645.2907257</v>
      </c>
      <c r="B376" s="72">
        <v>-25.587444309999999</v>
      </c>
      <c r="D376">
        <v>5185802645.2907257</v>
      </c>
      <c r="E376" s="72">
        <v>-28.17983246</v>
      </c>
      <c r="G376">
        <v>5239442645.2907257</v>
      </c>
      <c r="H376" s="72">
        <v>-30.712459559999999</v>
      </c>
      <c r="J376">
        <v>5142302645.2907257</v>
      </c>
      <c r="K376" s="72">
        <v>-25.828620910000001</v>
      </c>
      <c r="M376">
        <v>5237942645.2907257</v>
      </c>
      <c r="N376" s="72">
        <v>-29.704753879999998</v>
      </c>
    </row>
    <row r="377" spans="1:14">
      <c r="A377">
        <v>5140804248.497139</v>
      </c>
      <c r="B377" s="72">
        <v>-25.520290370000001</v>
      </c>
      <c r="D377">
        <v>5185804248.497139</v>
      </c>
      <c r="E377" s="72">
        <v>-27.741497039999999</v>
      </c>
      <c r="G377">
        <v>5239444248.497139</v>
      </c>
      <c r="H377" s="72">
        <v>-30.318759920000002</v>
      </c>
      <c r="J377">
        <v>5142304248.497139</v>
      </c>
      <c r="K377" s="72">
        <v>-24.980918880000001</v>
      </c>
      <c r="M377">
        <v>5237944248.497139</v>
      </c>
      <c r="N377" s="72">
        <v>-29.86236954</v>
      </c>
    </row>
    <row r="378" spans="1:14">
      <c r="A378">
        <v>5140805851.7035522</v>
      </c>
      <c r="B378" s="72">
        <v>-26.243675230000001</v>
      </c>
      <c r="D378">
        <v>5185805851.7035522</v>
      </c>
      <c r="E378" s="72">
        <v>-27.41449738</v>
      </c>
      <c r="G378">
        <v>5239445851.7035522</v>
      </c>
      <c r="H378" s="72">
        <v>-30.000465389999999</v>
      </c>
      <c r="J378">
        <v>5142305851.7035522</v>
      </c>
      <c r="K378" s="72">
        <v>-25.763759610000001</v>
      </c>
      <c r="M378">
        <v>5237945851.7035522</v>
      </c>
      <c r="N378" s="72">
        <v>-29.235271449999999</v>
      </c>
    </row>
    <row r="379" spans="1:14">
      <c r="A379">
        <v>5140807454.9099655</v>
      </c>
      <c r="B379" s="72">
        <v>-27.350585939999998</v>
      </c>
      <c r="D379">
        <v>5185807454.9099655</v>
      </c>
      <c r="E379" s="72">
        <v>-29.373558039999999</v>
      </c>
      <c r="G379">
        <v>5239447454.9099655</v>
      </c>
      <c r="H379" s="72">
        <v>-31.761493680000001</v>
      </c>
      <c r="J379">
        <v>5142307454.9099655</v>
      </c>
      <c r="K379" s="72">
        <v>-25.444763179999999</v>
      </c>
      <c r="M379">
        <v>5237947454.9099655</v>
      </c>
      <c r="N379" s="72">
        <v>-29.42377853</v>
      </c>
    </row>
    <row r="380" spans="1:14">
      <c r="A380">
        <v>5140809058.1163788</v>
      </c>
      <c r="B380" s="72">
        <v>-24.853260039999999</v>
      </c>
      <c r="D380">
        <v>5185809058.1163788</v>
      </c>
      <c r="E380" s="72">
        <v>-27.281166079999998</v>
      </c>
      <c r="G380">
        <v>5239449058.1163788</v>
      </c>
      <c r="H380" s="72">
        <v>-29.909091950000001</v>
      </c>
      <c r="J380">
        <v>5142309058.1163788</v>
      </c>
      <c r="K380" s="72">
        <v>-25.769557949999999</v>
      </c>
      <c r="M380">
        <v>5237949058.1163788</v>
      </c>
      <c r="N380" s="72">
        <v>-30.303588869999999</v>
      </c>
    </row>
    <row r="381" spans="1:14">
      <c r="A381">
        <v>5140810661.3227921</v>
      </c>
      <c r="B381" s="72">
        <v>-25.737239840000001</v>
      </c>
      <c r="D381">
        <v>5185810661.3227921</v>
      </c>
      <c r="E381" s="72">
        <v>-27.580310820000001</v>
      </c>
      <c r="G381">
        <v>5239450661.3227921</v>
      </c>
      <c r="H381" s="72">
        <v>-30.2853241</v>
      </c>
      <c r="J381">
        <v>5142310661.3227921</v>
      </c>
      <c r="K381" s="72">
        <v>-25.016654970000001</v>
      </c>
      <c r="M381">
        <v>5237950661.3227921</v>
      </c>
      <c r="N381" s="72">
        <v>-30.099136349999998</v>
      </c>
    </row>
    <row r="382" spans="1:14">
      <c r="A382">
        <v>5140812264.5292053</v>
      </c>
      <c r="B382" s="72">
        <v>-25.48690414</v>
      </c>
      <c r="D382">
        <v>5185812264.5292053</v>
      </c>
      <c r="E382" s="72">
        <v>-28.458873749999999</v>
      </c>
      <c r="G382">
        <v>5239452264.5292053</v>
      </c>
      <c r="H382" s="72">
        <v>-31.044639589999999</v>
      </c>
      <c r="J382">
        <v>5142312264.5292053</v>
      </c>
      <c r="K382" s="72">
        <v>-25.543510439999999</v>
      </c>
      <c r="M382">
        <v>5237952264.5292053</v>
      </c>
      <c r="N382" s="72">
        <v>-28.927501679999999</v>
      </c>
    </row>
    <row r="383" spans="1:14">
      <c r="A383">
        <v>5140813867.7356186</v>
      </c>
      <c r="B383" s="72">
        <v>-26.663333890000001</v>
      </c>
      <c r="D383">
        <v>5185813867.7356186</v>
      </c>
      <c r="E383" s="72">
        <v>-28.493144990000001</v>
      </c>
      <c r="G383">
        <v>5239453867.7356186</v>
      </c>
      <c r="H383" s="72">
        <v>-30.811916350000001</v>
      </c>
      <c r="J383">
        <v>5142313867.7356186</v>
      </c>
      <c r="K383" s="72">
        <v>-25.287887569999999</v>
      </c>
      <c r="M383">
        <v>5237953867.7356186</v>
      </c>
      <c r="N383" s="72">
        <v>-29.850410459999999</v>
      </c>
    </row>
    <row r="384" spans="1:14">
      <c r="A384">
        <v>5140815470.9420319</v>
      </c>
      <c r="B384" s="72">
        <v>-25.581062320000001</v>
      </c>
      <c r="D384">
        <v>5185815470.9420319</v>
      </c>
      <c r="E384" s="72">
        <v>-27.460041050000001</v>
      </c>
      <c r="G384">
        <v>5239455470.9420319</v>
      </c>
      <c r="H384" s="72">
        <v>-30.170127870000002</v>
      </c>
      <c r="J384">
        <v>5142315470.9420319</v>
      </c>
      <c r="K384" s="72">
        <v>-25.960395810000001</v>
      </c>
      <c r="M384">
        <v>5237955470.9420319</v>
      </c>
      <c r="N384" s="72">
        <v>-31.011795039999999</v>
      </c>
    </row>
    <row r="385" spans="1:14">
      <c r="A385">
        <v>5140817074.1484451</v>
      </c>
      <c r="B385" s="72">
        <v>-25.055789950000001</v>
      </c>
      <c r="D385">
        <v>5185817074.1484451</v>
      </c>
      <c r="E385" s="72">
        <v>-27.976661679999999</v>
      </c>
      <c r="G385">
        <v>5239457074.1484451</v>
      </c>
      <c r="H385" s="72">
        <v>-30.627742770000001</v>
      </c>
      <c r="J385">
        <v>5142317074.1484451</v>
      </c>
      <c r="K385" s="72">
        <v>-25.46435928</v>
      </c>
      <c r="M385">
        <v>5237957074.1484451</v>
      </c>
      <c r="N385" s="72">
        <v>-30.263942719999999</v>
      </c>
    </row>
    <row r="386" spans="1:14">
      <c r="A386">
        <v>5140818677.3548584</v>
      </c>
      <c r="B386" s="72">
        <v>-26.905857090000001</v>
      </c>
      <c r="D386">
        <v>5185818677.3548584</v>
      </c>
      <c r="E386" s="72">
        <v>-28.028423310000001</v>
      </c>
      <c r="G386">
        <v>5239458677.3548584</v>
      </c>
      <c r="H386" s="72">
        <v>-30.689464569999998</v>
      </c>
      <c r="J386">
        <v>5142318677.3548584</v>
      </c>
      <c r="K386" s="72">
        <v>-25.86552811</v>
      </c>
      <c r="M386">
        <v>5237958677.3548584</v>
      </c>
      <c r="N386" s="72">
        <v>-30.104110720000001</v>
      </c>
    </row>
    <row r="387" spans="1:14">
      <c r="A387">
        <v>5140820280.5612717</v>
      </c>
      <c r="B387" s="72">
        <v>-26.169094090000002</v>
      </c>
      <c r="D387">
        <v>5185820280.5612717</v>
      </c>
      <c r="E387" s="72">
        <v>-28.598171229999998</v>
      </c>
      <c r="G387">
        <v>5239460280.5612717</v>
      </c>
      <c r="H387" s="72">
        <v>-31.176517489999998</v>
      </c>
      <c r="J387">
        <v>5142320280.5612717</v>
      </c>
      <c r="K387" s="72">
        <v>-26.08557892</v>
      </c>
      <c r="M387">
        <v>5237960280.5612717</v>
      </c>
      <c r="N387" s="72">
        <v>-30.36096573</v>
      </c>
    </row>
    <row r="388" spans="1:14">
      <c r="A388">
        <v>5140821883.7676849</v>
      </c>
      <c r="B388" s="72">
        <v>-26.324375150000002</v>
      </c>
      <c r="D388">
        <v>5185821883.7676849</v>
      </c>
      <c r="E388" s="72">
        <v>-28.491283419999998</v>
      </c>
      <c r="G388">
        <v>5239461883.7676849</v>
      </c>
      <c r="H388" s="72">
        <v>-31.078632349999999</v>
      </c>
      <c r="J388">
        <v>5142321883.7676849</v>
      </c>
      <c r="K388" s="72">
        <v>-25.648540499999999</v>
      </c>
      <c r="M388">
        <v>5237961883.7676849</v>
      </c>
      <c r="N388" s="72">
        <v>-29.956462859999998</v>
      </c>
    </row>
    <row r="389" spans="1:14">
      <c r="A389">
        <v>5140823486.9740982</v>
      </c>
      <c r="B389" s="72">
        <v>-26.21669769</v>
      </c>
      <c r="D389">
        <v>5185823486.9740982</v>
      </c>
      <c r="E389" s="72">
        <v>-28.714534759999999</v>
      </c>
      <c r="G389">
        <v>5239463486.9740982</v>
      </c>
      <c r="H389" s="72">
        <v>-31.30444717</v>
      </c>
      <c r="J389">
        <v>5142323486.9740982</v>
      </c>
      <c r="K389" s="72">
        <v>-26.000560759999999</v>
      </c>
      <c r="M389">
        <v>5237963486.9740982</v>
      </c>
      <c r="N389" s="72">
        <v>-31.063468929999999</v>
      </c>
    </row>
    <row r="390" spans="1:14">
      <c r="A390">
        <v>5140825090.1805115</v>
      </c>
      <c r="B390" s="72">
        <v>-26.280826569999999</v>
      </c>
      <c r="D390">
        <v>5185825090.1805115</v>
      </c>
      <c r="E390" s="72">
        <v>-28.299678799999999</v>
      </c>
      <c r="G390">
        <v>5239465090.1805115</v>
      </c>
      <c r="H390" s="72">
        <v>-30.978088379999999</v>
      </c>
      <c r="J390">
        <v>5142325090.1805115</v>
      </c>
      <c r="K390" s="72">
        <v>-25.88541794</v>
      </c>
      <c r="M390">
        <v>5237965090.1805115</v>
      </c>
      <c r="N390" s="72">
        <v>-30.29750443</v>
      </c>
    </row>
    <row r="391" spans="1:14">
      <c r="A391">
        <v>5140826693.3869247</v>
      </c>
      <c r="B391" s="72">
        <v>-25.290466309999999</v>
      </c>
      <c r="D391">
        <v>5185826693.3869247</v>
      </c>
      <c r="E391" s="72">
        <v>-27.783809659999999</v>
      </c>
      <c r="G391">
        <v>5239466693.3869247</v>
      </c>
      <c r="H391" s="72">
        <v>-30.386157990000001</v>
      </c>
      <c r="J391">
        <v>5142326693.3869247</v>
      </c>
      <c r="K391" s="72">
        <v>-24.391403199999999</v>
      </c>
      <c r="M391">
        <v>5237966693.3869247</v>
      </c>
      <c r="N391" s="72">
        <v>-29.665454860000001</v>
      </c>
    </row>
    <row r="392" spans="1:14">
      <c r="A392">
        <v>5140828296.593338</v>
      </c>
      <c r="B392" s="72">
        <v>-26.566341399999999</v>
      </c>
      <c r="D392">
        <v>5185828296.593338</v>
      </c>
      <c r="E392" s="72">
        <v>-28.2014122</v>
      </c>
      <c r="G392">
        <v>5239468296.593338</v>
      </c>
      <c r="H392" s="72">
        <v>-30.996120449999999</v>
      </c>
      <c r="J392">
        <v>5142328296.593338</v>
      </c>
      <c r="K392" s="72">
        <v>-26.78643417</v>
      </c>
      <c r="M392">
        <v>5237968296.593338</v>
      </c>
      <c r="N392" s="72">
        <v>-30.06206512</v>
      </c>
    </row>
    <row r="393" spans="1:14">
      <c r="A393">
        <v>5140829899.7997513</v>
      </c>
      <c r="B393" s="72">
        <v>-26.12588882</v>
      </c>
      <c r="D393">
        <v>5185829899.7997513</v>
      </c>
      <c r="E393" s="72">
        <v>-28.387989040000001</v>
      </c>
      <c r="G393">
        <v>5239469899.7997513</v>
      </c>
      <c r="H393" s="72">
        <v>-31.210315699999999</v>
      </c>
      <c r="J393">
        <v>5142329899.7997513</v>
      </c>
      <c r="K393" s="72">
        <v>-24.945510859999999</v>
      </c>
      <c r="M393">
        <v>5237969899.7997513</v>
      </c>
      <c r="N393" s="72">
        <v>-29.983757019999999</v>
      </c>
    </row>
    <row r="394" spans="1:14">
      <c r="A394">
        <v>5140831503.0061646</v>
      </c>
      <c r="B394" s="72">
        <v>-26.891532900000001</v>
      </c>
      <c r="D394">
        <v>5185831503.0061646</v>
      </c>
      <c r="E394" s="72">
        <v>-28.779102330000001</v>
      </c>
      <c r="G394">
        <v>5239471503.0061646</v>
      </c>
      <c r="H394" s="72">
        <v>-31.417808529999999</v>
      </c>
      <c r="J394">
        <v>5142331503.0061646</v>
      </c>
      <c r="K394" s="72">
        <v>-26.182205199999999</v>
      </c>
      <c r="M394">
        <v>5237971503.0061646</v>
      </c>
      <c r="N394" s="72">
        <v>-29.86658478</v>
      </c>
    </row>
    <row r="395" spans="1:14">
      <c r="A395">
        <v>5140833106.2125778</v>
      </c>
      <c r="B395" s="72">
        <v>-25.626987459999999</v>
      </c>
      <c r="D395">
        <v>5185833106.2125778</v>
      </c>
      <c r="E395" s="72">
        <v>-28.539161679999999</v>
      </c>
      <c r="G395">
        <v>5239473106.2125778</v>
      </c>
      <c r="H395" s="72">
        <v>-31.046936039999999</v>
      </c>
      <c r="J395">
        <v>5142333106.2125778</v>
      </c>
      <c r="K395" s="72">
        <v>-25.469276430000001</v>
      </c>
      <c r="M395">
        <v>5237973106.2125778</v>
      </c>
      <c r="N395" s="72">
        <v>-30.496273039999998</v>
      </c>
    </row>
    <row r="396" spans="1:14">
      <c r="A396">
        <v>5140834709.4189911</v>
      </c>
      <c r="B396" s="72">
        <v>-26.40658951</v>
      </c>
      <c r="D396">
        <v>5185834709.4189911</v>
      </c>
      <c r="E396" s="72">
        <v>-28.206073759999999</v>
      </c>
      <c r="G396">
        <v>5239474709.4189911</v>
      </c>
      <c r="H396" s="72">
        <v>-30.882804870000001</v>
      </c>
      <c r="J396">
        <v>5142334709.4189911</v>
      </c>
      <c r="K396" s="72">
        <v>-25.854511259999999</v>
      </c>
      <c r="M396">
        <v>5237974709.4189911</v>
      </c>
      <c r="N396" s="72">
        <v>-30.36622238</v>
      </c>
    </row>
    <row r="397" spans="1:14">
      <c r="A397">
        <v>5140836312.6254044</v>
      </c>
      <c r="B397" s="72">
        <v>-26.648090360000001</v>
      </c>
      <c r="D397">
        <v>5185836312.6254044</v>
      </c>
      <c r="E397" s="72">
        <v>-30.309520719999998</v>
      </c>
      <c r="G397">
        <v>5239476312.6254044</v>
      </c>
      <c r="H397" s="72">
        <v>-33.000503539999997</v>
      </c>
      <c r="J397">
        <v>5142336312.6254044</v>
      </c>
      <c r="K397" s="72">
        <v>-25.39603043</v>
      </c>
      <c r="M397">
        <v>5237976312.6254044</v>
      </c>
      <c r="N397" s="72">
        <v>-29.95565414</v>
      </c>
    </row>
    <row r="398" spans="1:14">
      <c r="A398">
        <v>5140837915.8318176</v>
      </c>
      <c r="B398" s="72">
        <v>-26.46935272</v>
      </c>
      <c r="D398">
        <v>5185837915.8318176</v>
      </c>
      <c r="E398" s="72">
        <v>-27.738681790000001</v>
      </c>
      <c r="G398">
        <v>5239477915.8318176</v>
      </c>
      <c r="H398" s="72">
        <v>-30.416938779999999</v>
      </c>
      <c r="J398">
        <v>5142337915.8318176</v>
      </c>
      <c r="K398" s="72">
        <v>-26.222568509999999</v>
      </c>
      <c r="M398">
        <v>5237977915.8318176</v>
      </c>
      <c r="N398" s="72">
        <v>-30.405712130000001</v>
      </c>
    </row>
    <row r="399" spans="1:14">
      <c r="A399">
        <v>5140839519.0382309</v>
      </c>
      <c r="B399" s="72">
        <v>-25.819026950000001</v>
      </c>
      <c r="D399">
        <v>5185839519.0382309</v>
      </c>
      <c r="E399" s="72">
        <v>-28.737476350000001</v>
      </c>
      <c r="G399">
        <v>5239479519.0382309</v>
      </c>
      <c r="H399" s="72">
        <v>-31.287765499999999</v>
      </c>
      <c r="J399">
        <v>5142339519.0382309</v>
      </c>
      <c r="K399" s="72">
        <v>-25.68501663</v>
      </c>
      <c r="M399">
        <v>5237979519.0382309</v>
      </c>
      <c r="N399" s="72">
        <v>-30.434410100000001</v>
      </c>
    </row>
    <row r="400" spans="1:14">
      <c r="A400">
        <v>5140841122.2446442</v>
      </c>
      <c r="B400" s="72">
        <v>-26.33769989</v>
      </c>
      <c r="D400">
        <v>5185841122.2446442</v>
      </c>
      <c r="E400" s="72">
        <v>-29.136661530000001</v>
      </c>
      <c r="G400">
        <v>5239481122.2446442</v>
      </c>
      <c r="H400" s="72">
        <v>-31.797965999999999</v>
      </c>
      <c r="J400">
        <v>5142341122.2446442</v>
      </c>
      <c r="K400" s="72">
        <v>-25.258605960000001</v>
      </c>
      <c r="M400">
        <v>5237981122.2446442</v>
      </c>
      <c r="N400" s="72">
        <v>-30.04333115</v>
      </c>
    </row>
    <row r="401" spans="1:14">
      <c r="A401">
        <v>5140842725.4510574</v>
      </c>
      <c r="B401" s="72">
        <v>-26.22935867</v>
      </c>
      <c r="D401">
        <v>5185842725.4510574</v>
      </c>
      <c r="E401" s="72">
        <v>-27.172996520000002</v>
      </c>
      <c r="G401">
        <v>5239482725.4510574</v>
      </c>
      <c r="H401" s="72">
        <v>-29.941364289999999</v>
      </c>
      <c r="J401">
        <v>5142342725.4510574</v>
      </c>
      <c r="K401" s="72">
        <v>-26.138046259999999</v>
      </c>
      <c r="M401">
        <v>5237982725.4510574</v>
      </c>
      <c r="N401" s="72">
        <v>-31.51545715</v>
      </c>
    </row>
    <row r="402" spans="1:14">
      <c r="A402">
        <v>5140844328.6574707</v>
      </c>
      <c r="B402" s="72">
        <v>-27.341182709999998</v>
      </c>
      <c r="D402">
        <v>5185844328.6574707</v>
      </c>
      <c r="E402" s="72">
        <v>-30.51950836</v>
      </c>
      <c r="G402">
        <v>5239484328.6574707</v>
      </c>
      <c r="H402" s="72">
        <v>-33.317661289999997</v>
      </c>
      <c r="J402">
        <v>5142344328.6574707</v>
      </c>
      <c r="K402" s="72">
        <v>-26.51625443</v>
      </c>
      <c r="M402">
        <v>5237984328.6574707</v>
      </c>
      <c r="N402" s="72">
        <v>-29.86597824</v>
      </c>
    </row>
    <row r="403" spans="1:14">
      <c r="A403">
        <v>5140845931.863884</v>
      </c>
      <c r="B403" s="72">
        <v>-25.561046600000001</v>
      </c>
      <c r="D403">
        <v>5185845931.863884</v>
      </c>
      <c r="E403" s="72">
        <v>-27.467308039999999</v>
      </c>
      <c r="G403">
        <v>5239485931.863884</v>
      </c>
      <c r="H403" s="72">
        <v>-30.168411249999998</v>
      </c>
      <c r="J403">
        <v>5142345931.863884</v>
      </c>
      <c r="K403" s="72">
        <v>-25.098110200000001</v>
      </c>
      <c r="M403">
        <v>5237985931.863884</v>
      </c>
      <c r="N403" s="72">
        <v>-29.440071110000002</v>
      </c>
    </row>
    <row r="404" spans="1:14">
      <c r="A404">
        <v>5140847535.0702972</v>
      </c>
      <c r="B404" s="72">
        <v>-26.315898900000001</v>
      </c>
      <c r="D404">
        <v>5185847535.0702972</v>
      </c>
      <c r="E404" s="72">
        <v>-29.700508119999999</v>
      </c>
      <c r="G404">
        <v>5239487535.0702972</v>
      </c>
      <c r="H404" s="72">
        <v>-32.372821809999998</v>
      </c>
      <c r="J404">
        <v>5142347535.0702972</v>
      </c>
      <c r="K404" s="72">
        <v>-26.101074220000001</v>
      </c>
      <c r="M404">
        <v>5237987535.0702972</v>
      </c>
      <c r="N404" s="72">
        <v>-31.58492661</v>
      </c>
    </row>
    <row r="405" spans="1:14">
      <c r="A405">
        <v>5140849138.2767105</v>
      </c>
      <c r="B405" s="72">
        <v>-26.442848210000001</v>
      </c>
      <c r="D405">
        <v>5185849138.2767105</v>
      </c>
      <c r="E405" s="72">
        <v>-28.133514399999999</v>
      </c>
      <c r="G405">
        <v>5239489138.2767105</v>
      </c>
      <c r="H405" s="72">
        <v>-30.853702550000001</v>
      </c>
      <c r="J405">
        <v>5142349138.2767105</v>
      </c>
      <c r="K405" s="72">
        <v>-25.554439540000001</v>
      </c>
      <c r="M405">
        <v>5237989138.2767105</v>
      </c>
      <c r="N405" s="72">
        <v>-29.908943180000001</v>
      </c>
    </row>
    <row r="406" spans="1:14">
      <c r="A406">
        <v>5140850741.4831238</v>
      </c>
      <c r="B406" s="72">
        <v>-25.613342289999999</v>
      </c>
      <c r="D406">
        <v>5185850741.4831238</v>
      </c>
      <c r="E406" s="72">
        <v>-27.630298610000001</v>
      </c>
      <c r="G406">
        <v>5239490741.4831238</v>
      </c>
      <c r="H406" s="72">
        <v>-30.220932009999999</v>
      </c>
      <c r="J406">
        <v>5142350741.4831238</v>
      </c>
      <c r="K406" s="72">
        <v>-26.01731873</v>
      </c>
      <c r="M406">
        <v>5237990741.4831238</v>
      </c>
      <c r="N406" s="72">
        <v>-30.564487459999999</v>
      </c>
    </row>
    <row r="407" spans="1:14">
      <c r="A407">
        <v>5140852344.689537</v>
      </c>
      <c r="B407" s="72">
        <v>-26.410968780000001</v>
      </c>
      <c r="D407">
        <v>5185852344.689537</v>
      </c>
      <c r="E407" s="72">
        <v>-29.084384920000002</v>
      </c>
      <c r="G407">
        <v>5239492344.689537</v>
      </c>
      <c r="H407" s="72">
        <v>-31.8114624</v>
      </c>
      <c r="J407">
        <v>5142352344.689537</v>
      </c>
      <c r="K407" s="72">
        <v>-26.242469790000001</v>
      </c>
      <c r="M407">
        <v>5237992344.689537</v>
      </c>
      <c r="N407" s="72">
        <v>-30.73929214</v>
      </c>
    </row>
    <row r="408" spans="1:14">
      <c r="A408">
        <v>5140853947.8959503</v>
      </c>
      <c r="B408" s="72">
        <v>-25.966529850000001</v>
      </c>
      <c r="D408">
        <v>5185853947.8959503</v>
      </c>
      <c r="E408" s="72">
        <v>-28.382514950000001</v>
      </c>
      <c r="G408">
        <v>5239493947.8959503</v>
      </c>
      <c r="H408" s="72">
        <v>-31.236732480000001</v>
      </c>
      <c r="J408">
        <v>5142353947.8959503</v>
      </c>
      <c r="K408" s="72">
        <v>-25.488872529999998</v>
      </c>
      <c r="M408">
        <v>5237993947.8959503</v>
      </c>
      <c r="N408" s="72">
        <v>-30.893264769999998</v>
      </c>
    </row>
    <row r="409" spans="1:14">
      <c r="A409">
        <v>5140855551.1023636</v>
      </c>
      <c r="B409" s="72">
        <v>-26.826778409999999</v>
      </c>
      <c r="D409">
        <v>5185855551.1023636</v>
      </c>
      <c r="E409" s="72">
        <v>-28.7682991</v>
      </c>
      <c r="G409">
        <v>5239495551.1023636</v>
      </c>
      <c r="H409" s="72">
        <v>-31.439582819999998</v>
      </c>
      <c r="J409">
        <v>5142355551.1023636</v>
      </c>
      <c r="K409" s="72">
        <v>-26.749790189999999</v>
      </c>
      <c r="M409">
        <v>5237995551.1023636</v>
      </c>
      <c r="N409" s="72">
        <v>-30.561756129999999</v>
      </c>
    </row>
    <row r="410" spans="1:14">
      <c r="A410">
        <v>5140857154.3087769</v>
      </c>
      <c r="B410" s="72">
        <v>-25.59963226</v>
      </c>
      <c r="D410">
        <v>5185857154.3087769</v>
      </c>
      <c r="E410" s="72">
        <v>-28.512016299999999</v>
      </c>
      <c r="G410">
        <v>5239497154.3087769</v>
      </c>
      <c r="H410" s="72">
        <v>-31.226062769999999</v>
      </c>
      <c r="J410">
        <v>5142357154.3087769</v>
      </c>
      <c r="K410" s="72">
        <v>-25.168682100000002</v>
      </c>
      <c r="M410">
        <v>5237997154.3087769</v>
      </c>
      <c r="N410" s="72">
        <v>-30.776493070000001</v>
      </c>
    </row>
    <row r="411" spans="1:14">
      <c r="A411">
        <v>5140858757.5151901</v>
      </c>
      <c r="B411" s="72">
        <v>-27.42435455</v>
      </c>
      <c r="D411">
        <v>5185858757.5151901</v>
      </c>
      <c r="E411" s="72">
        <v>-29.120185849999999</v>
      </c>
      <c r="G411">
        <v>5239498757.5151901</v>
      </c>
      <c r="H411" s="72">
        <v>-31.752956390000001</v>
      </c>
      <c r="J411">
        <v>5142358757.5151901</v>
      </c>
      <c r="K411" s="72">
        <v>-26.252536769999999</v>
      </c>
      <c r="M411">
        <v>5237998757.5151901</v>
      </c>
      <c r="N411" s="72">
        <v>-30.525211330000001</v>
      </c>
    </row>
    <row r="412" spans="1:14">
      <c r="A412">
        <v>5140860360.7216034</v>
      </c>
      <c r="B412" s="72">
        <v>-26.64822388</v>
      </c>
      <c r="D412">
        <v>5185860360.7216034</v>
      </c>
      <c r="E412" s="72">
        <v>-27.898036959999999</v>
      </c>
      <c r="G412">
        <v>5239500360.7216034</v>
      </c>
      <c r="H412" s="72">
        <v>-30.68243408</v>
      </c>
      <c r="J412">
        <v>5142360360.7216034</v>
      </c>
      <c r="K412" s="72">
        <v>-25.501552579999998</v>
      </c>
      <c r="M412">
        <v>5238000360.7216034</v>
      </c>
      <c r="N412" s="72">
        <v>-30.359573359999999</v>
      </c>
    </row>
    <row r="413" spans="1:14">
      <c r="A413">
        <v>5140861963.9280167</v>
      </c>
      <c r="B413" s="72">
        <v>-26.498798369999999</v>
      </c>
      <c r="D413">
        <v>5185861963.9280167</v>
      </c>
      <c r="E413" s="72">
        <v>-29.103786469999999</v>
      </c>
      <c r="G413">
        <v>5239501963.9280167</v>
      </c>
      <c r="H413" s="72">
        <v>-31.80559921</v>
      </c>
      <c r="J413">
        <v>5142361963.9280167</v>
      </c>
      <c r="K413" s="72">
        <v>-25.488796229999998</v>
      </c>
      <c r="M413">
        <v>5238001963.9280167</v>
      </c>
      <c r="N413" s="72">
        <v>-30.729446410000001</v>
      </c>
    </row>
    <row r="414" spans="1:14">
      <c r="A414">
        <v>5140863567.1344299</v>
      </c>
      <c r="B414" s="72">
        <v>-26.16109848</v>
      </c>
      <c r="D414">
        <v>5185863567.1344299</v>
      </c>
      <c r="E414" s="72">
        <v>-28.526866909999999</v>
      </c>
      <c r="G414">
        <v>5239503567.1344299</v>
      </c>
      <c r="H414" s="72">
        <v>-31.25084305</v>
      </c>
      <c r="J414">
        <v>5142363567.1344299</v>
      </c>
      <c r="K414" s="72">
        <v>-25.842845919999998</v>
      </c>
      <c r="M414">
        <v>5238003567.1344299</v>
      </c>
      <c r="N414" s="72">
        <v>-30.198459629999999</v>
      </c>
    </row>
    <row r="415" spans="1:14">
      <c r="A415">
        <v>5140865170.3408432</v>
      </c>
      <c r="B415" s="72">
        <v>-25.334941860000001</v>
      </c>
      <c r="D415">
        <v>5185865170.3408432</v>
      </c>
      <c r="E415" s="72">
        <v>-28.25397491</v>
      </c>
      <c r="G415">
        <v>5239505170.3408432</v>
      </c>
      <c r="H415" s="72">
        <v>-31.008312230000001</v>
      </c>
      <c r="J415">
        <v>5142365170.3408432</v>
      </c>
      <c r="K415" s="72">
        <v>-24.55355072</v>
      </c>
      <c r="M415">
        <v>5238005170.3408432</v>
      </c>
      <c r="N415" s="72">
        <v>-29.490913389999999</v>
      </c>
    </row>
    <row r="416" spans="1:14">
      <c r="A416">
        <v>5140866773.5472565</v>
      </c>
      <c r="B416" s="72">
        <v>-26.68241119</v>
      </c>
      <c r="D416">
        <v>5185866773.5472565</v>
      </c>
      <c r="E416" s="72">
        <v>-28.909027099999999</v>
      </c>
      <c r="G416">
        <v>5239506773.5472565</v>
      </c>
      <c r="H416" s="72">
        <v>-31.613430019999999</v>
      </c>
      <c r="J416">
        <v>5142366773.5472565</v>
      </c>
      <c r="K416" s="72">
        <v>-26.73671341</v>
      </c>
      <c r="M416">
        <v>5238006773.5472565</v>
      </c>
      <c r="N416" s="72">
        <v>-30.878879550000001</v>
      </c>
    </row>
    <row r="417" spans="1:14">
      <c r="A417">
        <v>5140868376.7536697</v>
      </c>
      <c r="B417" s="72">
        <v>-26.638969419999999</v>
      </c>
      <c r="D417">
        <v>5185868376.7536697</v>
      </c>
      <c r="E417" s="72">
        <v>-28.338214870000002</v>
      </c>
      <c r="G417">
        <v>5239508376.7536697</v>
      </c>
      <c r="H417" s="72">
        <v>-31.024581909999998</v>
      </c>
      <c r="J417">
        <v>5142368376.7536697</v>
      </c>
      <c r="K417" s="72">
        <v>-27.07122421</v>
      </c>
      <c r="M417">
        <v>5238008376.7536697</v>
      </c>
      <c r="N417" s="72">
        <v>-31.058601379999999</v>
      </c>
    </row>
    <row r="418" spans="1:14">
      <c r="A418">
        <v>5140869979.960083</v>
      </c>
      <c r="B418" s="72">
        <v>-25.750064850000001</v>
      </c>
      <c r="D418">
        <v>5185869979.960083</v>
      </c>
      <c r="E418" s="72">
        <v>-28.71103287</v>
      </c>
      <c r="G418">
        <v>5239509979.960083</v>
      </c>
      <c r="H418" s="72">
        <v>-31.52275848</v>
      </c>
      <c r="J418">
        <v>5142369979.960083</v>
      </c>
      <c r="K418" s="72">
        <v>-25.401683810000002</v>
      </c>
      <c r="M418">
        <v>5238009979.960083</v>
      </c>
      <c r="N418" s="72">
        <v>-30.871467590000002</v>
      </c>
    </row>
    <row r="419" spans="1:14">
      <c r="A419">
        <v>5140871583.1664963</v>
      </c>
      <c r="B419" s="72">
        <v>-25.994873049999999</v>
      </c>
      <c r="D419">
        <v>5185871583.1664963</v>
      </c>
      <c r="E419" s="72">
        <v>-28.653728489999999</v>
      </c>
      <c r="G419">
        <v>5239511583.1664963</v>
      </c>
      <c r="H419" s="72">
        <v>-31.327587130000001</v>
      </c>
      <c r="J419">
        <v>5142371583.1664963</v>
      </c>
      <c r="K419" s="72">
        <v>-25.819110869999999</v>
      </c>
      <c r="M419">
        <v>5238011583.1664963</v>
      </c>
      <c r="N419" s="72">
        <v>-30.626213069999999</v>
      </c>
    </row>
    <row r="420" spans="1:14">
      <c r="A420">
        <v>5140873186.3729095</v>
      </c>
      <c r="B420" s="72">
        <v>-26.124286649999998</v>
      </c>
      <c r="D420">
        <v>5185873186.3729095</v>
      </c>
      <c r="E420" s="72">
        <v>-28.046058649999999</v>
      </c>
      <c r="G420">
        <v>5239513186.3729095</v>
      </c>
      <c r="H420" s="72">
        <v>-30.162654880000002</v>
      </c>
      <c r="J420">
        <v>5142373186.3729095</v>
      </c>
      <c r="K420" s="72">
        <v>-26.746677399999999</v>
      </c>
      <c r="M420">
        <v>5238013186.3729095</v>
      </c>
      <c r="N420" s="72">
        <v>-29.103115079999998</v>
      </c>
    </row>
    <row r="421" spans="1:14">
      <c r="A421">
        <v>5140874789.5793228</v>
      </c>
      <c r="B421" s="72">
        <v>-26.726795200000002</v>
      </c>
      <c r="D421">
        <v>5185874789.5793228</v>
      </c>
      <c r="E421" s="72">
        <v>-27.306217190000002</v>
      </c>
      <c r="G421">
        <v>5239514789.5793228</v>
      </c>
      <c r="H421" s="72">
        <v>-29.44550323</v>
      </c>
      <c r="J421">
        <v>5142374789.5793228</v>
      </c>
      <c r="K421" s="72">
        <v>-25.651939389999999</v>
      </c>
      <c r="M421">
        <v>5238014789.5793228</v>
      </c>
      <c r="N421" s="72">
        <v>-29.937290189999999</v>
      </c>
    </row>
    <row r="422" spans="1:14">
      <c r="A422">
        <v>5140876392.7857361</v>
      </c>
      <c r="B422" s="72">
        <v>-25.820037840000001</v>
      </c>
      <c r="D422">
        <v>5185876392.7857361</v>
      </c>
      <c r="E422" s="72">
        <v>-28.549800869999999</v>
      </c>
      <c r="G422">
        <v>5239516392.7857361</v>
      </c>
      <c r="H422" s="72">
        <v>-30.554851530000001</v>
      </c>
      <c r="J422">
        <v>5142376392.7857361</v>
      </c>
      <c r="K422" s="72">
        <v>-25.92452621</v>
      </c>
      <c r="M422">
        <v>5238016392.7857361</v>
      </c>
      <c r="N422" s="72">
        <v>-30.512432100000002</v>
      </c>
    </row>
    <row r="423" spans="1:14">
      <c r="A423">
        <v>5140877995.9921494</v>
      </c>
      <c r="B423" s="72">
        <v>-25.571586610000001</v>
      </c>
      <c r="D423">
        <v>5185877995.9921494</v>
      </c>
      <c r="E423" s="72">
        <v>-27.317329409999999</v>
      </c>
      <c r="G423">
        <v>5239517995.9921494</v>
      </c>
      <c r="H423" s="72">
        <v>-29.335861210000001</v>
      </c>
      <c r="J423">
        <v>5142377995.9921494</v>
      </c>
      <c r="K423" s="72">
        <v>-25.121349330000001</v>
      </c>
      <c r="M423">
        <v>5238017995.9921494</v>
      </c>
      <c r="N423" s="72">
        <v>-28.960414889999999</v>
      </c>
    </row>
    <row r="424" spans="1:14">
      <c r="A424">
        <v>5140879599.1985626</v>
      </c>
      <c r="B424" s="72">
        <v>-27.480102540000001</v>
      </c>
      <c r="D424">
        <v>5185879599.1985626</v>
      </c>
      <c r="E424" s="72">
        <v>-29.522560120000001</v>
      </c>
      <c r="G424">
        <v>5239519599.1985626</v>
      </c>
      <c r="H424" s="72">
        <v>-31.391311649999999</v>
      </c>
      <c r="J424">
        <v>5142379599.1985626</v>
      </c>
      <c r="K424" s="72">
        <v>-25.54386139</v>
      </c>
      <c r="M424">
        <v>5238019599.1985626</v>
      </c>
      <c r="N424" s="72">
        <v>-29.97921371</v>
      </c>
    </row>
    <row r="425" spans="1:14">
      <c r="A425">
        <v>5140881202.4049759</v>
      </c>
      <c r="B425" s="72">
        <v>-25.080181119999999</v>
      </c>
      <c r="D425">
        <v>5185881202.4049759</v>
      </c>
      <c r="E425" s="72">
        <v>-28.223217009999999</v>
      </c>
      <c r="G425">
        <v>5239521202.4049759</v>
      </c>
      <c r="H425" s="72">
        <v>-30.360233310000002</v>
      </c>
      <c r="J425">
        <v>5142381202.4049759</v>
      </c>
      <c r="K425" s="72">
        <v>-25.994754790000002</v>
      </c>
      <c r="M425">
        <v>5238021202.4049759</v>
      </c>
      <c r="N425" s="72">
        <v>-30.222579960000001</v>
      </c>
    </row>
    <row r="426" spans="1:14">
      <c r="A426">
        <v>5140882805.6113892</v>
      </c>
      <c r="B426" s="72">
        <v>-26.077419280000001</v>
      </c>
      <c r="D426">
        <v>5185882805.6113892</v>
      </c>
      <c r="E426" s="72">
        <v>-28.951019290000001</v>
      </c>
      <c r="G426">
        <v>5239522805.6113892</v>
      </c>
      <c r="H426" s="72">
        <v>-31.093444819999998</v>
      </c>
      <c r="J426">
        <v>5142382805.6113892</v>
      </c>
      <c r="K426" s="72">
        <v>-25.76439667</v>
      </c>
      <c r="M426">
        <v>5238022805.6113892</v>
      </c>
      <c r="N426" s="72">
        <v>-29.941421510000001</v>
      </c>
    </row>
    <row r="427" spans="1:14">
      <c r="A427">
        <v>5140884408.8178024</v>
      </c>
      <c r="B427" s="72">
        <v>-26.582836149999999</v>
      </c>
      <c r="D427">
        <v>5185884408.8178024</v>
      </c>
      <c r="E427" s="72">
        <v>-27.308967590000002</v>
      </c>
      <c r="G427">
        <v>5239524408.8178024</v>
      </c>
      <c r="H427" s="72">
        <v>-29.47530746</v>
      </c>
      <c r="J427">
        <v>5142384408.8178024</v>
      </c>
      <c r="K427" s="72">
        <v>-25.361026760000001</v>
      </c>
      <c r="M427">
        <v>5238024408.8178024</v>
      </c>
      <c r="N427" s="72">
        <v>-29.475265499999999</v>
      </c>
    </row>
    <row r="428" spans="1:14">
      <c r="A428">
        <v>5140886012.0242157</v>
      </c>
      <c r="B428" s="72">
        <v>-26.162410739999999</v>
      </c>
      <c r="D428">
        <v>5185886012.0242157</v>
      </c>
      <c r="E428" s="72">
        <v>-29.01126099</v>
      </c>
      <c r="G428">
        <v>5239526012.0242157</v>
      </c>
      <c r="H428" s="72">
        <v>-30.81616211</v>
      </c>
      <c r="J428">
        <v>5142386012.0242157</v>
      </c>
      <c r="K428" s="72">
        <v>-25.374050140000001</v>
      </c>
      <c r="M428">
        <v>5238026012.0242157</v>
      </c>
      <c r="N428" s="72">
        <v>-29.636062620000001</v>
      </c>
    </row>
    <row r="429" spans="1:14">
      <c r="A429">
        <v>5140887615.230629</v>
      </c>
      <c r="B429" s="72">
        <v>-25.86340714</v>
      </c>
      <c r="D429">
        <v>5185887615.230629</v>
      </c>
      <c r="E429" s="72">
        <v>-27.745674130000001</v>
      </c>
      <c r="G429">
        <v>5239527615.230629</v>
      </c>
      <c r="H429" s="72">
        <v>-29.880416870000001</v>
      </c>
      <c r="J429">
        <v>5142387615.230629</v>
      </c>
      <c r="K429" s="72">
        <v>-26.727489469999998</v>
      </c>
      <c r="M429">
        <v>5238027615.230629</v>
      </c>
      <c r="N429" s="72">
        <v>-31.018604280000002</v>
      </c>
    </row>
    <row r="430" spans="1:14">
      <c r="A430">
        <v>5140889218.4370422</v>
      </c>
      <c r="B430" s="72">
        <v>-25.700115199999999</v>
      </c>
      <c r="D430">
        <v>5185889218.4370422</v>
      </c>
      <c r="E430" s="72">
        <v>-29.575004580000002</v>
      </c>
      <c r="G430">
        <v>5239529218.4370422</v>
      </c>
      <c r="H430" s="72">
        <v>-31.711498259999999</v>
      </c>
      <c r="J430">
        <v>5142389218.4370422</v>
      </c>
      <c r="K430" s="72">
        <v>-25.601860049999999</v>
      </c>
      <c r="M430">
        <v>5238029218.4370422</v>
      </c>
      <c r="N430" s="72">
        <v>-30.234680180000002</v>
      </c>
    </row>
    <row r="431" spans="1:14">
      <c r="A431">
        <v>5140890821.6434555</v>
      </c>
      <c r="B431" s="72">
        <v>-26.966236110000001</v>
      </c>
      <c r="D431">
        <v>5185890821.6434555</v>
      </c>
      <c r="E431" s="72">
        <v>-27.71047592</v>
      </c>
      <c r="G431">
        <v>5239530821.6434555</v>
      </c>
      <c r="H431" s="72">
        <v>-29.888557429999999</v>
      </c>
      <c r="J431">
        <v>5142390821.6434555</v>
      </c>
      <c r="K431" s="72">
        <v>-26.007564540000001</v>
      </c>
      <c r="M431">
        <v>5238030821.6434555</v>
      </c>
      <c r="N431" s="72">
        <v>-30.525741579999998</v>
      </c>
    </row>
    <row r="432" spans="1:14">
      <c r="A432">
        <v>5140892424.8498688</v>
      </c>
      <c r="B432" s="72">
        <v>-26.258689879999999</v>
      </c>
      <c r="D432">
        <v>5185892424.8498688</v>
      </c>
      <c r="E432" s="72">
        <v>-28.519935610000001</v>
      </c>
      <c r="G432">
        <v>5239532424.8498688</v>
      </c>
      <c r="H432" s="72">
        <v>-30.63083267</v>
      </c>
      <c r="J432">
        <v>5142392424.8498688</v>
      </c>
      <c r="K432" s="72">
        <v>-26.325973510000001</v>
      </c>
      <c r="M432">
        <v>5238032424.8498688</v>
      </c>
      <c r="N432" s="72">
        <v>-30.63725281</v>
      </c>
    </row>
    <row r="433" spans="1:14">
      <c r="A433">
        <v>5140894028.056282</v>
      </c>
      <c r="B433" s="72">
        <v>-26.787025450000002</v>
      </c>
      <c r="D433">
        <v>5185894028.056282</v>
      </c>
      <c r="E433" s="72">
        <v>-29.035022739999999</v>
      </c>
      <c r="G433">
        <v>5239534028.056282</v>
      </c>
      <c r="H433" s="72">
        <v>-31.04064941</v>
      </c>
      <c r="J433">
        <v>5142394028.056282</v>
      </c>
      <c r="K433" s="72">
        <v>-25.882854460000001</v>
      </c>
      <c r="M433">
        <v>5238034028.056282</v>
      </c>
      <c r="N433" s="72">
        <v>-30.146495819999998</v>
      </c>
    </row>
    <row r="434" spans="1:14">
      <c r="A434">
        <v>5140895631.2626953</v>
      </c>
      <c r="B434" s="72">
        <v>-26.458202360000001</v>
      </c>
      <c r="D434">
        <v>5185895631.2626953</v>
      </c>
      <c r="E434" s="72">
        <v>-28.43967438</v>
      </c>
      <c r="G434">
        <v>5239535631.2626953</v>
      </c>
      <c r="H434" s="72">
        <v>-30.45365524</v>
      </c>
      <c r="J434">
        <v>5142395631.2626953</v>
      </c>
      <c r="K434" s="72">
        <v>-26.262390140000001</v>
      </c>
      <c r="M434">
        <v>5238035631.2626953</v>
      </c>
      <c r="N434" s="72">
        <v>-31.031078340000001</v>
      </c>
    </row>
    <row r="435" spans="1:14">
      <c r="A435">
        <v>5140897234.4691086</v>
      </c>
      <c r="B435" s="72">
        <v>-26.721832280000001</v>
      </c>
      <c r="D435">
        <v>5185897234.4691086</v>
      </c>
      <c r="E435" s="72">
        <v>-28.53238678</v>
      </c>
      <c r="G435">
        <v>5239537234.4691086</v>
      </c>
      <c r="H435" s="72">
        <v>-30.63370132</v>
      </c>
      <c r="J435">
        <v>5142397234.4691086</v>
      </c>
      <c r="K435" s="72">
        <v>-26.482387540000001</v>
      </c>
      <c r="M435">
        <v>5238037234.4691086</v>
      </c>
      <c r="N435" s="72">
        <v>-30.149189</v>
      </c>
    </row>
    <row r="436" spans="1:14">
      <c r="A436">
        <v>5140898837.6755219</v>
      </c>
      <c r="B436" s="72">
        <v>-25.39535141</v>
      </c>
      <c r="D436">
        <v>5185898837.6755219</v>
      </c>
      <c r="E436" s="72">
        <v>-28.825744629999999</v>
      </c>
      <c r="G436">
        <v>5239538837.6755219</v>
      </c>
      <c r="H436" s="72">
        <v>-30.90391541</v>
      </c>
      <c r="J436">
        <v>5142398837.6755219</v>
      </c>
      <c r="K436" s="72">
        <v>-24.886764530000001</v>
      </c>
      <c r="M436">
        <v>5238038837.6755219</v>
      </c>
      <c r="N436" s="72">
        <v>-30.521789550000001</v>
      </c>
    </row>
    <row r="437" spans="1:14">
      <c r="A437">
        <v>5140900440.8819351</v>
      </c>
      <c r="B437" s="72">
        <v>-26.700431819999999</v>
      </c>
      <c r="D437">
        <v>5185900440.8819351</v>
      </c>
      <c r="E437" s="72">
        <v>-28.795238489999999</v>
      </c>
      <c r="G437">
        <v>5239540440.8819351</v>
      </c>
      <c r="H437" s="72">
        <v>-30.99826813</v>
      </c>
      <c r="J437">
        <v>5142400440.8819351</v>
      </c>
      <c r="K437" s="72">
        <v>-26.361049649999998</v>
      </c>
      <c r="M437">
        <v>5238040440.8819351</v>
      </c>
      <c r="N437" s="72">
        <v>-29.8175621</v>
      </c>
    </row>
    <row r="438" spans="1:14">
      <c r="A438">
        <v>5140902044.0883484</v>
      </c>
      <c r="B438" s="72">
        <v>-26.640789030000001</v>
      </c>
      <c r="D438">
        <v>5185902044.0883484</v>
      </c>
      <c r="E438" s="72">
        <v>-28.89335251</v>
      </c>
      <c r="G438">
        <v>5239542044.0883484</v>
      </c>
      <c r="H438" s="72">
        <v>-31.07320786</v>
      </c>
      <c r="J438">
        <v>5142402044.0883484</v>
      </c>
      <c r="K438" s="72">
        <v>-24.956302640000001</v>
      </c>
      <c r="M438">
        <v>5238042044.0883484</v>
      </c>
      <c r="N438" s="72">
        <v>-30.293895719999998</v>
      </c>
    </row>
    <row r="439" spans="1:14">
      <c r="A439">
        <v>5140903647.2947617</v>
      </c>
      <c r="B439" s="72">
        <v>-26.744701389999999</v>
      </c>
      <c r="D439">
        <v>5185903647.2947617</v>
      </c>
      <c r="E439" s="72">
        <v>-28.74481201</v>
      </c>
      <c r="G439">
        <v>5239543647.2947617</v>
      </c>
      <c r="H439" s="72">
        <v>-30.851398469999999</v>
      </c>
      <c r="J439">
        <v>5142403647.2947617</v>
      </c>
      <c r="K439" s="72">
        <v>-26.544418329999999</v>
      </c>
      <c r="M439">
        <v>5238043647.2947617</v>
      </c>
      <c r="N439" s="72">
        <v>-29.958652499999999</v>
      </c>
    </row>
    <row r="440" spans="1:14">
      <c r="A440">
        <v>5140905250.5011749</v>
      </c>
      <c r="B440" s="72">
        <v>-26.31344223</v>
      </c>
      <c r="D440">
        <v>5185905250.5011749</v>
      </c>
      <c r="E440" s="72">
        <v>-28.597980499999998</v>
      </c>
      <c r="G440">
        <v>5239545250.5011749</v>
      </c>
      <c r="H440" s="72">
        <v>-30.62565231</v>
      </c>
      <c r="J440">
        <v>5142405250.5011749</v>
      </c>
      <c r="K440" s="72">
        <v>-25.893131260000001</v>
      </c>
      <c r="M440">
        <v>5238045250.5011749</v>
      </c>
      <c r="N440" s="72">
        <v>-30.847522739999999</v>
      </c>
    </row>
    <row r="441" spans="1:14">
      <c r="A441">
        <v>5140906853.7075882</v>
      </c>
      <c r="B441" s="72">
        <v>-26.731731409999998</v>
      </c>
      <c r="D441">
        <v>5185906853.7075882</v>
      </c>
      <c r="E441" s="72">
        <v>-28.55526733</v>
      </c>
      <c r="G441">
        <v>5239546853.7075882</v>
      </c>
      <c r="H441" s="72">
        <v>-30.720878599999999</v>
      </c>
      <c r="J441">
        <v>5142406853.7075882</v>
      </c>
      <c r="K441" s="72">
        <v>-25.966320039999999</v>
      </c>
      <c r="M441">
        <v>5238046853.7075882</v>
      </c>
      <c r="N441" s="72">
        <v>-30.476566309999999</v>
      </c>
    </row>
    <row r="442" spans="1:14">
      <c r="A442">
        <v>5140908456.9140015</v>
      </c>
      <c r="B442" s="72">
        <v>-27.895984649999999</v>
      </c>
      <c r="D442">
        <v>5185908456.9140015</v>
      </c>
      <c r="E442" s="72">
        <v>-30.651752470000002</v>
      </c>
      <c r="G442">
        <v>5239548456.9140015</v>
      </c>
      <c r="H442" s="72">
        <v>-32.761054989999998</v>
      </c>
      <c r="J442">
        <v>5142408456.9140015</v>
      </c>
      <c r="K442" s="72">
        <v>-26.033962249999998</v>
      </c>
      <c r="M442">
        <v>5238048456.9140015</v>
      </c>
      <c r="N442" s="72">
        <v>-29.999626159999998</v>
      </c>
    </row>
    <row r="443" spans="1:14">
      <c r="A443">
        <v>5140910060.1204147</v>
      </c>
      <c r="B443" s="72">
        <v>-25.62779617</v>
      </c>
      <c r="D443">
        <v>5185910060.1204147</v>
      </c>
      <c r="E443" s="72">
        <v>-28.37608719</v>
      </c>
      <c r="G443">
        <v>5239550060.1204147</v>
      </c>
      <c r="H443" s="72">
        <v>-30.499355319999999</v>
      </c>
      <c r="J443">
        <v>5142410060.1204147</v>
      </c>
      <c r="K443" s="72">
        <v>-25.98885727</v>
      </c>
      <c r="M443">
        <v>5238050060.1204147</v>
      </c>
      <c r="N443" s="72">
        <v>-30.80181885</v>
      </c>
    </row>
    <row r="444" spans="1:14">
      <c r="A444">
        <v>5140911663.326828</v>
      </c>
      <c r="B444" s="72">
        <v>-26.84732056</v>
      </c>
      <c r="D444">
        <v>5185911663.326828</v>
      </c>
      <c r="E444" s="72">
        <v>-28.843059539999999</v>
      </c>
      <c r="G444">
        <v>5239551663.326828</v>
      </c>
      <c r="H444" s="72">
        <v>-30.860282900000001</v>
      </c>
      <c r="J444">
        <v>5142411663.326828</v>
      </c>
      <c r="K444" s="72">
        <v>-26.23044968</v>
      </c>
      <c r="M444">
        <v>5238051663.326828</v>
      </c>
      <c r="N444" s="72">
        <v>-30.972652440000001</v>
      </c>
    </row>
    <row r="445" spans="1:14">
      <c r="A445">
        <v>5140913266.5332413</v>
      </c>
      <c r="B445" s="72">
        <v>-27.980442050000001</v>
      </c>
      <c r="D445">
        <v>5185913266.5332413</v>
      </c>
      <c r="E445" s="72">
        <v>-29.643486020000001</v>
      </c>
      <c r="G445">
        <v>5239553266.5332413</v>
      </c>
      <c r="H445" s="72">
        <v>-31.731884000000001</v>
      </c>
      <c r="J445">
        <v>5142413266.5332413</v>
      </c>
      <c r="K445" s="72">
        <v>-26.175052640000001</v>
      </c>
      <c r="M445">
        <v>5238053266.5332413</v>
      </c>
      <c r="N445" s="72">
        <v>-30.784587859999998</v>
      </c>
    </row>
    <row r="446" spans="1:14">
      <c r="A446">
        <v>5140914869.7396545</v>
      </c>
      <c r="B446" s="72">
        <v>-25.099784849999999</v>
      </c>
      <c r="D446">
        <v>5185914869.7396545</v>
      </c>
      <c r="E446" s="72">
        <v>-27.74107742</v>
      </c>
      <c r="G446">
        <v>5239554869.7396545</v>
      </c>
      <c r="H446" s="72">
        <v>-30.014213560000002</v>
      </c>
      <c r="J446">
        <v>5142414869.7396545</v>
      </c>
      <c r="K446" s="72">
        <v>-26.98803711</v>
      </c>
      <c r="M446">
        <v>5238054869.7396545</v>
      </c>
      <c r="N446" s="72">
        <v>-30.70013428</v>
      </c>
    </row>
    <row r="447" spans="1:14">
      <c r="A447">
        <v>5140916472.9460678</v>
      </c>
      <c r="B447" s="72">
        <v>-27.657081600000001</v>
      </c>
      <c r="D447">
        <v>5185916472.9460678</v>
      </c>
      <c r="E447" s="72">
        <v>-30.002231600000002</v>
      </c>
      <c r="G447">
        <v>5239556472.9460678</v>
      </c>
      <c r="H447" s="72">
        <v>-32.311054230000003</v>
      </c>
      <c r="J447">
        <v>5142416472.9460678</v>
      </c>
      <c r="K447" s="72">
        <v>-25.380092619999999</v>
      </c>
      <c r="M447">
        <v>5238056472.9460678</v>
      </c>
      <c r="N447" s="72">
        <v>-29.965530399999999</v>
      </c>
    </row>
    <row r="448" spans="1:14">
      <c r="A448">
        <v>5140918076.1524811</v>
      </c>
      <c r="B448" s="72">
        <v>-25.70020294</v>
      </c>
      <c r="D448">
        <v>5185918076.1524811</v>
      </c>
      <c r="E448" s="72">
        <v>-28.185058590000001</v>
      </c>
      <c r="G448">
        <v>5239558076.1524811</v>
      </c>
      <c r="H448" s="72">
        <v>-30.34623337</v>
      </c>
      <c r="J448">
        <v>5142418076.1524811</v>
      </c>
      <c r="K448" s="72">
        <v>-25.191303250000001</v>
      </c>
      <c r="M448">
        <v>5238058076.1524811</v>
      </c>
      <c r="N448" s="72">
        <v>-29.996486659999999</v>
      </c>
    </row>
    <row r="449" spans="1:14">
      <c r="A449">
        <v>5140919679.3588943</v>
      </c>
      <c r="B449" s="72">
        <v>-28.395381929999999</v>
      </c>
      <c r="D449">
        <v>5185919679.3588943</v>
      </c>
      <c r="E449" s="72">
        <v>-29.640708920000002</v>
      </c>
      <c r="G449">
        <v>5239559679.3588943</v>
      </c>
      <c r="H449" s="72">
        <v>-31.761714940000001</v>
      </c>
      <c r="J449">
        <v>5142419679.3588943</v>
      </c>
      <c r="K449" s="72">
        <v>-28.030128479999998</v>
      </c>
      <c r="M449">
        <v>5238059679.3588943</v>
      </c>
      <c r="N449" s="72">
        <v>-31.468570710000002</v>
      </c>
    </row>
    <row r="450" spans="1:14">
      <c r="A450">
        <v>5140921282.5653076</v>
      </c>
      <c r="B450" s="72">
        <v>-27.12758255</v>
      </c>
      <c r="D450">
        <v>5185921282.5653076</v>
      </c>
      <c r="E450" s="72">
        <v>-28.577507019999999</v>
      </c>
      <c r="G450">
        <v>5239561282.5653076</v>
      </c>
      <c r="H450" s="72">
        <v>-30.772411349999999</v>
      </c>
      <c r="J450">
        <v>5142421282.5653076</v>
      </c>
      <c r="K450" s="72">
        <v>-27.317241670000001</v>
      </c>
      <c r="M450">
        <v>5238061282.5653076</v>
      </c>
      <c r="N450" s="72">
        <v>-31.25301361</v>
      </c>
    </row>
    <row r="451" spans="1:14">
      <c r="A451">
        <v>5140922885.7717209</v>
      </c>
      <c r="B451" s="72">
        <v>-26.22528076</v>
      </c>
      <c r="D451">
        <v>5185922885.7717209</v>
      </c>
      <c r="E451" s="72">
        <v>-28.98654938</v>
      </c>
      <c r="G451">
        <v>5239562885.7717209</v>
      </c>
      <c r="H451" s="72">
        <v>-31.4816246</v>
      </c>
      <c r="J451">
        <v>5142422885.7717209</v>
      </c>
      <c r="K451" s="72">
        <v>-25.588825230000001</v>
      </c>
      <c r="M451">
        <v>5238062885.7717209</v>
      </c>
      <c r="N451" s="72">
        <v>-31.17271805</v>
      </c>
    </row>
    <row r="452" spans="1:14">
      <c r="A452">
        <v>5140924488.9781342</v>
      </c>
      <c r="B452" s="72">
        <v>-26.312294009999999</v>
      </c>
      <c r="D452">
        <v>5185924488.9781342</v>
      </c>
      <c r="E452" s="72">
        <v>-29.442771910000001</v>
      </c>
      <c r="G452">
        <v>5239564488.9781342</v>
      </c>
      <c r="H452" s="72">
        <v>-31.283908839999999</v>
      </c>
      <c r="J452">
        <v>5142424488.9781342</v>
      </c>
      <c r="K452" s="72">
        <v>-26.757099149999998</v>
      </c>
      <c r="M452">
        <v>5238064488.9781342</v>
      </c>
      <c r="N452" s="72">
        <v>-30.820304870000001</v>
      </c>
    </row>
    <row r="453" spans="1:14">
      <c r="A453">
        <v>5140926092.1845474</v>
      </c>
      <c r="B453" s="72">
        <v>-26.160129550000001</v>
      </c>
      <c r="D453">
        <v>5185926092.1845474</v>
      </c>
      <c r="E453" s="72">
        <v>-28.057323459999999</v>
      </c>
      <c r="G453">
        <v>5239566092.1845474</v>
      </c>
      <c r="H453" s="72">
        <v>-30.299327850000001</v>
      </c>
      <c r="J453">
        <v>5142426092.1845474</v>
      </c>
      <c r="K453" s="72">
        <v>-26.29127884</v>
      </c>
      <c r="M453">
        <v>5238066092.1845474</v>
      </c>
      <c r="N453" s="72">
        <v>-30.45305634</v>
      </c>
    </row>
    <row r="454" spans="1:14">
      <c r="A454">
        <v>5140927695.3909607</v>
      </c>
      <c r="B454" s="72">
        <v>-26.983875269999999</v>
      </c>
      <c r="D454">
        <v>5185927695.3909607</v>
      </c>
      <c r="E454" s="72">
        <v>-27.68245697</v>
      </c>
      <c r="G454">
        <v>5239567695.3909607</v>
      </c>
      <c r="H454" s="72">
        <v>-30.136688230000001</v>
      </c>
      <c r="J454">
        <v>5142427695.3909607</v>
      </c>
      <c r="K454" s="72">
        <v>-26.062820429999999</v>
      </c>
      <c r="M454">
        <v>5238067695.3909607</v>
      </c>
      <c r="N454" s="72">
        <v>-29.348564150000001</v>
      </c>
    </row>
    <row r="455" spans="1:14">
      <c r="A455">
        <v>5140929298.597374</v>
      </c>
      <c r="B455" s="72">
        <v>-26.27099991</v>
      </c>
      <c r="D455">
        <v>5185929298.597374</v>
      </c>
      <c r="E455" s="72">
        <v>-28.840724949999998</v>
      </c>
      <c r="G455">
        <v>5239569298.597374</v>
      </c>
      <c r="H455" s="72">
        <v>-31.068321229999999</v>
      </c>
      <c r="J455">
        <v>5142429298.597374</v>
      </c>
      <c r="K455" s="72">
        <v>-26.319248200000001</v>
      </c>
      <c r="M455">
        <v>5238069298.597374</v>
      </c>
      <c r="N455" s="72">
        <v>-30.430831909999998</v>
      </c>
    </row>
    <row r="456" spans="1:14">
      <c r="A456">
        <v>5140930901.8037872</v>
      </c>
      <c r="B456" s="72">
        <v>-25.823143009999999</v>
      </c>
      <c r="D456">
        <v>5185930901.8037872</v>
      </c>
      <c r="E456" s="72">
        <v>-27.89040756</v>
      </c>
      <c r="G456">
        <v>5239570901.8037872</v>
      </c>
      <c r="H456" s="72">
        <v>-30.35959244</v>
      </c>
      <c r="J456">
        <v>5142430901.8037872</v>
      </c>
      <c r="K456" s="72">
        <v>-25.312301640000001</v>
      </c>
      <c r="M456">
        <v>5238070901.8037872</v>
      </c>
      <c r="N456" s="72">
        <v>-29.539535520000001</v>
      </c>
    </row>
    <row r="457" spans="1:14">
      <c r="A457">
        <v>5140932505.0102005</v>
      </c>
      <c r="B457" s="72">
        <v>-28.07385635</v>
      </c>
      <c r="D457">
        <v>5185932505.0102005</v>
      </c>
      <c r="E457" s="72">
        <v>-29.476814269999998</v>
      </c>
      <c r="G457">
        <v>5239572505.0102005</v>
      </c>
      <c r="H457" s="72">
        <v>-31.923942570000001</v>
      </c>
      <c r="J457">
        <v>5142432505.0102005</v>
      </c>
      <c r="K457" s="72">
        <v>-26.07043839</v>
      </c>
      <c r="M457">
        <v>5238072505.0102005</v>
      </c>
      <c r="N457" s="72">
        <v>-30.07279205</v>
      </c>
    </row>
    <row r="458" spans="1:14">
      <c r="A458">
        <v>5140934108.2166138</v>
      </c>
      <c r="B458" s="72">
        <v>-25.588680270000001</v>
      </c>
      <c r="D458">
        <v>5185934108.2166138</v>
      </c>
      <c r="E458" s="72">
        <v>-29.526611330000001</v>
      </c>
      <c r="G458">
        <v>5239574108.2166138</v>
      </c>
      <c r="H458" s="72">
        <v>-31.766357419999999</v>
      </c>
      <c r="J458">
        <v>5142434108.2166138</v>
      </c>
      <c r="K458" s="72">
        <v>-26.397914889999999</v>
      </c>
      <c r="M458">
        <v>5238074108.2166138</v>
      </c>
      <c r="N458" s="72">
        <v>-30.702262879999999</v>
      </c>
    </row>
    <row r="459" spans="1:14">
      <c r="A459">
        <v>5140935711.423027</v>
      </c>
      <c r="B459" s="72">
        <v>-26.322231290000001</v>
      </c>
      <c r="D459">
        <v>5185935711.423027</v>
      </c>
      <c r="E459" s="72">
        <v>-28.363361359999999</v>
      </c>
      <c r="G459">
        <v>5239575711.423027</v>
      </c>
      <c r="H459" s="72">
        <v>-30.68258286</v>
      </c>
      <c r="J459">
        <v>5142435711.423027</v>
      </c>
      <c r="K459" s="72">
        <v>-26.63338852</v>
      </c>
      <c r="M459">
        <v>5238075711.423027</v>
      </c>
      <c r="N459" s="72">
        <v>-29.781909939999998</v>
      </c>
    </row>
    <row r="460" spans="1:14">
      <c r="A460">
        <v>5140937314.6294403</v>
      </c>
      <c r="B460" s="72">
        <v>-27.071269990000001</v>
      </c>
      <c r="D460">
        <v>5185937314.6294403</v>
      </c>
      <c r="E460" s="72">
        <v>-27.77673721</v>
      </c>
      <c r="G460">
        <v>5239577314.6294403</v>
      </c>
      <c r="H460" s="72">
        <v>-30.353248600000001</v>
      </c>
      <c r="J460">
        <v>5142437314.6294403</v>
      </c>
      <c r="K460" s="72">
        <v>-25.284931180000001</v>
      </c>
      <c r="M460">
        <v>5238077314.6294403</v>
      </c>
      <c r="N460" s="72">
        <v>-29.836978909999999</v>
      </c>
    </row>
    <row r="461" spans="1:14">
      <c r="A461">
        <v>5140938917.8358536</v>
      </c>
      <c r="B461" s="72">
        <v>-26.734504699999999</v>
      </c>
      <c r="D461">
        <v>5185938917.8358536</v>
      </c>
      <c r="E461" s="72">
        <v>-29.276584629999999</v>
      </c>
      <c r="G461">
        <v>5239578917.8358536</v>
      </c>
      <c r="H461" s="72">
        <v>-31.283885959999999</v>
      </c>
      <c r="J461">
        <v>5142438917.8358536</v>
      </c>
      <c r="K461" s="72">
        <v>-25.669635769999999</v>
      </c>
      <c r="M461">
        <v>5238078917.8358536</v>
      </c>
      <c r="N461" s="72">
        <v>-30.0958252</v>
      </c>
    </row>
    <row r="462" spans="1:14">
      <c r="A462">
        <v>5140940521.0422668</v>
      </c>
      <c r="B462" s="72">
        <v>-26.229496000000001</v>
      </c>
      <c r="D462">
        <v>5185940521.0422668</v>
      </c>
      <c r="E462" s="72">
        <v>-28.844486239999998</v>
      </c>
      <c r="G462">
        <v>5239580521.0422668</v>
      </c>
      <c r="H462" s="72">
        <v>-31.623008729999999</v>
      </c>
      <c r="J462">
        <v>5142440521.0422668</v>
      </c>
      <c r="K462" s="72">
        <v>-27.174186710000001</v>
      </c>
      <c r="M462">
        <v>5238080521.0422668</v>
      </c>
      <c r="N462" s="72">
        <v>-31.280666350000001</v>
      </c>
    </row>
    <row r="463" spans="1:14">
      <c r="A463">
        <v>5140942124.2486801</v>
      </c>
      <c r="B463" s="72">
        <v>-26.612697600000001</v>
      </c>
      <c r="D463">
        <v>5185942124.2486801</v>
      </c>
      <c r="E463" s="72">
        <v>-28.970642089999998</v>
      </c>
      <c r="G463">
        <v>5239582124.2486801</v>
      </c>
      <c r="H463" s="72">
        <v>-31.11754608</v>
      </c>
      <c r="J463">
        <v>5142442124.2486801</v>
      </c>
      <c r="K463" s="72">
        <v>-26.11315918</v>
      </c>
      <c r="M463">
        <v>5238082124.2486801</v>
      </c>
      <c r="N463" s="72">
        <v>-31.178043370000001</v>
      </c>
    </row>
    <row r="464" spans="1:14">
      <c r="A464">
        <v>5140943727.4550934</v>
      </c>
      <c r="B464" s="72">
        <v>-26.709270480000001</v>
      </c>
      <c r="D464">
        <v>5185943727.4550934</v>
      </c>
      <c r="E464" s="72">
        <v>-28.364837649999998</v>
      </c>
      <c r="G464">
        <v>5239583727.4550934</v>
      </c>
      <c r="H464" s="72">
        <v>-30.712100979999999</v>
      </c>
      <c r="J464">
        <v>5142443727.4550934</v>
      </c>
      <c r="K464" s="72">
        <v>-26.068416599999999</v>
      </c>
      <c r="M464">
        <v>5238083727.4550934</v>
      </c>
      <c r="N464" s="72">
        <v>-30.264598849999999</v>
      </c>
    </row>
    <row r="465" spans="1:14">
      <c r="A465">
        <v>5140945330.6615067</v>
      </c>
      <c r="B465" s="72">
        <v>-26.934021000000001</v>
      </c>
      <c r="D465">
        <v>5185945330.6615067</v>
      </c>
      <c r="E465" s="72">
        <v>-28.66329575</v>
      </c>
      <c r="G465">
        <v>5239585330.6615067</v>
      </c>
      <c r="H465" s="72">
        <v>-31.307743070000001</v>
      </c>
      <c r="J465">
        <v>5142445330.6615067</v>
      </c>
      <c r="K465" s="72">
        <v>-26.61914062</v>
      </c>
      <c r="M465">
        <v>5238085330.6615067</v>
      </c>
      <c r="N465" s="72">
        <v>-30.8793869</v>
      </c>
    </row>
    <row r="466" spans="1:14">
      <c r="A466">
        <v>5140946933.8679199</v>
      </c>
      <c r="B466" s="72">
        <v>-27.092918399999999</v>
      </c>
      <c r="D466">
        <v>5185946933.8679199</v>
      </c>
      <c r="E466" s="72">
        <v>-29.417194370000001</v>
      </c>
      <c r="G466">
        <v>5239586933.8679199</v>
      </c>
      <c r="H466" s="72">
        <v>-31.504325869999999</v>
      </c>
      <c r="J466">
        <v>5142446933.8679199</v>
      </c>
      <c r="K466" s="72">
        <v>-26.102268219999999</v>
      </c>
      <c r="M466">
        <v>5238086933.8679199</v>
      </c>
      <c r="N466" s="72">
        <v>-30.141971590000001</v>
      </c>
    </row>
    <row r="467" spans="1:14">
      <c r="A467">
        <v>5140948537.0743332</v>
      </c>
      <c r="B467" s="72">
        <v>-26.98150253</v>
      </c>
      <c r="D467">
        <v>5185948537.0743332</v>
      </c>
      <c r="E467" s="72">
        <v>-29.003993990000001</v>
      </c>
      <c r="G467">
        <v>5239588537.0743332</v>
      </c>
      <c r="H467" s="72">
        <v>-31.591243739999999</v>
      </c>
      <c r="J467">
        <v>5142448537.0743332</v>
      </c>
      <c r="K467" s="72">
        <v>-26.960533139999999</v>
      </c>
      <c r="M467">
        <v>5238088537.0743332</v>
      </c>
      <c r="N467" s="72">
        <v>-31.37914658</v>
      </c>
    </row>
    <row r="468" spans="1:14">
      <c r="A468">
        <v>5140950140.2807465</v>
      </c>
      <c r="B468" s="72">
        <v>-26.859889979999998</v>
      </c>
      <c r="D468">
        <v>5185950140.2807465</v>
      </c>
      <c r="E468" s="72">
        <v>-28.920661930000001</v>
      </c>
      <c r="G468">
        <v>5239590140.2807465</v>
      </c>
      <c r="H468" s="72">
        <v>-31.583496090000001</v>
      </c>
      <c r="J468">
        <v>5142450140.2807465</v>
      </c>
      <c r="K468" s="72">
        <v>-26.365028379999998</v>
      </c>
      <c r="M468">
        <v>5238090140.2807465</v>
      </c>
      <c r="N468" s="72">
        <v>-30.886562349999998</v>
      </c>
    </row>
    <row r="469" spans="1:14">
      <c r="A469">
        <v>5140951743.4871597</v>
      </c>
      <c r="B469" s="72">
        <v>-25.998302460000001</v>
      </c>
      <c r="D469">
        <v>5185951743.4871597</v>
      </c>
      <c r="E469" s="72">
        <v>-29.1307869</v>
      </c>
      <c r="G469">
        <v>5239591743.4871597</v>
      </c>
      <c r="H469" s="72">
        <v>-31.708824159999999</v>
      </c>
      <c r="J469">
        <v>5142451743.4871597</v>
      </c>
      <c r="K469" s="72">
        <v>-25.510189059999998</v>
      </c>
      <c r="M469">
        <v>5238091743.4871597</v>
      </c>
      <c r="N469" s="72">
        <v>-30.91888046</v>
      </c>
    </row>
    <row r="470" spans="1:14">
      <c r="A470">
        <v>5140953346.693573</v>
      </c>
      <c r="B470" s="72">
        <v>-27.077964779999999</v>
      </c>
      <c r="D470">
        <v>5185953346.693573</v>
      </c>
      <c r="E470" s="72">
        <v>-29.1457634</v>
      </c>
      <c r="G470">
        <v>5239593346.693573</v>
      </c>
      <c r="H470" s="72">
        <v>-31.187656400000002</v>
      </c>
      <c r="J470">
        <v>5142453346.693573</v>
      </c>
      <c r="K470" s="72">
        <v>-26.528087620000001</v>
      </c>
      <c r="M470">
        <v>5238093346.693573</v>
      </c>
      <c r="N470" s="72">
        <v>-29.606441499999999</v>
      </c>
    </row>
    <row r="471" spans="1:14">
      <c r="A471">
        <v>5140954949.8999863</v>
      </c>
      <c r="B471" s="72">
        <v>-27.10541534</v>
      </c>
      <c r="D471">
        <v>5185954949.8999863</v>
      </c>
      <c r="E471" s="72">
        <v>-29.409976960000002</v>
      </c>
      <c r="G471">
        <v>5239594949.8999863</v>
      </c>
      <c r="H471" s="72">
        <v>-31.983310700000001</v>
      </c>
      <c r="J471">
        <v>5142454949.8999863</v>
      </c>
      <c r="K471" s="72">
        <v>-25.734142299999998</v>
      </c>
      <c r="M471">
        <v>5238094949.8999863</v>
      </c>
      <c r="N471" s="72">
        <v>-31.52710342</v>
      </c>
    </row>
    <row r="472" spans="1:14">
      <c r="A472">
        <v>5140956553.1063995</v>
      </c>
      <c r="B472" s="72">
        <v>-27.275196080000001</v>
      </c>
      <c r="D472">
        <v>5185956553.1063995</v>
      </c>
      <c r="E472" s="72">
        <v>-29.549736020000001</v>
      </c>
      <c r="G472">
        <v>5239596553.1063995</v>
      </c>
      <c r="H472" s="72">
        <v>-31.9823494</v>
      </c>
      <c r="J472">
        <v>5142456553.1063995</v>
      </c>
      <c r="K472" s="72">
        <v>-26.320781709999999</v>
      </c>
      <c r="M472">
        <v>5238096553.1063995</v>
      </c>
      <c r="N472" s="72">
        <v>-29.59693146</v>
      </c>
    </row>
    <row r="473" spans="1:14">
      <c r="A473">
        <v>5140958156.3128128</v>
      </c>
      <c r="B473" s="72">
        <v>-26.925327299999999</v>
      </c>
      <c r="D473">
        <v>5185958156.3128128</v>
      </c>
      <c r="E473" s="72">
        <v>-28.703086849999998</v>
      </c>
      <c r="G473">
        <v>5239598156.3128128</v>
      </c>
      <c r="H473" s="72">
        <v>-31.246681209999998</v>
      </c>
      <c r="J473">
        <v>5142458156.3128128</v>
      </c>
      <c r="K473" s="72">
        <v>-26.318298339999998</v>
      </c>
      <c r="M473">
        <v>5238098156.3128128</v>
      </c>
      <c r="N473" s="72">
        <v>-30.872329709999999</v>
      </c>
    </row>
    <row r="474" spans="1:14">
      <c r="A474">
        <v>5140959759.5192261</v>
      </c>
      <c r="B474" s="72">
        <v>-26.933864589999999</v>
      </c>
      <c r="D474">
        <v>5185959759.5192261</v>
      </c>
      <c r="E474" s="72">
        <v>-29.026142119999999</v>
      </c>
      <c r="G474">
        <v>5239599759.5192261</v>
      </c>
      <c r="H474" s="72">
        <v>-32.21359253</v>
      </c>
      <c r="J474">
        <v>5142459759.5192261</v>
      </c>
      <c r="K474" s="72">
        <v>-26.351325989999999</v>
      </c>
      <c r="M474">
        <v>5238099759.5192261</v>
      </c>
      <c r="N474" s="72">
        <v>-30.904567719999999</v>
      </c>
    </row>
    <row r="475" spans="1:14">
      <c r="A475">
        <v>5140961362.7256393</v>
      </c>
      <c r="B475" s="72">
        <v>-28.395275120000001</v>
      </c>
      <c r="D475">
        <v>5185961362.7256393</v>
      </c>
      <c r="E475" s="72">
        <v>-30.717620849999999</v>
      </c>
      <c r="G475">
        <v>5239601362.7256393</v>
      </c>
      <c r="H475" s="72">
        <v>-32.251216890000002</v>
      </c>
      <c r="J475">
        <v>5142461362.7256393</v>
      </c>
      <c r="K475" s="72">
        <v>-26.291389469999999</v>
      </c>
      <c r="M475">
        <v>5238101362.7256393</v>
      </c>
      <c r="N475" s="72">
        <v>-30.898353579999998</v>
      </c>
    </row>
    <row r="476" spans="1:14">
      <c r="A476">
        <v>5140962965.9320526</v>
      </c>
      <c r="B476" s="72">
        <v>-26.165401459999998</v>
      </c>
      <c r="D476">
        <v>5185962965.9320526</v>
      </c>
      <c r="E476" s="72">
        <v>-29.117908480000001</v>
      </c>
      <c r="G476">
        <v>5239602965.9320526</v>
      </c>
      <c r="H476" s="72">
        <v>-31.370258329999999</v>
      </c>
      <c r="J476">
        <v>5142462965.9320526</v>
      </c>
      <c r="K476" s="72">
        <v>-26.42221451</v>
      </c>
      <c r="M476">
        <v>5238102965.9320526</v>
      </c>
      <c r="N476" s="72">
        <v>-30.744071959999999</v>
      </c>
    </row>
    <row r="477" spans="1:14">
      <c r="A477">
        <v>5140964569.1384659</v>
      </c>
      <c r="B477" s="72">
        <v>-27.615924840000002</v>
      </c>
      <c r="D477">
        <v>5185964569.1384659</v>
      </c>
      <c r="E477" s="72">
        <v>-29.283416750000001</v>
      </c>
      <c r="G477">
        <v>5239604569.1384659</v>
      </c>
      <c r="H477" s="72">
        <v>-32.284828189999999</v>
      </c>
      <c r="J477">
        <v>5142464569.1384659</v>
      </c>
      <c r="K477" s="72">
        <v>-26.72873688</v>
      </c>
      <c r="M477">
        <v>5238104569.1384659</v>
      </c>
      <c r="N477" s="72">
        <v>-30.742126460000001</v>
      </c>
    </row>
    <row r="478" spans="1:14">
      <c r="A478">
        <v>5140966172.3448792</v>
      </c>
      <c r="B478" s="72">
        <v>-27.912502289999999</v>
      </c>
      <c r="D478">
        <v>5185966172.3448792</v>
      </c>
      <c r="E478" s="72">
        <v>-29.813228609999999</v>
      </c>
      <c r="G478">
        <v>5239606172.3448792</v>
      </c>
      <c r="H478" s="72">
        <v>-31.463096620000002</v>
      </c>
      <c r="J478">
        <v>5142466172.3448792</v>
      </c>
      <c r="K478" s="72">
        <v>-26.39253235</v>
      </c>
      <c r="M478">
        <v>5238106172.3448792</v>
      </c>
      <c r="N478" s="72">
        <v>-31.289981839999999</v>
      </c>
    </row>
    <row r="479" spans="1:14">
      <c r="A479">
        <v>5140967775.5512924</v>
      </c>
      <c r="B479" s="72">
        <v>-25.595832819999998</v>
      </c>
      <c r="D479">
        <v>5185967775.5512924</v>
      </c>
      <c r="E479" s="72">
        <v>-28.176136020000001</v>
      </c>
      <c r="G479">
        <v>5239607775.5512924</v>
      </c>
      <c r="H479" s="72">
        <v>-31.089954380000002</v>
      </c>
      <c r="J479">
        <v>5142467775.5512924</v>
      </c>
      <c r="K479" s="72">
        <v>-27.354972839999999</v>
      </c>
      <c r="M479">
        <v>5238107775.5512924</v>
      </c>
      <c r="N479" s="72">
        <v>-31.213367460000001</v>
      </c>
    </row>
    <row r="480" spans="1:14">
      <c r="A480">
        <v>5140969378.7577057</v>
      </c>
      <c r="B480" s="72">
        <v>-28.556972500000001</v>
      </c>
      <c r="D480">
        <v>5185969378.7577057</v>
      </c>
      <c r="E480" s="72">
        <v>-30.04422379</v>
      </c>
      <c r="G480">
        <v>5239609378.7577057</v>
      </c>
      <c r="H480" s="72">
        <v>-32.11494064</v>
      </c>
      <c r="J480">
        <v>5142469378.7577057</v>
      </c>
      <c r="K480" s="72">
        <v>-26.177127840000001</v>
      </c>
      <c r="M480">
        <v>5238109378.7577057</v>
      </c>
      <c r="N480" s="72">
        <v>-30.29161835</v>
      </c>
    </row>
    <row r="481" spans="1:14">
      <c r="A481">
        <v>5140970981.964119</v>
      </c>
      <c r="B481" s="72">
        <v>-25.858303070000002</v>
      </c>
      <c r="D481">
        <v>5185970981.964119</v>
      </c>
      <c r="E481" s="72">
        <v>-29.013275149999998</v>
      </c>
      <c r="G481">
        <v>5239610981.964119</v>
      </c>
      <c r="H481" s="72">
        <v>-31.923000340000002</v>
      </c>
      <c r="J481">
        <v>5142470981.964119</v>
      </c>
      <c r="K481" s="72">
        <v>-25.286026</v>
      </c>
      <c r="M481">
        <v>5238110981.964119</v>
      </c>
      <c r="N481" s="72">
        <v>-30.88293457</v>
      </c>
    </row>
    <row r="482" spans="1:14">
      <c r="A482">
        <v>5140972585.1705322</v>
      </c>
      <c r="B482" s="72">
        <v>-28.706657409999998</v>
      </c>
      <c r="D482">
        <v>5185972585.1705322</v>
      </c>
      <c r="E482" s="72">
        <v>-29.51998901</v>
      </c>
      <c r="G482">
        <v>5239612585.1705322</v>
      </c>
      <c r="H482" s="72">
        <v>-31.73109818</v>
      </c>
      <c r="J482">
        <v>5142472585.1705322</v>
      </c>
      <c r="K482" s="72">
        <v>-28.213485720000001</v>
      </c>
      <c r="M482">
        <v>5238112585.1705322</v>
      </c>
      <c r="N482" s="72">
        <v>-31.043636320000001</v>
      </c>
    </row>
    <row r="483" spans="1:14">
      <c r="A483">
        <v>5140974188.3769455</v>
      </c>
      <c r="B483" s="72">
        <v>-26.786464689999999</v>
      </c>
      <c r="D483">
        <v>5185974188.3769455</v>
      </c>
      <c r="E483" s="72">
        <v>-29.307308200000001</v>
      </c>
      <c r="G483">
        <v>5239614188.3769455</v>
      </c>
      <c r="H483" s="72">
        <v>-31.707405090000002</v>
      </c>
      <c r="J483">
        <v>5142474188.3769455</v>
      </c>
      <c r="K483" s="72">
        <v>-26.131450650000001</v>
      </c>
      <c r="M483">
        <v>5238114188.3769455</v>
      </c>
      <c r="N483" s="72">
        <v>-30.71689224</v>
      </c>
    </row>
    <row r="484" spans="1:14">
      <c r="A484">
        <v>5140975791.5833588</v>
      </c>
      <c r="B484" s="72">
        <v>-26.13908005</v>
      </c>
      <c r="D484">
        <v>5185975791.5833588</v>
      </c>
      <c r="E484" s="72">
        <v>-29.152351379999999</v>
      </c>
      <c r="G484">
        <v>5239615791.5833588</v>
      </c>
      <c r="H484" s="72">
        <v>-31.322727199999999</v>
      </c>
      <c r="J484">
        <v>5142475791.5833588</v>
      </c>
      <c r="K484" s="72">
        <v>-26.602890009999999</v>
      </c>
      <c r="M484">
        <v>5238115791.5833588</v>
      </c>
      <c r="N484" s="72">
        <v>-30.72757339</v>
      </c>
    </row>
    <row r="485" spans="1:14">
      <c r="A485">
        <v>5140977394.789772</v>
      </c>
      <c r="B485" s="72">
        <v>-27.13761139</v>
      </c>
      <c r="D485">
        <v>5185977394.789772</v>
      </c>
      <c r="E485" s="72">
        <v>-28.579601289999999</v>
      </c>
      <c r="G485">
        <v>5239617394.789772</v>
      </c>
      <c r="H485" s="72">
        <v>-31.073028560000001</v>
      </c>
      <c r="J485">
        <v>5142477394.789772</v>
      </c>
      <c r="K485" s="72">
        <v>-26.51147461</v>
      </c>
      <c r="M485">
        <v>5238117394.789772</v>
      </c>
      <c r="N485" s="72">
        <v>-32.357357030000003</v>
      </c>
    </row>
    <row r="486" spans="1:14">
      <c r="A486">
        <v>5140978997.9961853</v>
      </c>
      <c r="B486" s="72">
        <v>-27.174491880000001</v>
      </c>
      <c r="D486">
        <v>5185978997.9961853</v>
      </c>
      <c r="E486" s="72">
        <v>-29.08094406</v>
      </c>
      <c r="G486">
        <v>5239618997.9961853</v>
      </c>
      <c r="H486" s="72">
        <v>-32.139217379999998</v>
      </c>
      <c r="J486">
        <v>5142478997.9961853</v>
      </c>
      <c r="K486" s="72">
        <v>-26.380500789999999</v>
      </c>
      <c r="M486">
        <v>5238118997.9961853</v>
      </c>
      <c r="N486" s="72">
        <v>-31.72190857</v>
      </c>
    </row>
    <row r="487" spans="1:14">
      <c r="A487">
        <v>5140980601.2025986</v>
      </c>
      <c r="B487" s="72">
        <v>-27.059532170000001</v>
      </c>
      <c r="D487">
        <v>5185980601.2025986</v>
      </c>
      <c r="E487" s="72">
        <v>-29.60322189</v>
      </c>
      <c r="G487">
        <v>5239620601.2025986</v>
      </c>
      <c r="H487" s="72">
        <v>-32.018737790000003</v>
      </c>
      <c r="J487">
        <v>5142480601.2025986</v>
      </c>
      <c r="K487" s="72">
        <v>-26.888156890000001</v>
      </c>
      <c r="M487">
        <v>5238120601.2025986</v>
      </c>
      <c r="N487" s="72">
        <v>-29.914981839999999</v>
      </c>
    </row>
    <row r="488" spans="1:14">
      <c r="A488">
        <v>5140982204.4090118</v>
      </c>
      <c r="B488" s="72">
        <v>-26.95463943</v>
      </c>
      <c r="D488">
        <v>5185982204.4090118</v>
      </c>
      <c r="E488" s="72">
        <v>-29.161346439999999</v>
      </c>
      <c r="G488">
        <v>5239622204.4090118</v>
      </c>
      <c r="H488" s="72">
        <v>-31.380973820000001</v>
      </c>
      <c r="J488">
        <v>5142482204.4090118</v>
      </c>
      <c r="K488" s="72">
        <v>-26.63327408</v>
      </c>
      <c r="M488">
        <v>5238122204.4090118</v>
      </c>
      <c r="N488" s="72">
        <v>-32.561912540000002</v>
      </c>
    </row>
    <row r="489" spans="1:14">
      <c r="A489">
        <v>5140983807.6154251</v>
      </c>
      <c r="B489" s="72">
        <v>-28.015388489999999</v>
      </c>
      <c r="D489">
        <v>5185983807.6154251</v>
      </c>
      <c r="E489" s="72">
        <v>-30.597717289999999</v>
      </c>
      <c r="G489">
        <v>5239623807.6154251</v>
      </c>
      <c r="H489" s="72">
        <v>-33.125396729999999</v>
      </c>
      <c r="J489">
        <v>5142483807.6154251</v>
      </c>
      <c r="K489" s="72">
        <v>-26.34618378</v>
      </c>
      <c r="M489">
        <v>5238123807.6154251</v>
      </c>
      <c r="N489" s="72">
        <v>-30.593402860000001</v>
      </c>
    </row>
    <row r="490" spans="1:14">
      <c r="A490">
        <v>5140985410.8218384</v>
      </c>
      <c r="B490" s="72">
        <v>-26.22909546</v>
      </c>
      <c r="D490">
        <v>5185985410.8218384</v>
      </c>
      <c r="E490" s="72">
        <v>-28.327243800000002</v>
      </c>
      <c r="G490">
        <v>5239625410.8218384</v>
      </c>
      <c r="H490" s="72">
        <v>-30.93880081</v>
      </c>
      <c r="J490">
        <v>5142485410.8218384</v>
      </c>
      <c r="K490" s="72">
        <v>-26.05084991</v>
      </c>
      <c r="M490">
        <v>5238125410.8218384</v>
      </c>
      <c r="N490" s="72">
        <v>-31.21383286</v>
      </c>
    </row>
    <row r="491" spans="1:14">
      <c r="A491">
        <v>5140987014.0282516</v>
      </c>
      <c r="B491" s="72">
        <v>-27.269378660000001</v>
      </c>
      <c r="D491">
        <v>5185987014.0282516</v>
      </c>
      <c r="E491" s="72">
        <v>-30.105896000000001</v>
      </c>
      <c r="G491">
        <v>5239627014.0282516</v>
      </c>
      <c r="H491" s="72">
        <v>-32.927570340000003</v>
      </c>
      <c r="J491">
        <v>5142487014.0282516</v>
      </c>
      <c r="K491" s="72">
        <v>-27.142684939999999</v>
      </c>
      <c r="M491">
        <v>5238127014.0282516</v>
      </c>
      <c r="N491" s="72">
        <v>-30.706535339999999</v>
      </c>
    </row>
    <row r="492" spans="1:14">
      <c r="A492">
        <v>5140988617.2346649</v>
      </c>
      <c r="B492" s="72">
        <v>-27.516353609999999</v>
      </c>
      <c r="D492">
        <v>5185988617.2346649</v>
      </c>
      <c r="E492" s="72">
        <v>-30.47070312</v>
      </c>
      <c r="G492">
        <v>5239628617.2346649</v>
      </c>
      <c r="H492" s="72">
        <v>-32.446624759999999</v>
      </c>
      <c r="J492">
        <v>5142488617.2346649</v>
      </c>
      <c r="K492" s="72">
        <v>-26.110084530000002</v>
      </c>
      <c r="M492">
        <v>5238128617.2346649</v>
      </c>
      <c r="N492" s="72">
        <v>-31.102058410000001</v>
      </c>
    </row>
    <row r="493" spans="1:14">
      <c r="A493">
        <v>5140990220.4410782</v>
      </c>
      <c r="B493" s="72">
        <v>-26.75875473</v>
      </c>
      <c r="D493">
        <v>5185990220.4410782</v>
      </c>
      <c r="E493" s="72">
        <v>-28.909126279999999</v>
      </c>
      <c r="G493">
        <v>5239630220.4410782</v>
      </c>
      <c r="H493" s="72">
        <v>-31.401493070000001</v>
      </c>
      <c r="J493">
        <v>5142490220.4410782</v>
      </c>
      <c r="K493" s="72">
        <v>-25.617271420000002</v>
      </c>
      <c r="M493">
        <v>5238130220.4410782</v>
      </c>
      <c r="N493" s="72">
        <v>-30.380130770000001</v>
      </c>
    </row>
    <row r="494" spans="1:14">
      <c r="A494">
        <v>5140991823.6474915</v>
      </c>
      <c r="B494" s="72">
        <v>-27.14528275</v>
      </c>
      <c r="D494">
        <v>5185991823.6474915</v>
      </c>
      <c r="E494" s="72">
        <v>-28.657413479999999</v>
      </c>
      <c r="G494">
        <v>5239631823.6474915</v>
      </c>
      <c r="H494" s="72">
        <v>-31.17795563</v>
      </c>
      <c r="J494">
        <v>5142491823.6474915</v>
      </c>
      <c r="K494" s="72">
        <v>-26.507141109999999</v>
      </c>
      <c r="M494">
        <v>5238131823.6474915</v>
      </c>
      <c r="N494" s="72">
        <v>-30.382770539999999</v>
      </c>
    </row>
    <row r="495" spans="1:14">
      <c r="A495">
        <v>5140993426.8539047</v>
      </c>
      <c r="B495" s="72">
        <v>-27.03686523</v>
      </c>
      <c r="D495">
        <v>5185993426.8539047</v>
      </c>
      <c r="E495" s="72">
        <v>-29.434070590000001</v>
      </c>
      <c r="G495">
        <v>5239633426.8539047</v>
      </c>
      <c r="H495" s="72">
        <v>-32.252754209999999</v>
      </c>
      <c r="J495">
        <v>5142493426.8539047</v>
      </c>
      <c r="K495" s="72">
        <v>-27.842044829999999</v>
      </c>
      <c r="M495">
        <v>5238133426.8539047</v>
      </c>
      <c r="N495" s="72">
        <v>-34.07096481</v>
      </c>
    </row>
    <row r="496" spans="1:14">
      <c r="A496">
        <v>5140995030.060318</v>
      </c>
      <c r="B496" s="72">
        <v>-27.325832370000001</v>
      </c>
      <c r="D496">
        <v>5185995030.060318</v>
      </c>
      <c r="E496" s="72">
        <v>-29.746158600000001</v>
      </c>
      <c r="G496">
        <v>5239635030.060318</v>
      </c>
      <c r="H496" s="72">
        <v>-32.47728729</v>
      </c>
      <c r="J496">
        <v>5142495030.060318</v>
      </c>
      <c r="K496" s="72">
        <v>-26.628673549999998</v>
      </c>
      <c r="M496">
        <v>5238135030.060318</v>
      </c>
      <c r="N496" s="72">
        <v>-30.38541412</v>
      </c>
    </row>
    <row r="497" spans="1:14">
      <c r="A497">
        <v>5140996633.2667313</v>
      </c>
      <c r="B497" s="72">
        <v>-26.625537869999999</v>
      </c>
      <c r="D497">
        <v>5185996633.2667313</v>
      </c>
      <c r="E497" s="72">
        <v>-29.5237999</v>
      </c>
      <c r="G497">
        <v>5239636633.2667313</v>
      </c>
      <c r="H497" s="72">
        <v>-31.772006990000001</v>
      </c>
      <c r="J497">
        <v>5142496633.2667313</v>
      </c>
      <c r="K497" s="72">
        <v>-27.287170410000002</v>
      </c>
      <c r="M497">
        <v>5238136633.2667313</v>
      </c>
      <c r="N497" s="72">
        <v>-31.569213869999999</v>
      </c>
    </row>
    <row r="498" spans="1:14">
      <c r="A498">
        <v>5140998236.4731445</v>
      </c>
      <c r="B498" s="72">
        <v>-27.072322849999999</v>
      </c>
      <c r="D498">
        <v>5185998236.4731445</v>
      </c>
      <c r="E498" s="72">
        <v>-28.64151382</v>
      </c>
      <c r="G498">
        <v>5239638236.4731445</v>
      </c>
      <c r="H498" s="72">
        <v>-31.106513979999999</v>
      </c>
      <c r="J498">
        <v>5142498236.4731445</v>
      </c>
      <c r="K498" s="72">
        <v>-26.453990940000001</v>
      </c>
      <c r="M498">
        <v>5238138236.4731445</v>
      </c>
      <c r="N498" s="72">
        <v>-30.831779480000002</v>
      </c>
    </row>
    <row r="499" spans="1:14">
      <c r="A499">
        <v>5140999839.6795578</v>
      </c>
      <c r="B499" s="72">
        <v>-26.58201218</v>
      </c>
      <c r="D499">
        <v>5185999839.6795578</v>
      </c>
      <c r="E499" s="72">
        <v>-27.968860630000002</v>
      </c>
      <c r="G499">
        <v>5239639839.6795578</v>
      </c>
      <c r="H499" s="72">
        <v>-30.449131009999999</v>
      </c>
      <c r="J499">
        <v>5142499839.6795578</v>
      </c>
      <c r="K499" s="72">
        <v>-26.51507187</v>
      </c>
      <c r="M499">
        <v>5238139839.6795578</v>
      </c>
      <c r="N499" s="72">
        <v>-30.076499940000001</v>
      </c>
    </row>
    <row r="500" spans="1:14">
      <c r="A500">
        <v>5141001442.8859711</v>
      </c>
      <c r="B500" s="72">
        <v>-26.937988279999999</v>
      </c>
      <c r="D500">
        <v>5186001442.8859711</v>
      </c>
      <c r="E500" s="72">
        <v>-29.368186949999998</v>
      </c>
      <c r="G500">
        <v>5239641442.8859711</v>
      </c>
      <c r="H500" s="72">
        <v>-31.882225040000002</v>
      </c>
      <c r="J500">
        <v>5142501442.8859711</v>
      </c>
      <c r="K500" s="72">
        <v>-27.13445282</v>
      </c>
      <c r="M500">
        <v>5238141442.8859711</v>
      </c>
      <c r="N500" s="72">
        <v>-30.50516129</v>
      </c>
    </row>
    <row r="501" spans="1:14">
      <c r="A501">
        <v>5141003046.0923843</v>
      </c>
      <c r="B501" s="72">
        <v>-25.875034329999998</v>
      </c>
      <c r="D501">
        <v>5186003046.0923843</v>
      </c>
      <c r="E501" s="72">
        <v>-28.471096039999999</v>
      </c>
      <c r="G501">
        <v>5239643046.0923843</v>
      </c>
      <c r="H501" s="72">
        <v>-31.29603195</v>
      </c>
      <c r="J501">
        <v>5142503046.0923843</v>
      </c>
      <c r="K501" s="72">
        <v>-25.460872649999999</v>
      </c>
      <c r="M501">
        <v>5238143046.0923843</v>
      </c>
      <c r="N501" s="72">
        <v>-30.92033005</v>
      </c>
    </row>
    <row r="502" spans="1:14">
      <c r="A502">
        <v>5141004649.2987976</v>
      </c>
      <c r="B502" s="72">
        <v>-28.647575379999999</v>
      </c>
      <c r="D502">
        <v>5186004649.2987976</v>
      </c>
      <c r="E502" s="72">
        <v>-29.860252379999999</v>
      </c>
      <c r="G502">
        <v>5239644649.2987976</v>
      </c>
      <c r="H502" s="72">
        <v>-31.740119929999999</v>
      </c>
      <c r="J502">
        <v>5142504649.2987976</v>
      </c>
      <c r="K502" s="72">
        <v>-26.822105409999999</v>
      </c>
      <c r="M502">
        <v>5238144649.2987976</v>
      </c>
      <c r="N502" s="72">
        <v>-30.253513340000001</v>
      </c>
    </row>
    <row r="503" spans="1:14">
      <c r="A503">
        <v>5141006252.5052109</v>
      </c>
      <c r="B503" s="72">
        <v>-26.39098358</v>
      </c>
      <c r="D503">
        <v>5186006252.5052109</v>
      </c>
      <c r="E503" s="72">
        <v>-29.537891389999999</v>
      </c>
      <c r="G503">
        <v>5239646252.5052109</v>
      </c>
      <c r="H503" s="72">
        <v>-31.942619319999999</v>
      </c>
      <c r="J503">
        <v>5142506252.5052109</v>
      </c>
      <c r="K503" s="72">
        <v>-27.11091995</v>
      </c>
      <c r="M503">
        <v>5238146252.5052109</v>
      </c>
      <c r="N503" s="72">
        <v>-30.901317599999999</v>
      </c>
    </row>
    <row r="504" spans="1:14">
      <c r="A504">
        <v>5141007855.7116241</v>
      </c>
      <c r="B504" s="72">
        <v>-27.542476650000001</v>
      </c>
      <c r="D504">
        <v>5186007855.7116241</v>
      </c>
      <c r="E504" s="72">
        <v>-28.633190160000002</v>
      </c>
      <c r="G504">
        <v>5239647855.7116241</v>
      </c>
      <c r="H504" s="72">
        <v>-31.06985092</v>
      </c>
      <c r="J504">
        <v>5142507855.7116241</v>
      </c>
      <c r="K504" s="72">
        <v>-26.87150574</v>
      </c>
      <c r="M504">
        <v>5238147855.7116241</v>
      </c>
      <c r="N504" s="72">
        <v>-30.712593080000001</v>
      </c>
    </row>
    <row r="505" spans="1:14">
      <c r="A505">
        <v>5141009458.9180374</v>
      </c>
      <c r="B505" s="72">
        <v>-266267082210</v>
      </c>
      <c r="D505">
        <v>5186009458.9180374</v>
      </c>
      <c r="E505" s="72">
        <v>-288322448730</v>
      </c>
      <c r="G505">
        <v>5239649458.9180374</v>
      </c>
      <c r="H505" s="72">
        <v>-31.286571500000001</v>
      </c>
      <c r="J505">
        <v>5142509458.9180374</v>
      </c>
      <c r="K505" s="72">
        <v>-26.11135101</v>
      </c>
      <c r="M505">
        <v>5238149458.9180374</v>
      </c>
      <c r="N505" s="72">
        <v>-300803653720</v>
      </c>
    </row>
    <row r="506" spans="1:14">
      <c r="A506">
        <v>5141011062.1244507</v>
      </c>
      <c r="B506" s="72">
        <v>-27.755790709999999</v>
      </c>
      <c r="D506">
        <v>5186011062.1244507</v>
      </c>
      <c r="E506" s="72">
        <v>-29.37822723</v>
      </c>
      <c r="G506">
        <v>5239651062.1244507</v>
      </c>
      <c r="H506" s="72">
        <v>-31.42380142</v>
      </c>
      <c r="J506">
        <v>5142511062.1244507</v>
      </c>
      <c r="K506" s="72">
        <v>-25.953975679999999</v>
      </c>
      <c r="M506">
        <v>5238151062.1244507</v>
      </c>
      <c r="N506" s="72">
        <v>-30.032703399999999</v>
      </c>
    </row>
    <row r="507" spans="1:14">
      <c r="A507">
        <v>5141012665.330864</v>
      </c>
      <c r="B507" s="72">
        <v>-26.225700379999999</v>
      </c>
      <c r="D507">
        <v>5186012665.330864</v>
      </c>
      <c r="E507" s="72">
        <v>-29.597499849999998</v>
      </c>
      <c r="G507">
        <v>5239652665.330864</v>
      </c>
      <c r="H507" s="72">
        <v>-32.083641049999997</v>
      </c>
      <c r="J507">
        <v>5142512665.330864</v>
      </c>
      <c r="K507" s="72">
        <v>-27.533756260000001</v>
      </c>
      <c r="M507">
        <v>5238152665.330864</v>
      </c>
      <c r="N507" s="72">
        <v>-31.079940799999999</v>
      </c>
    </row>
    <row r="508" spans="1:14">
      <c r="A508">
        <v>5141014268.5372772</v>
      </c>
      <c r="B508" s="72">
        <v>-27.68434525</v>
      </c>
      <c r="D508">
        <v>5186014268.5372772</v>
      </c>
      <c r="E508" s="72">
        <v>-29.03064728</v>
      </c>
      <c r="G508">
        <v>5239654268.5372772</v>
      </c>
      <c r="H508" s="72">
        <v>-31.547813420000001</v>
      </c>
      <c r="J508">
        <v>5142514268.5372772</v>
      </c>
      <c r="K508" s="72">
        <v>-26.47229767</v>
      </c>
      <c r="M508">
        <v>5238154268.5372772</v>
      </c>
      <c r="N508" s="72">
        <v>-31.705741880000001</v>
      </c>
    </row>
    <row r="509" spans="1:14">
      <c r="A509">
        <v>5141015871.7436905</v>
      </c>
      <c r="B509" s="72">
        <v>-26.3895874</v>
      </c>
      <c r="D509">
        <v>5186015871.7436905</v>
      </c>
      <c r="E509" s="72">
        <v>-28.55789566</v>
      </c>
      <c r="G509">
        <v>5239655871.7436905</v>
      </c>
      <c r="H509" s="72">
        <v>-31.372619629999999</v>
      </c>
      <c r="J509">
        <v>5142515871.7436905</v>
      </c>
      <c r="K509" s="72">
        <v>-26.897438050000002</v>
      </c>
      <c r="M509">
        <v>5238155871.7436905</v>
      </c>
      <c r="N509" s="72">
        <v>-31.029193880000001</v>
      </c>
    </row>
    <row r="510" spans="1:14">
      <c r="A510">
        <v>5141017474.9501038</v>
      </c>
      <c r="B510" s="72">
        <v>-27.81380463</v>
      </c>
      <c r="D510">
        <v>5186017474.9501038</v>
      </c>
      <c r="E510" s="72">
        <v>-29.820446010000001</v>
      </c>
      <c r="G510">
        <v>5239657474.9501038</v>
      </c>
      <c r="H510" s="72">
        <v>-32.328830719999999</v>
      </c>
      <c r="J510">
        <v>5142517474.9501038</v>
      </c>
      <c r="K510" s="72">
        <v>-27.0063858</v>
      </c>
      <c r="M510">
        <v>5238157474.9501038</v>
      </c>
      <c r="N510" s="72">
        <v>-31.776477809999999</v>
      </c>
    </row>
    <row r="511" spans="1:14">
      <c r="A511">
        <v>5141019078.156517</v>
      </c>
      <c r="B511" s="72">
        <v>-27.329292299999999</v>
      </c>
      <c r="D511">
        <v>5186019078.156517</v>
      </c>
      <c r="E511" s="72">
        <v>-29.37724686</v>
      </c>
      <c r="G511">
        <v>5239659078.156517</v>
      </c>
      <c r="H511" s="72">
        <v>-32.336582180000001</v>
      </c>
      <c r="J511">
        <v>5142519078.156517</v>
      </c>
      <c r="K511" s="72">
        <v>-26.746017460000001</v>
      </c>
      <c r="M511">
        <v>5238159078.156517</v>
      </c>
      <c r="N511" s="72">
        <v>-31.740032200000002</v>
      </c>
    </row>
    <row r="512" spans="1:14">
      <c r="A512">
        <v>5141020681.3629303</v>
      </c>
      <c r="B512" s="72">
        <v>-27.042881009999999</v>
      </c>
      <c r="D512">
        <v>5186020681.3629303</v>
      </c>
      <c r="E512" s="72">
        <v>-29.461524959999998</v>
      </c>
      <c r="G512">
        <v>5239660681.3629303</v>
      </c>
      <c r="H512" s="72">
        <v>-31.62509155</v>
      </c>
      <c r="J512">
        <v>5142520681.3629303</v>
      </c>
      <c r="K512" s="72">
        <v>-27.387550350000001</v>
      </c>
      <c r="M512">
        <v>5238160681.3629303</v>
      </c>
      <c r="N512" s="72">
        <v>-30.47952652</v>
      </c>
    </row>
    <row r="513" spans="1:14">
      <c r="A513">
        <v>5141022284.5693436</v>
      </c>
      <c r="B513" s="72">
        <v>-26.869560239999998</v>
      </c>
      <c r="D513">
        <v>5186022284.5693436</v>
      </c>
      <c r="E513" s="72">
        <v>-29.36911392</v>
      </c>
      <c r="G513">
        <v>5239662284.5693436</v>
      </c>
      <c r="H513" s="72">
        <v>-32.298530579999998</v>
      </c>
      <c r="J513">
        <v>5142522284.5693436</v>
      </c>
      <c r="K513" s="72">
        <v>-26.374000550000002</v>
      </c>
      <c r="M513">
        <v>5238162284.5693436</v>
      </c>
      <c r="N513" s="72">
        <v>-31.852306370000001</v>
      </c>
    </row>
    <row r="514" spans="1:14">
      <c r="A514">
        <v>5141023887.7757568</v>
      </c>
      <c r="B514" s="72">
        <v>-27.413356780000001</v>
      </c>
      <c r="D514">
        <v>5186023887.7757568</v>
      </c>
      <c r="E514" s="72">
        <v>-30.19512177</v>
      </c>
      <c r="G514">
        <v>5239663887.7757568</v>
      </c>
      <c r="H514" s="72">
        <v>-32.100399019999998</v>
      </c>
      <c r="J514">
        <v>5142523887.7757568</v>
      </c>
      <c r="K514" s="72">
        <v>-27.051898959999999</v>
      </c>
      <c r="M514">
        <v>5238163887.7757568</v>
      </c>
      <c r="N514" s="72">
        <v>-31.23307419</v>
      </c>
    </row>
    <row r="515" spans="1:14">
      <c r="A515">
        <v>5141025490.9821701</v>
      </c>
      <c r="B515" s="72">
        <v>-27.24131393</v>
      </c>
      <c r="D515">
        <v>5186025490.9821701</v>
      </c>
      <c r="E515" s="72">
        <v>-28.73709869</v>
      </c>
      <c r="G515">
        <v>5239665490.9821701</v>
      </c>
      <c r="H515" s="72">
        <v>-31.459198000000001</v>
      </c>
      <c r="J515">
        <v>5142525490.9821701</v>
      </c>
      <c r="K515" s="72">
        <v>-26.363563540000001</v>
      </c>
      <c r="M515">
        <v>5238165490.9821701</v>
      </c>
      <c r="N515" s="72">
        <v>-29.841835020000001</v>
      </c>
    </row>
    <row r="516" spans="1:14">
      <c r="A516">
        <v>5141027094.1885834</v>
      </c>
      <c r="B516" s="72">
        <v>-27.187923430000001</v>
      </c>
      <c r="D516">
        <v>5186027094.1885834</v>
      </c>
      <c r="E516" s="72">
        <v>-30.03310394</v>
      </c>
      <c r="G516">
        <v>5239667094.1885834</v>
      </c>
      <c r="H516" s="72">
        <v>-32.672649380000003</v>
      </c>
      <c r="J516">
        <v>5142527094.1885834</v>
      </c>
      <c r="K516" s="72">
        <v>-26.877273559999999</v>
      </c>
      <c r="M516">
        <v>5238167094.1885834</v>
      </c>
      <c r="N516" s="72">
        <v>-32.500221250000003</v>
      </c>
    </row>
    <row r="517" spans="1:14">
      <c r="A517">
        <v>5141028697.3949966</v>
      </c>
      <c r="B517" s="72">
        <v>-27.476711269999999</v>
      </c>
      <c r="D517">
        <v>5186028697.3949966</v>
      </c>
      <c r="E517" s="72">
        <v>-29.68521118</v>
      </c>
      <c r="G517">
        <v>5239668697.3949966</v>
      </c>
      <c r="H517" s="72">
        <v>-32.396751399999999</v>
      </c>
      <c r="J517">
        <v>5142528697.3949966</v>
      </c>
      <c r="K517" s="72">
        <v>-26.081050869999999</v>
      </c>
      <c r="M517">
        <v>5238168697.3949966</v>
      </c>
      <c r="N517" s="72">
        <v>-30.208324430000001</v>
      </c>
    </row>
    <row r="518" spans="1:14">
      <c r="A518">
        <v>5141030300.6014099</v>
      </c>
      <c r="B518" s="72">
        <v>-27.537239069999998</v>
      </c>
      <c r="D518">
        <v>5186030300.6014099</v>
      </c>
      <c r="E518" s="72">
        <v>-29.359699249999998</v>
      </c>
      <c r="G518">
        <v>5239670300.6014099</v>
      </c>
      <c r="H518" s="72">
        <v>-31.703552250000001</v>
      </c>
      <c r="J518">
        <v>5142530300.6014099</v>
      </c>
      <c r="K518" s="72">
        <v>-27.118602750000001</v>
      </c>
      <c r="M518">
        <v>5238170300.6014099</v>
      </c>
      <c r="N518" s="72">
        <v>-31.80888367</v>
      </c>
    </row>
    <row r="519" spans="1:14">
      <c r="A519">
        <v>5141031903.8078232</v>
      </c>
      <c r="B519" s="72">
        <v>-27.40544891</v>
      </c>
      <c r="D519">
        <v>5186031903.8078232</v>
      </c>
      <c r="E519" s="72">
        <v>-30.419761659999999</v>
      </c>
      <c r="G519">
        <v>5239671903.8078232</v>
      </c>
      <c r="H519" s="72">
        <v>-33.094543459999997</v>
      </c>
      <c r="J519">
        <v>5142531903.8078232</v>
      </c>
      <c r="K519" s="72">
        <v>-26.775188450000002</v>
      </c>
      <c r="M519">
        <v>5238171903.8078232</v>
      </c>
      <c r="N519" s="72">
        <v>-31.103191379999998</v>
      </c>
    </row>
    <row r="520" spans="1:14">
      <c r="A520">
        <v>5141033507.0142365</v>
      </c>
      <c r="B520" s="72">
        <v>-29.124164579999999</v>
      </c>
      <c r="D520">
        <v>5186033507.0142365</v>
      </c>
      <c r="E520" s="72">
        <v>-30.175361630000001</v>
      </c>
      <c r="G520">
        <v>5239673507.0142365</v>
      </c>
      <c r="H520" s="72">
        <v>-33.049324040000002</v>
      </c>
      <c r="J520">
        <v>5142533507.0142365</v>
      </c>
      <c r="K520" s="72">
        <v>-26.760452269999998</v>
      </c>
      <c r="M520">
        <v>5238173507.0142365</v>
      </c>
      <c r="N520" s="72">
        <v>-31.581172939999998</v>
      </c>
    </row>
    <row r="521" spans="1:14">
      <c r="A521">
        <v>5141035110.2206497</v>
      </c>
      <c r="B521" s="72">
        <v>-26.699405670000001</v>
      </c>
      <c r="D521">
        <v>5186035110.2206497</v>
      </c>
      <c r="E521" s="72">
        <v>-29.00535202</v>
      </c>
      <c r="G521">
        <v>5239675110.2206497</v>
      </c>
      <c r="H521" s="72">
        <v>-31.526802060000001</v>
      </c>
      <c r="J521">
        <v>5142535110.2206497</v>
      </c>
      <c r="K521" s="72">
        <v>-26.91733932</v>
      </c>
      <c r="M521">
        <v>5238175110.2206497</v>
      </c>
      <c r="N521" s="72">
        <v>-31.46465302</v>
      </c>
    </row>
    <row r="522" spans="1:14">
      <c r="A522">
        <v>5141036713.427063</v>
      </c>
      <c r="B522" s="72">
        <v>-27.681575779999999</v>
      </c>
      <c r="D522">
        <v>5186036713.427063</v>
      </c>
      <c r="E522" s="72">
        <v>-30.55661392</v>
      </c>
      <c r="G522">
        <v>5239676713.427063</v>
      </c>
      <c r="H522" s="72">
        <v>-32.763263700000003</v>
      </c>
      <c r="J522">
        <v>5142536713.427063</v>
      </c>
      <c r="K522" s="72">
        <v>-27.686813350000001</v>
      </c>
      <c r="M522">
        <v>5238176713.427063</v>
      </c>
      <c r="N522" s="72">
        <v>-31.55399323</v>
      </c>
    </row>
    <row r="523" spans="1:14">
      <c r="A523">
        <v>5141038316.6334763</v>
      </c>
      <c r="B523" s="72">
        <v>-28.239444729999999</v>
      </c>
      <c r="D523">
        <v>5186038316.6334763</v>
      </c>
      <c r="E523" s="72">
        <v>-29.60602188</v>
      </c>
      <c r="G523">
        <v>5239678316.6334763</v>
      </c>
      <c r="H523" s="72">
        <v>-32.228172299999997</v>
      </c>
      <c r="J523">
        <v>5142538316.6334763</v>
      </c>
      <c r="K523" s="72">
        <v>-27.123344419999999</v>
      </c>
      <c r="M523">
        <v>5238178316.6334763</v>
      </c>
      <c r="N523" s="72">
        <v>-31.289657590000001</v>
      </c>
    </row>
    <row r="524" spans="1:14">
      <c r="A524">
        <v>5141039919.8398895</v>
      </c>
      <c r="B524" s="72">
        <v>-25.966526030000001</v>
      </c>
      <c r="D524">
        <v>5186039919.8398895</v>
      </c>
      <c r="E524" s="72">
        <v>-29.4258728</v>
      </c>
      <c r="G524">
        <v>5239679919.8398895</v>
      </c>
      <c r="H524" s="72">
        <v>-32.392658230000002</v>
      </c>
      <c r="J524">
        <v>5142539919.8398895</v>
      </c>
      <c r="K524" s="72">
        <v>-27.36181259</v>
      </c>
      <c r="M524">
        <v>5238179919.8398895</v>
      </c>
      <c r="N524" s="72">
        <v>-31.503040309999999</v>
      </c>
    </row>
    <row r="525" spans="1:14">
      <c r="A525">
        <v>5141041523.0463028</v>
      </c>
      <c r="B525" s="72">
        <v>-29.234092709999999</v>
      </c>
      <c r="D525">
        <v>5186041523.0463028</v>
      </c>
      <c r="E525" s="72">
        <v>-29.202152250000001</v>
      </c>
      <c r="G525">
        <v>5239681523.0463028</v>
      </c>
      <c r="H525" s="72">
        <v>-31.744148249999999</v>
      </c>
      <c r="J525">
        <v>5142541523.0463028</v>
      </c>
      <c r="K525" s="72">
        <v>-26.86894989</v>
      </c>
      <c r="M525">
        <v>5238181523.0463028</v>
      </c>
      <c r="N525" s="72">
        <v>-30.665748600000001</v>
      </c>
    </row>
    <row r="526" spans="1:14">
      <c r="A526">
        <v>5141043126.2527161</v>
      </c>
      <c r="B526" s="72">
        <v>-26.624885559999999</v>
      </c>
      <c r="D526">
        <v>5186043126.2527161</v>
      </c>
      <c r="E526" s="72">
        <v>-29.755878450000001</v>
      </c>
      <c r="G526">
        <v>5239683126.2527161</v>
      </c>
      <c r="H526" s="72">
        <v>-32.290161130000001</v>
      </c>
      <c r="J526">
        <v>5142543126.2527161</v>
      </c>
      <c r="K526" s="72">
        <v>-26.208370209999998</v>
      </c>
      <c r="M526">
        <v>5238183126.2527161</v>
      </c>
      <c r="N526" s="72">
        <v>-31.33278275</v>
      </c>
    </row>
    <row r="527" spans="1:14">
      <c r="A527">
        <v>5141044729.4591293</v>
      </c>
      <c r="B527" s="72">
        <v>-28.35744858</v>
      </c>
      <c r="D527">
        <v>5186044729.4591293</v>
      </c>
      <c r="E527" s="72">
        <v>-29.78995514</v>
      </c>
      <c r="G527">
        <v>5239684729.4591293</v>
      </c>
      <c r="H527" s="72">
        <v>-32.735050200000003</v>
      </c>
      <c r="J527">
        <v>5142544729.4591293</v>
      </c>
      <c r="K527" s="72">
        <v>-28.034885410000001</v>
      </c>
      <c r="M527">
        <v>5238184729.4591293</v>
      </c>
      <c r="N527" s="72">
        <v>-31.95792007</v>
      </c>
    </row>
    <row r="528" spans="1:14">
      <c r="A528">
        <v>5141046332.6655426</v>
      </c>
      <c r="B528" s="72">
        <v>-27.402194980000001</v>
      </c>
      <c r="D528">
        <v>5186046332.6655426</v>
      </c>
      <c r="E528" s="72">
        <v>-29.665996549999999</v>
      </c>
      <c r="G528">
        <v>5239686332.6655426</v>
      </c>
      <c r="H528" s="72">
        <v>-32.248298650000002</v>
      </c>
      <c r="J528">
        <v>5142546332.6655426</v>
      </c>
      <c r="K528" s="72">
        <v>-26.60284424</v>
      </c>
      <c r="M528">
        <v>5238186332.6655426</v>
      </c>
      <c r="N528" s="72">
        <v>-31.72277832</v>
      </c>
    </row>
    <row r="529" spans="1:14">
      <c r="A529">
        <v>5141047935.8719559</v>
      </c>
      <c r="B529" s="72">
        <v>-27.226165770000001</v>
      </c>
      <c r="D529">
        <v>5186047935.8719559</v>
      </c>
      <c r="E529" s="72">
        <v>-29.37695312</v>
      </c>
      <c r="G529">
        <v>5239687935.8719559</v>
      </c>
      <c r="H529" s="72">
        <v>-31.65523911</v>
      </c>
      <c r="J529">
        <v>5142547935.8719559</v>
      </c>
      <c r="K529" s="72">
        <v>-27.266113279999999</v>
      </c>
      <c r="M529">
        <v>5238187935.8719559</v>
      </c>
      <c r="N529" s="72">
        <v>-32.046878810000003</v>
      </c>
    </row>
    <row r="530" spans="1:14">
      <c r="A530">
        <v>5141049539.0783691</v>
      </c>
      <c r="B530" s="72">
        <v>-26.767398830000001</v>
      </c>
      <c r="D530">
        <v>5186049539.0783691</v>
      </c>
      <c r="E530" s="72">
        <v>-28.8447876</v>
      </c>
      <c r="G530">
        <v>5239689539.0783691</v>
      </c>
      <c r="H530" s="72">
        <v>-31.889739989999999</v>
      </c>
      <c r="J530">
        <v>5142549539.0783691</v>
      </c>
      <c r="K530" s="72">
        <v>-27.287876130000001</v>
      </c>
      <c r="M530">
        <v>5238189539.0783691</v>
      </c>
      <c r="N530" s="72">
        <v>-31.85939407</v>
      </c>
    </row>
    <row r="531" spans="1:14">
      <c r="A531">
        <v>5141051142.2847824</v>
      </c>
      <c r="B531" s="72">
        <v>-27.335563659999998</v>
      </c>
      <c r="D531">
        <v>5186051142.2847824</v>
      </c>
      <c r="E531" s="72">
        <v>-30.087440489999999</v>
      </c>
      <c r="G531">
        <v>5239691142.2847824</v>
      </c>
      <c r="H531" s="72">
        <v>-32.857971190000001</v>
      </c>
      <c r="J531">
        <v>5142551142.2847824</v>
      </c>
      <c r="K531" s="72">
        <v>-27.67076492</v>
      </c>
      <c r="M531">
        <v>5238191142.2847824</v>
      </c>
      <c r="N531" s="72">
        <v>-32.071891780000001</v>
      </c>
    </row>
    <row r="532" spans="1:14">
      <c r="A532">
        <v>5141052745.4911957</v>
      </c>
      <c r="B532" s="72">
        <v>-27.24912643</v>
      </c>
      <c r="D532">
        <v>5186052745.4911957</v>
      </c>
      <c r="E532" s="72">
        <v>-30.10042953</v>
      </c>
      <c r="G532">
        <v>5239692745.4911957</v>
      </c>
      <c r="H532" s="72">
        <v>-32.9996376</v>
      </c>
      <c r="J532">
        <v>5142552745.4911957</v>
      </c>
      <c r="K532" s="72">
        <v>-26.411682129999999</v>
      </c>
      <c r="M532">
        <v>5238192745.4911957</v>
      </c>
      <c r="N532" s="72">
        <v>-30.851528170000002</v>
      </c>
    </row>
    <row r="533" spans="1:14">
      <c r="A533">
        <v>5141054348.6976089</v>
      </c>
      <c r="B533" s="72">
        <v>-27.55989456</v>
      </c>
      <c r="D533">
        <v>5186054348.6976089</v>
      </c>
      <c r="E533" s="72">
        <v>-28.92795181</v>
      </c>
      <c r="G533">
        <v>5239694348.6976089</v>
      </c>
      <c r="H533" s="72">
        <v>-31.079265589999999</v>
      </c>
      <c r="J533">
        <v>5142554348.6976089</v>
      </c>
      <c r="K533" s="72">
        <v>-27.36277771</v>
      </c>
      <c r="M533">
        <v>5238194348.6976089</v>
      </c>
      <c r="N533" s="72">
        <v>-32.261241910000003</v>
      </c>
    </row>
    <row r="534" spans="1:14">
      <c r="A534">
        <v>5141055951.9040222</v>
      </c>
      <c r="B534" s="72">
        <v>-28.586872100000001</v>
      </c>
      <c r="D534">
        <v>5186055951.9040222</v>
      </c>
      <c r="E534" s="72">
        <v>-31.133258820000002</v>
      </c>
      <c r="G534">
        <v>5239695951.9040222</v>
      </c>
      <c r="H534" s="72">
        <v>-33.779636379999999</v>
      </c>
      <c r="J534">
        <v>5142555951.9040222</v>
      </c>
      <c r="K534" s="72">
        <v>-27.293167109999999</v>
      </c>
      <c r="M534">
        <v>5238195951.9040222</v>
      </c>
      <c r="N534" s="72">
        <v>-31.247169490000001</v>
      </c>
    </row>
    <row r="535" spans="1:14">
      <c r="A535">
        <v>5141057555.1104355</v>
      </c>
      <c r="B535" s="72">
        <v>-26.377693180000001</v>
      </c>
      <c r="D535">
        <v>5186057555.1104355</v>
      </c>
      <c r="E535" s="72">
        <v>-28.662628170000001</v>
      </c>
      <c r="G535">
        <v>5239697555.1104355</v>
      </c>
      <c r="H535" s="72">
        <v>-31.500236510000001</v>
      </c>
      <c r="J535">
        <v>5142557555.1104355</v>
      </c>
      <c r="K535" s="72">
        <v>-26.692958829999998</v>
      </c>
      <c r="M535">
        <v>5238197555.1104355</v>
      </c>
      <c r="N535" s="72">
        <v>-31.844169619999999</v>
      </c>
    </row>
    <row r="536" spans="1:14">
      <c r="A536">
        <v>5141059158.3168488</v>
      </c>
      <c r="B536" s="72">
        <v>-28.047180180000002</v>
      </c>
      <c r="D536">
        <v>5186059158.3168488</v>
      </c>
      <c r="E536" s="72">
        <v>-30.866214750000001</v>
      </c>
      <c r="G536">
        <v>5239699158.3168488</v>
      </c>
      <c r="H536" s="72">
        <v>-33.235343929999999</v>
      </c>
      <c r="J536">
        <v>5142559158.3168488</v>
      </c>
      <c r="K536" s="72">
        <v>-27.328647610000001</v>
      </c>
      <c r="M536">
        <v>5238199158.3168488</v>
      </c>
      <c r="N536" s="72">
        <v>-31.07810211</v>
      </c>
    </row>
    <row r="537" spans="1:14">
      <c r="A537">
        <v>5141060761.523262</v>
      </c>
      <c r="B537" s="72">
        <v>-28.551872249999999</v>
      </c>
      <c r="D537">
        <v>5186060761.523262</v>
      </c>
      <c r="E537" s="72">
        <v>-30.501655580000001</v>
      </c>
      <c r="G537">
        <v>5239700761.523262</v>
      </c>
      <c r="H537" s="72">
        <v>-33.148078920000003</v>
      </c>
      <c r="J537">
        <v>5142560761.523262</v>
      </c>
      <c r="K537" s="72">
        <v>-26.798099520000001</v>
      </c>
      <c r="M537">
        <v>5238200761.523262</v>
      </c>
      <c r="N537" s="72">
        <v>-32.362144469999997</v>
      </c>
    </row>
    <row r="538" spans="1:14">
      <c r="A538">
        <v>5141062364.7296753</v>
      </c>
      <c r="B538" s="72">
        <v>-27.176544190000001</v>
      </c>
      <c r="D538">
        <v>5186062364.7296753</v>
      </c>
      <c r="E538" s="72">
        <v>-29.610931399999998</v>
      </c>
      <c r="G538">
        <v>5239702364.7296753</v>
      </c>
      <c r="H538" s="72">
        <v>-32.696937560000002</v>
      </c>
      <c r="J538">
        <v>5142562364.7296753</v>
      </c>
      <c r="K538" s="72">
        <v>-26.428184510000001</v>
      </c>
      <c r="M538">
        <v>5238202364.7296753</v>
      </c>
      <c r="N538" s="72">
        <v>-31.05854034</v>
      </c>
    </row>
    <row r="539" spans="1:14">
      <c r="A539">
        <v>5141063967.9360886</v>
      </c>
      <c r="B539" s="72">
        <v>-27.351459500000001</v>
      </c>
      <c r="D539">
        <v>5186063967.9360886</v>
      </c>
      <c r="E539" s="72">
        <v>-28.78009415</v>
      </c>
      <c r="G539">
        <v>5239703967.9360886</v>
      </c>
      <c r="H539" s="72">
        <v>-31.589080809999999</v>
      </c>
      <c r="J539">
        <v>5142563967.9360886</v>
      </c>
      <c r="K539" s="72">
        <v>-26.82503891</v>
      </c>
      <c r="M539">
        <v>5238203967.9360886</v>
      </c>
      <c r="N539" s="72">
        <v>-30.826732639999999</v>
      </c>
    </row>
    <row r="540" spans="1:14">
      <c r="A540">
        <v>5141065571.1425018</v>
      </c>
      <c r="B540" s="72">
        <v>-27.209377289999999</v>
      </c>
      <c r="D540">
        <v>5186065571.1425018</v>
      </c>
      <c r="E540" s="72">
        <v>-30.450344090000002</v>
      </c>
      <c r="G540">
        <v>5239705571.1425018</v>
      </c>
      <c r="H540" s="72">
        <v>-33.512115479999999</v>
      </c>
      <c r="J540">
        <v>5142565571.1425018</v>
      </c>
      <c r="K540" s="72">
        <v>-28.093715670000002</v>
      </c>
      <c r="M540">
        <v>5238205571.1425018</v>
      </c>
      <c r="N540" s="72">
        <v>-34.092273710000001</v>
      </c>
    </row>
    <row r="541" spans="1:14">
      <c r="A541">
        <v>5141067174.3489151</v>
      </c>
      <c r="B541" s="72">
        <v>-27.731304170000001</v>
      </c>
      <c r="D541">
        <v>5186067174.3489151</v>
      </c>
      <c r="E541" s="72">
        <v>-30.410186769999999</v>
      </c>
      <c r="G541">
        <v>5239707174.3489151</v>
      </c>
      <c r="H541" s="72">
        <v>-32.28893661</v>
      </c>
      <c r="J541">
        <v>5142567174.3489151</v>
      </c>
      <c r="K541" s="72">
        <v>-27.879447939999999</v>
      </c>
      <c r="M541">
        <v>5238207174.3489151</v>
      </c>
      <c r="N541" s="72">
        <v>-31.790134429999998</v>
      </c>
    </row>
    <row r="542" spans="1:14">
      <c r="A542">
        <v>5141068777.5553284</v>
      </c>
      <c r="B542" s="72">
        <v>-28.128387450000002</v>
      </c>
      <c r="D542">
        <v>5186068777.5553284</v>
      </c>
      <c r="E542" s="72">
        <v>-29.457843780000001</v>
      </c>
      <c r="G542">
        <v>5239708777.5553284</v>
      </c>
      <c r="H542" s="72">
        <v>-32.375671390000001</v>
      </c>
      <c r="J542">
        <v>5142568777.5553284</v>
      </c>
      <c r="K542" s="72">
        <v>-27.10375977</v>
      </c>
      <c r="M542">
        <v>5238208777.5553284</v>
      </c>
      <c r="N542" s="72">
        <v>-31.281166079999998</v>
      </c>
    </row>
    <row r="543" spans="1:14">
      <c r="A543">
        <v>5141070380.7617416</v>
      </c>
      <c r="B543" s="72">
        <v>-27.451377870000002</v>
      </c>
      <c r="D543">
        <v>5186070380.7617416</v>
      </c>
      <c r="E543" s="72">
        <v>-29.342803960000001</v>
      </c>
      <c r="G543">
        <v>5239710380.7617416</v>
      </c>
      <c r="H543" s="72">
        <v>-31.677967070000001</v>
      </c>
      <c r="J543">
        <v>5142570380.7617416</v>
      </c>
      <c r="K543" s="72">
        <v>-27.49199295</v>
      </c>
      <c r="M543">
        <v>5238210380.7617416</v>
      </c>
      <c r="N543" s="72">
        <v>-31.604076389999999</v>
      </c>
    </row>
    <row r="544" spans="1:14">
      <c r="A544">
        <v>5141071983.9681549</v>
      </c>
      <c r="B544" s="72">
        <v>-26.90880585</v>
      </c>
      <c r="D544">
        <v>5186071983.9681549</v>
      </c>
      <c r="E544" s="72">
        <v>-28.359363559999998</v>
      </c>
      <c r="G544">
        <v>5239711983.9681549</v>
      </c>
      <c r="H544" s="72">
        <v>-30.94603729</v>
      </c>
      <c r="J544">
        <v>5142571983.9681549</v>
      </c>
      <c r="K544" s="72">
        <v>-26.993618009999999</v>
      </c>
      <c r="M544">
        <v>5238211983.9681549</v>
      </c>
      <c r="N544" s="72">
        <v>-30.989505770000001</v>
      </c>
    </row>
    <row r="545" spans="1:14">
      <c r="A545">
        <v>5141073587.1745682</v>
      </c>
      <c r="B545" s="72">
        <v>-27.707702640000001</v>
      </c>
      <c r="D545">
        <v>5186073587.1745682</v>
      </c>
      <c r="E545" s="72">
        <v>-30.180633539999999</v>
      </c>
      <c r="G545">
        <v>5239713587.1745682</v>
      </c>
      <c r="H545" s="72">
        <v>-32.368072509999998</v>
      </c>
      <c r="J545">
        <v>5142573587.1745682</v>
      </c>
      <c r="K545" s="72">
        <v>-27.584449769999999</v>
      </c>
      <c r="M545">
        <v>5238213587.1745682</v>
      </c>
      <c r="N545" s="72">
        <v>-31.486751559999998</v>
      </c>
    </row>
    <row r="546" spans="1:14">
      <c r="A546">
        <v>5141075190.3809814</v>
      </c>
      <c r="B546" s="72">
        <v>-26.859611510000001</v>
      </c>
      <c r="D546">
        <v>5186075190.3809814</v>
      </c>
      <c r="E546" s="72">
        <v>-29.384590150000001</v>
      </c>
      <c r="G546">
        <v>5239715190.3809814</v>
      </c>
      <c r="H546" s="72">
        <v>-31.698749540000001</v>
      </c>
      <c r="J546">
        <v>5142575190.3809814</v>
      </c>
      <c r="K546" s="72">
        <v>-26.32807541</v>
      </c>
      <c r="M546">
        <v>5238215190.3809814</v>
      </c>
      <c r="N546" s="72">
        <v>-31.187458039999999</v>
      </c>
    </row>
    <row r="547" spans="1:14">
      <c r="A547">
        <v>5141076793.5873947</v>
      </c>
      <c r="B547" s="72">
        <v>-28.473686220000001</v>
      </c>
      <c r="D547">
        <v>5186076793.5873947</v>
      </c>
      <c r="E547" s="72">
        <v>-30.17937469</v>
      </c>
      <c r="G547">
        <v>5239716793.5873947</v>
      </c>
      <c r="H547" s="72">
        <v>-32.633037569999999</v>
      </c>
      <c r="J547">
        <v>5142576793.5873947</v>
      </c>
      <c r="K547" s="72">
        <v>-27.174438479999999</v>
      </c>
      <c r="M547">
        <v>5238216793.5873947</v>
      </c>
      <c r="N547" s="72">
        <v>-32.098232269999997</v>
      </c>
    </row>
    <row r="548" spans="1:14">
      <c r="A548">
        <v>5141078396.793808</v>
      </c>
      <c r="B548" s="72">
        <v>-28.820148469999999</v>
      </c>
      <c r="D548">
        <v>5186078396.793808</v>
      </c>
      <c r="E548" s="72">
        <v>-29.87731552</v>
      </c>
      <c r="G548">
        <v>5239718396.793808</v>
      </c>
      <c r="H548" s="72">
        <v>-32.246398929999998</v>
      </c>
      <c r="J548">
        <v>5142578396.793808</v>
      </c>
      <c r="K548" s="72">
        <v>-27.65856552</v>
      </c>
      <c r="M548">
        <v>5238218396.793808</v>
      </c>
      <c r="N548" s="72">
        <v>-30.820110320000001</v>
      </c>
    </row>
    <row r="549" spans="1:14">
      <c r="A549">
        <v>5141080000</v>
      </c>
      <c r="B549">
        <v>-27.076335910000001</v>
      </c>
      <c r="D549">
        <v>5186080000</v>
      </c>
      <c r="E549">
        <v>-29.22704697</v>
      </c>
      <c r="G549">
        <v>5239720000</v>
      </c>
      <c r="H549">
        <v>-32.296844479999997</v>
      </c>
      <c r="J549">
        <v>5142580000</v>
      </c>
      <c r="K549">
        <v>-26.852039340000001</v>
      </c>
      <c r="M549">
        <v>5238220000</v>
      </c>
      <c r="N549">
        <v>-31.467243190000001</v>
      </c>
    </row>
  </sheetData>
  <mergeCells count="58">
    <mergeCell ref="L1:R1"/>
    <mergeCell ref="B1:K1"/>
    <mergeCell ref="B2:J2"/>
    <mergeCell ref="B3:J3"/>
    <mergeCell ref="I4:I5"/>
    <mergeCell ref="A6:B6"/>
    <mergeCell ref="E6:G6"/>
    <mergeCell ref="J6:K6"/>
    <mergeCell ref="AF9:AH9"/>
    <mergeCell ref="E7:G7"/>
    <mergeCell ref="N7:P7"/>
    <mergeCell ref="W7:Y7"/>
    <mergeCell ref="AA4:AA5"/>
    <mergeCell ref="N6:P6"/>
    <mergeCell ref="S6:T6"/>
    <mergeCell ref="E9:G9"/>
    <mergeCell ref="N9:P9"/>
    <mergeCell ref="W9:Y9"/>
    <mergeCell ref="E8:G8"/>
    <mergeCell ref="N8:P8"/>
    <mergeCell ref="W8:Y8"/>
    <mergeCell ref="W6:Y6"/>
    <mergeCell ref="R4:R5"/>
    <mergeCell ref="AJ4:AJ5"/>
    <mergeCell ref="AB6:AC6"/>
    <mergeCell ref="AF6:AH6"/>
    <mergeCell ref="AF7:AH7"/>
    <mergeCell ref="AF8:AH8"/>
    <mergeCell ref="BG6:BI6"/>
    <mergeCell ref="BL6:BM6"/>
    <mergeCell ref="BP6:BR6"/>
    <mergeCell ref="BU6:BV6"/>
    <mergeCell ref="BY6:CA6"/>
    <mergeCell ref="AK6:AL6"/>
    <mergeCell ref="AO6:AQ6"/>
    <mergeCell ref="AT6:AU6"/>
    <mergeCell ref="AX6:AZ6"/>
    <mergeCell ref="BC6:BD6"/>
    <mergeCell ref="AS4:AS5"/>
    <mergeCell ref="BB4:BB5"/>
    <mergeCell ref="BK4:BK5"/>
    <mergeCell ref="BT4:BT5"/>
    <mergeCell ref="CC4:CC5"/>
    <mergeCell ref="AO8:AQ8"/>
    <mergeCell ref="AX8:AZ8"/>
    <mergeCell ref="BG8:BI8"/>
    <mergeCell ref="BP8:BR8"/>
    <mergeCell ref="BY8:CA8"/>
    <mergeCell ref="AO7:AQ7"/>
    <mergeCell ref="AX7:AZ7"/>
    <mergeCell ref="BG7:BI7"/>
    <mergeCell ref="BP7:BR7"/>
    <mergeCell ref="BY7:CA7"/>
    <mergeCell ref="AO9:AQ9"/>
    <mergeCell ref="AX9:AZ9"/>
    <mergeCell ref="BG9:BI9"/>
    <mergeCell ref="BP9:BR9"/>
    <mergeCell ref="BY9:CA9"/>
  </mergeCells>
  <phoneticPr fontId="1" type="noConversion"/>
  <conditionalFormatting sqref="H7">
    <cfRule type="containsBlanks" priority="79" stopIfTrue="1">
      <formula>LEN(TRIM(H7))=0</formula>
    </cfRule>
    <cfRule type="cellIs" dxfId="265" priority="80" stopIfTrue="1" operator="greaterThan">
      <formula>-30</formula>
    </cfRule>
    <cfRule type="cellIs" dxfId="264" priority="81" stopIfTrue="1" operator="between">
      <formula>-33</formula>
      <formula>-30</formula>
    </cfRule>
  </conditionalFormatting>
  <conditionalFormatting sqref="H8">
    <cfRule type="containsBlanks" priority="76" stopIfTrue="1">
      <formula>LEN(TRIM(H8))=0</formula>
    </cfRule>
    <cfRule type="cellIs" dxfId="263" priority="77" stopIfTrue="1" operator="greaterThan">
      <formula>-30</formula>
    </cfRule>
    <cfRule type="cellIs" dxfId="262" priority="78" stopIfTrue="1" operator="between">
      <formula>-33</formula>
      <formula>-30</formula>
    </cfRule>
  </conditionalFormatting>
  <conditionalFormatting sqref="H9">
    <cfRule type="containsBlanks" priority="73" stopIfTrue="1">
      <formula>LEN(TRIM(H9))=0</formula>
    </cfRule>
    <cfRule type="cellIs" dxfId="261" priority="74" stopIfTrue="1" operator="greaterThan">
      <formula>-30</formula>
    </cfRule>
    <cfRule type="cellIs" dxfId="260" priority="75" stopIfTrue="1" operator="between">
      <formula>-33</formula>
      <formula>-30</formula>
    </cfRule>
  </conditionalFormatting>
  <conditionalFormatting sqref="Q7">
    <cfRule type="containsBlanks" priority="70" stopIfTrue="1">
      <formula>LEN(TRIM(Q7))=0</formula>
    </cfRule>
    <cfRule type="cellIs" dxfId="259" priority="71" stopIfTrue="1" operator="greaterThan">
      <formula>-30</formula>
    </cfRule>
    <cfRule type="cellIs" dxfId="258" priority="72" stopIfTrue="1" operator="between">
      <formula>-33</formula>
      <formula>-30</formula>
    </cfRule>
  </conditionalFormatting>
  <conditionalFormatting sqref="Q8">
    <cfRule type="containsBlanks" priority="67" stopIfTrue="1">
      <formula>LEN(TRIM(Q8))=0</formula>
    </cfRule>
    <cfRule type="cellIs" dxfId="257" priority="68" stopIfTrue="1" operator="greaterThan">
      <formula>-30</formula>
    </cfRule>
    <cfRule type="cellIs" dxfId="256" priority="69" stopIfTrue="1" operator="between">
      <formula>-33</formula>
      <formula>-30</formula>
    </cfRule>
  </conditionalFormatting>
  <conditionalFormatting sqref="Q9">
    <cfRule type="containsBlanks" priority="64" stopIfTrue="1">
      <formula>LEN(TRIM(Q9))=0</formula>
    </cfRule>
    <cfRule type="cellIs" dxfId="255" priority="65" stopIfTrue="1" operator="greaterThan">
      <formula>-30</formula>
    </cfRule>
    <cfRule type="cellIs" dxfId="254" priority="66" stopIfTrue="1" operator="between">
      <formula>-33</formula>
      <formula>-30</formula>
    </cfRule>
  </conditionalFormatting>
  <conditionalFormatting sqref="Z7">
    <cfRule type="containsBlanks" priority="61" stopIfTrue="1">
      <formula>LEN(TRIM(Z7))=0</formula>
    </cfRule>
    <cfRule type="cellIs" dxfId="253" priority="62" stopIfTrue="1" operator="greaterThan">
      <formula>-30</formula>
    </cfRule>
    <cfRule type="cellIs" dxfId="252" priority="63" stopIfTrue="1" operator="between">
      <formula>-33</formula>
      <formula>-30</formula>
    </cfRule>
  </conditionalFormatting>
  <conditionalFormatting sqref="Z8">
    <cfRule type="containsBlanks" priority="58" stopIfTrue="1">
      <formula>LEN(TRIM(Z8))=0</formula>
    </cfRule>
    <cfRule type="cellIs" dxfId="251" priority="59" stopIfTrue="1" operator="greaterThan">
      <formula>-30</formula>
    </cfRule>
    <cfRule type="cellIs" dxfId="250" priority="60" stopIfTrue="1" operator="between">
      <formula>-33</formula>
      <formula>-30</formula>
    </cfRule>
  </conditionalFormatting>
  <conditionalFormatting sqref="Z9">
    <cfRule type="containsBlanks" priority="55" stopIfTrue="1">
      <formula>LEN(TRIM(Z9))=0</formula>
    </cfRule>
    <cfRule type="cellIs" dxfId="249" priority="56" stopIfTrue="1" operator="greaterThan">
      <formula>-30</formula>
    </cfRule>
    <cfRule type="cellIs" dxfId="248" priority="57" stopIfTrue="1" operator="between">
      <formula>-33</formula>
      <formula>-30</formula>
    </cfRule>
  </conditionalFormatting>
  <conditionalFormatting sqref="AI7">
    <cfRule type="containsBlanks" priority="52" stopIfTrue="1">
      <formula>LEN(TRIM(AI7))=0</formula>
    </cfRule>
    <cfRule type="cellIs" dxfId="247" priority="53" stopIfTrue="1" operator="greaterThan">
      <formula>-30</formula>
    </cfRule>
    <cfRule type="cellIs" dxfId="246" priority="54" stopIfTrue="1" operator="between">
      <formula>-33</formula>
      <formula>-30</formula>
    </cfRule>
  </conditionalFormatting>
  <conditionalFormatting sqref="AI8">
    <cfRule type="containsBlanks" priority="49" stopIfTrue="1">
      <formula>LEN(TRIM(AI8))=0</formula>
    </cfRule>
    <cfRule type="cellIs" dxfId="245" priority="50" stopIfTrue="1" operator="greaterThan">
      <formula>-30</formula>
    </cfRule>
    <cfRule type="cellIs" dxfId="244" priority="51" stopIfTrue="1" operator="between">
      <formula>-33</formula>
      <formula>-30</formula>
    </cfRule>
  </conditionalFormatting>
  <conditionalFormatting sqref="AI9">
    <cfRule type="containsBlanks" priority="46" stopIfTrue="1">
      <formula>LEN(TRIM(AI9))=0</formula>
    </cfRule>
    <cfRule type="cellIs" dxfId="243" priority="47" stopIfTrue="1" operator="greaterThan">
      <formula>-30</formula>
    </cfRule>
    <cfRule type="cellIs" dxfId="242" priority="48" stopIfTrue="1" operator="between">
      <formula>-33</formula>
      <formula>-30</formula>
    </cfRule>
  </conditionalFormatting>
  <conditionalFormatting sqref="AR7">
    <cfRule type="containsBlanks" priority="43" stopIfTrue="1">
      <formula>LEN(TRIM(AR7))=0</formula>
    </cfRule>
    <cfRule type="cellIs" dxfId="241" priority="44" stopIfTrue="1" operator="greaterThan">
      <formula>-30</formula>
    </cfRule>
    <cfRule type="cellIs" dxfId="240" priority="45" stopIfTrue="1" operator="between">
      <formula>-33</formula>
      <formula>-30</formula>
    </cfRule>
  </conditionalFormatting>
  <conditionalFormatting sqref="AR8">
    <cfRule type="containsBlanks" priority="40" stopIfTrue="1">
      <formula>LEN(TRIM(AR8))=0</formula>
    </cfRule>
    <cfRule type="cellIs" dxfId="239" priority="41" stopIfTrue="1" operator="greaterThan">
      <formula>-30</formula>
    </cfRule>
    <cfRule type="cellIs" dxfId="238" priority="42" stopIfTrue="1" operator="between">
      <formula>-33</formula>
      <formula>-30</formula>
    </cfRule>
  </conditionalFormatting>
  <conditionalFormatting sqref="AR9">
    <cfRule type="containsBlanks" priority="37" stopIfTrue="1">
      <formula>LEN(TRIM(AR9))=0</formula>
    </cfRule>
    <cfRule type="cellIs" dxfId="237" priority="38" stopIfTrue="1" operator="greaterThan">
      <formula>-30</formula>
    </cfRule>
    <cfRule type="cellIs" dxfId="236" priority="39" stopIfTrue="1" operator="between">
      <formula>-33</formula>
      <formula>-30</formula>
    </cfRule>
  </conditionalFormatting>
  <conditionalFormatting sqref="BA7">
    <cfRule type="containsBlanks" priority="34" stopIfTrue="1">
      <formula>LEN(TRIM(BA7))=0</formula>
    </cfRule>
    <cfRule type="cellIs" dxfId="235" priority="35" stopIfTrue="1" operator="greaterThan">
      <formula>-30</formula>
    </cfRule>
    <cfRule type="cellIs" dxfId="234" priority="36" stopIfTrue="1" operator="between">
      <formula>-33</formula>
      <formula>-30</formula>
    </cfRule>
  </conditionalFormatting>
  <conditionalFormatting sqref="BA8">
    <cfRule type="containsBlanks" priority="31" stopIfTrue="1">
      <formula>LEN(TRIM(BA8))=0</formula>
    </cfRule>
    <cfRule type="cellIs" dxfId="233" priority="32" stopIfTrue="1" operator="greaterThan">
      <formula>-30</formula>
    </cfRule>
    <cfRule type="cellIs" dxfId="232" priority="33" stopIfTrue="1" operator="between">
      <formula>-33</formula>
      <formula>-30</formula>
    </cfRule>
  </conditionalFormatting>
  <conditionalFormatting sqref="BA9">
    <cfRule type="containsBlanks" priority="28" stopIfTrue="1">
      <formula>LEN(TRIM(BA9))=0</formula>
    </cfRule>
    <cfRule type="cellIs" dxfId="231" priority="29" stopIfTrue="1" operator="greaterThan">
      <formula>-30</formula>
    </cfRule>
    <cfRule type="cellIs" dxfId="230" priority="30" stopIfTrue="1" operator="between">
      <formula>-33</formula>
      <formula>-30</formula>
    </cfRule>
  </conditionalFormatting>
  <conditionalFormatting sqref="BJ7">
    <cfRule type="containsBlanks" priority="25" stopIfTrue="1">
      <formula>LEN(TRIM(BJ7))=0</formula>
    </cfRule>
    <cfRule type="cellIs" dxfId="229" priority="26" stopIfTrue="1" operator="greaterThan">
      <formula>-30</formula>
    </cfRule>
    <cfRule type="cellIs" dxfId="228" priority="27" stopIfTrue="1" operator="between">
      <formula>-33</formula>
      <formula>-30</formula>
    </cfRule>
  </conditionalFormatting>
  <conditionalFormatting sqref="BJ8">
    <cfRule type="containsBlanks" priority="22" stopIfTrue="1">
      <formula>LEN(TRIM(BJ8))=0</formula>
    </cfRule>
    <cfRule type="cellIs" dxfId="227" priority="23" stopIfTrue="1" operator="greaterThan">
      <formula>-30</formula>
    </cfRule>
    <cfRule type="cellIs" dxfId="226" priority="24" stopIfTrue="1" operator="between">
      <formula>-33</formula>
      <formula>-30</formula>
    </cfRule>
  </conditionalFormatting>
  <conditionalFormatting sqref="BJ9">
    <cfRule type="containsBlanks" priority="19" stopIfTrue="1">
      <formula>LEN(TRIM(BJ9))=0</formula>
    </cfRule>
    <cfRule type="cellIs" dxfId="225" priority="20" stopIfTrue="1" operator="greaterThan">
      <formula>-30</formula>
    </cfRule>
    <cfRule type="cellIs" dxfId="224" priority="21" stopIfTrue="1" operator="between">
      <formula>-33</formula>
      <formula>-30</formula>
    </cfRule>
  </conditionalFormatting>
  <conditionalFormatting sqref="BS7">
    <cfRule type="containsBlanks" priority="16" stopIfTrue="1">
      <formula>LEN(TRIM(BS7))=0</formula>
    </cfRule>
    <cfRule type="cellIs" dxfId="223" priority="17" stopIfTrue="1" operator="greaterThan">
      <formula>-30</formula>
    </cfRule>
    <cfRule type="cellIs" dxfId="222" priority="18" stopIfTrue="1" operator="between">
      <formula>-33</formula>
      <formula>-30</formula>
    </cfRule>
  </conditionalFormatting>
  <conditionalFormatting sqref="BS8">
    <cfRule type="containsBlanks" priority="13" stopIfTrue="1">
      <formula>LEN(TRIM(BS8))=0</formula>
    </cfRule>
    <cfRule type="cellIs" dxfId="221" priority="14" stopIfTrue="1" operator="greaterThan">
      <formula>-30</formula>
    </cfRule>
    <cfRule type="cellIs" dxfId="220" priority="15" stopIfTrue="1" operator="between">
      <formula>-33</formula>
      <formula>-30</formula>
    </cfRule>
  </conditionalFormatting>
  <conditionalFormatting sqref="BS9">
    <cfRule type="containsBlanks" priority="10" stopIfTrue="1">
      <formula>LEN(TRIM(BS9))=0</formula>
    </cfRule>
    <cfRule type="cellIs" dxfId="219" priority="11" stopIfTrue="1" operator="greaterThan">
      <formula>-30</formula>
    </cfRule>
    <cfRule type="cellIs" dxfId="218" priority="12" stopIfTrue="1" operator="between">
      <formula>-33</formula>
      <formula>-30</formula>
    </cfRule>
  </conditionalFormatting>
  <conditionalFormatting sqref="CB7">
    <cfRule type="containsBlanks" priority="7" stopIfTrue="1">
      <formula>LEN(TRIM(CB7))=0</formula>
    </cfRule>
    <cfRule type="cellIs" dxfId="217" priority="8" stopIfTrue="1" operator="greaterThan">
      <formula>-30</formula>
    </cfRule>
    <cfRule type="cellIs" dxfId="216" priority="9" stopIfTrue="1" operator="between">
      <formula>-33</formula>
      <formula>-30</formula>
    </cfRule>
  </conditionalFormatting>
  <conditionalFormatting sqref="CB8">
    <cfRule type="containsBlanks" priority="4" stopIfTrue="1">
      <formula>LEN(TRIM(CB8))=0</formula>
    </cfRule>
    <cfRule type="cellIs" dxfId="215" priority="5" stopIfTrue="1" operator="greaterThan">
      <formula>-30</formula>
    </cfRule>
    <cfRule type="cellIs" dxfId="214" priority="6" stopIfTrue="1" operator="between">
      <formula>-33</formula>
      <formula>-30</formula>
    </cfRule>
  </conditionalFormatting>
  <conditionalFormatting sqref="CB9">
    <cfRule type="containsBlanks" priority="1" stopIfTrue="1">
      <formula>LEN(TRIM(CB9))=0</formula>
    </cfRule>
    <cfRule type="cellIs" dxfId="213" priority="2" stopIfTrue="1" operator="greaterThan">
      <formula>-30</formula>
    </cfRule>
    <cfRule type="cellIs" dxfId="212" priority="3" stopIfTrue="1" operator="between">
      <formula>-33</formula>
      <formula>-30</formula>
    </cfRule>
  </conditionalFormatting>
  <dataValidations count="1">
    <dataValidation type="list" allowBlank="1" showInputMessage="1" showErrorMessage="1" sqref="G5 P5 Y5 AH5">
      <formula1>"Low,Mid,High"</formula1>
    </dataValidation>
  </dataValidation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CC11"/>
  <sheetViews>
    <sheetView zoomScale="55" zoomScaleNormal="55" workbookViewId="0">
      <selection activeCell="H7" sqref="H7:H15"/>
    </sheetView>
  </sheetViews>
  <sheetFormatPr defaultRowHeight="15"/>
  <cols>
    <col min="1" max="1" width="9" style="15" customWidth="1"/>
    <col min="2" max="2" width="9" style="15"/>
    <col min="3" max="3" width="9.875" style="15" bestFit="1" customWidth="1"/>
    <col min="4" max="4" width="9" style="15" customWidth="1"/>
    <col min="5" max="8" width="9" style="15"/>
    <col min="9" max="9" width="7.625" style="15" bestFit="1" customWidth="1"/>
    <col min="10" max="11" width="9.375" style="15" bestFit="1" customWidth="1"/>
    <col min="12" max="12" width="9.875" style="15" bestFit="1" customWidth="1"/>
    <col min="13" max="17" width="9" style="15"/>
    <col min="18" max="18" width="7.625" style="15" bestFit="1" customWidth="1"/>
    <col min="19" max="256" width="9" style="15"/>
    <col min="257" max="257" width="9" style="15" customWidth="1"/>
    <col min="258" max="258" width="9" style="15"/>
    <col min="259" max="259" width="9.875" style="15" bestFit="1" customWidth="1"/>
    <col min="260" max="260" width="9" style="15" customWidth="1"/>
    <col min="261" max="264" width="9" style="15"/>
    <col min="265" max="265" width="7.625" style="15" bestFit="1" customWidth="1"/>
    <col min="266" max="267" width="9.375" style="15" bestFit="1" customWidth="1"/>
    <col min="268" max="268" width="9.875" style="15" bestFit="1" customWidth="1"/>
    <col min="269" max="273" width="9" style="15"/>
    <col min="274" max="274" width="7.625" style="15" bestFit="1" customWidth="1"/>
    <col min="275" max="512" width="9" style="15"/>
    <col min="513" max="513" width="9" style="15" customWidth="1"/>
    <col min="514" max="514" width="9" style="15"/>
    <col min="515" max="515" width="9.875" style="15" bestFit="1" customWidth="1"/>
    <col min="516" max="516" width="9" style="15" customWidth="1"/>
    <col min="517" max="520" width="9" style="15"/>
    <col min="521" max="521" width="7.625" style="15" bestFit="1" customWidth="1"/>
    <col min="522" max="523" width="9.375" style="15" bestFit="1" customWidth="1"/>
    <col min="524" max="524" width="9.875" style="15" bestFit="1" customWidth="1"/>
    <col min="525" max="529" width="9" style="15"/>
    <col min="530" max="530" width="7.625" style="15" bestFit="1" customWidth="1"/>
    <col min="531" max="768" width="9" style="15"/>
    <col min="769" max="769" width="9" style="15" customWidth="1"/>
    <col min="770" max="770" width="9" style="15"/>
    <col min="771" max="771" width="9.875" style="15" bestFit="1" customWidth="1"/>
    <col min="772" max="772" width="9" style="15" customWidth="1"/>
    <col min="773" max="776" width="9" style="15"/>
    <col min="777" max="777" width="7.625" style="15" bestFit="1" customWidth="1"/>
    <col min="778" max="779" width="9.375" style="15" bestFit="1" customWidth="1"/>
    <col min="780" max="780" width="9.875" style="15" bestFit="1" customWidth="1"/>
    <col min="781" max="785" width="9" style="15"/>
    <col min="786" max="786" width="7.625" style="15" bestFit="1" customWidth="1"/>
    <col min="787" max="1024" width="9" style="15"/>
    <col min="1025" max="1025" width="9" style="15" customWidth="1"/>
    <col min="1026" max="1026" width="9" style="15"/>
    <col min="1027" max="1027" width="9.875" style="15" bestFit="1" customWidth="1"/>
    <col min="1028" max="1028" width="9" style="15" customWidth="1"/>
    <col min="1029" max="1032" width="9" style="15"/>
    <col min="1033" max="1033" width="7.625" style="15" bestFit="1" customWidth="1"/>
    <col min="1034" max="1035" width="9.375" style="15" bestFit="1" customWidth="1"/>
    <col min="1036" max="1036" width="9.875" style="15" bestFit="1" customWidth="1"/>
    <col min="1037" max="1041" width="9" style="15"/>
    <col min="1042" max="1042" width="7.625" style="15" bestFit="1" customWidth="1"/>
    <col min="1043" max="1280" width="9" style="15"/>
    <col min="1281" max="1281" width="9" style="15" customWidth="1"/>
    <col min="1282" max="1282" width="9" style="15"/>
    <col min="1283" max="1283" width="9.875" style="15" bestFit="1" customWidth="1"/>
    <col min="1284" max="1284" width="9" style="15" customWidth="1"/>
    <col min="1285" max="1288" width="9" style="15"/>
    <col min="1289" max="1289" width="7.625" style="15" bestFit="1" customWidth="1"/>
    <col min="1290" max="1291" width="9.375" style="15" bestFit="1" customWidth="1"/>
    <col min="1292" max="1292" width="9.875" style="15" bestFit="1" customWidth="1"/>
    <col min="1293" max="1297" width="9" style="15"/>
    <col min="1298" max="1298" width="7.625" style="15" bestFit="1" customWidth="1"/>
    <col min="1299" max="1536" width="9" style="15"/>
    <col min="1537" max="1537" width="9" style="15" customWidth="1"/>
    <col min="1538" max="1538" width="9" style="15"/>
    <col min="1539" max="1539" width="9.875" style="15" bestFit="1" customWidth="1"/>
    <col min="1540" max="1540" width="9" style="15" customWidth="1"/>
    <col min="1541" max="1544" width="9" style="15"/>
    <col min="1545" max="1545" width="7.625" style="15" bestFit="1" customWidth="1"/>
    <col min="1546" max="1547" width="9.375" style="15" bestFit="1" customWidth="1"/>
    <col min="1548" max="1548" width="9.875" style="15" bestFit="1" customWidth="1"/>
    <col min="1549" max="1553" width="9" style="15"/>
    <col min="1554" max="1554" width="7.625" style="15" bestFit="1" customWidth="1"/>
    <col min="1555" max="1792" width="9" style="15"/>
    <col min="1793" max="1793" width="9" style="15" customWidth="1"/>
    <col min="1794" max="1794" width="9" style="15"/>
    <col min="1795" max="1795" width="9.875" style="15" bestFit="1" customWidth="1"/>
    <col min="1796" max="1796" width="9" style="15" customWidth="1"/>
    <col min="1797" max="1800" width="9" style="15"/>
    <col min="1801" max="1801" width="7.625" style="15" bestFit="1" customWidth="1"/>
    <col min="1802" max="1803" width="9.375" style="15" bestFit="1" customWidth="1"/>
    <col min="1804" max="1804" width="9.875" style="15" bestFit="1" customWidth="1"/>
    <col min="1805" max="1809" width="9" style="15"/>
    <col min="1810" max="1810" width="7.625" style="15" bestFit="1" customWidth="1"/>
    <col min="1811" max="2048" width="9" style="15"/>
    <col min="2049" max="2049" width="9" style="15" customWidth="1"/>
    <col min="2050" max="2050" width="9" style="15"/>
    <col min="2051" max="2051" width="9.875" style="15" bestFit="1" customWidth="1"/>
    <col min="2052" max="2052" width="9" style="15" customWidth="1"/>
    <col min="2053" max="2056" width="9" style="15"/>
    <col min="2057" max="2057" width="7.625" style="15" bestFit="1" customWidth="1"/>
    <col min="2058" max="2059" width="9.375" style="15" bestFit="1" customWidth="1"/>
    <col min="2060" max="2060" width="9.875" style="15" bestFit="1" customWidth="1"/>
    <col min="2061" max="2065" width="9" style="15"/>
    <col min="2066" max="2066" width="7.625" style="15" bestFit="1" customWidth="1"/>
    <col min="2067" max="2304" width="9" style="15"/>
    <col min="2305" max="2305" width="9" style="15" customWidth="1"/>
    <col min="2306" max="2306" width="9" style="15"/>
    <col min="2307" max="2307" width="9.875" style="15" bestFit="1" customWidth="1"/>
    <col min="2308" max="2308" width="9" style="15" customWidth="1"/>
    <col min="2309" max="2312" width="9" style="15"/>
    <col min="2313" max="2313" width="7.625" style="15" bestFit="1" customWidth="1"/>
    <col min="2314" max="2315" width="9.375" style="15" bestFit="1" customWidth="1"/>
    <col min="2316" max="2316" width="9.875" style="15" bestFit="1" customWidth="1"/>
    <col min="2317" max="2321" width="9" style="15"/>
    <col min="2322" max="2322" width="7.625" style="15" bestFit="1" customWidth="1"/>
    <col min="2323" max="2560" width="9" style="15"/>
    <col min="2561" max="2561" width="9" style="15" customWidth="1"/>
    <col min="2562" max="2562" width="9" style="15"/>
    <col min="2563" max="2563" width="9.875" style="15" bestFit="1" customWidth="1"/>
    <col min="2564" max="2564" width="9" style="15" customWidth="1"/>
    <col min="2565" max="2568" width="9" style="15"/>
    <col min="2569" max="2569" width="7.625" style="15" bestFit="1" customWidth="1"/>
    <col min="2570" max="2571" width="9.375" style="15" bestFit="1" customWidth="1"/>
    <col min="2572" max="2572" width="9.875" style="15" bestFit="1" customWidth="1"/>
    <col min="2573" max="2577" width="9" style="15"/>
    <col min="2578" max="2578" width="7.625" style="15" bestFit="1" customWidth="1"/>
    <col min="2579" max="2816" width="9" style="15"/>
    <col min="2817" max="2817" width="9" style="15" customWidth="1"/>
    <col min="2818" max="2818" width="9" style="15"/>
    <col min="2819" max="2819" width="9.875" style="15" bestFit="1" customWidth="1"/>
    <col min="2820" max="2820" width="9" style="15" customWidth="1"/>
    <col min="2821" max="2824" width="9" style="15"/>
    <col min="2825" max="2825" width="7.625" style="15" bestFit="1" customWidth="1"/>
    <col min="2826" max="2827" width="9.375" style="15" bestFit="1" customWidth="1"/>
    <col min="2828" max="2828" width="9.875" style="15" bestFit="1" customWidth="1"/>
    <col min="2829" max="2833" width="9" style="15"/>
    <col min="2834" max="2834" width="7.625" style="15" bestFit="1" customWidth="1"/>
    <col min="2835" max="3072" width="9" style="15"/>
    <col min="3073" max="3073" width="9" style="15" customWidth="1"/>
    <col min="3074" max="3074" width="9" style="15"/>
    <col min="3075" max="3075" width="9.875" style="15" bestFit="1" customWidth="1"/>
    <col min="3076" max="3076" width="9" style="15" customWidth="1"/>
    <col min="3077" max="3080" width="9" style="15"/>
    <col min="3081" max="3081" width="7.625" style="15" bestFit="1" customWidth="1"/>
    <col min="3082" max="3083" width="9.375" style="15" bestFit="1" customWidth="1"/>
    <col min="3084" max="3084" width="9.875" style="15" bestFit="1" customWidth="1"/>
    <col min="3085" max="3089" width="9" style="15"/>
    <col min="3090" max="3090" width="7.625" style="15" bestFit="1" customWidth="1"/>
    <col min="3091" max="3328" width="9" style="15"/>
    <col min="3329" max="3329" width="9" style="15" customWidth="1"/>
    <col min="3330" max="3330" width="9" style="15"/>
    <col min="3331" max="3331" width="9.875" style="15" bestFit="1" customWidth="1"/>
    <col min="3332" max="3332" width="9" style="15" customWidth="1"/>
    <col min="3333" max="3336" width="9" style="15"/>
    <col min="3337" max="3337" width="7.625" style="15" bestFit="1" customWidth="1"/>
    <col min="3338" max="3339" width="9.375" style="15" bestFit="1" customWidth="1"/>
    <col min="3340" max="3340" width="9.875" style="15" bestFit="1" customWidth="1"/>
    <col min="3341" max="3345" width="9" style="15"/>
    <col min="3346" max="3346" width="7.625" style="15" bestFit="1" customWidth="1"/>
    <col min="3347" max="3584" width="9" style="15"/>
    <col min="3585" max="3585" width="9" style="15" customWidth="1"/>
    <col min="3586" max="3586" width="9" style="15"/>
    <col min="3587" max="3587" width="9.875" style="15" bestFit="1" customWidth="1"/>
    <col min="3588" max="3588" width="9" style="15" customWidth="1"/>
    <col min="3589" max="3592" width="9" style="15"/>
    <col min="3593" max="3593" width="7.625" style="15" bestFit="1" customWidth="1"/>
    <col min="3594" max="3595" width="9.375" style="15" bestFit="1" customWidth="1"/>
    <col min="3596" max="3596" width="9.875" style="15" bestFit="1" customWidth="1"/>
    <col min="3597" max="3601" width="9" style="15"/>
    <col min="3602" max="3602" width="7.625" style="15" bestFit="1" customWidth="1"/>
    <col min="3603" max="3840" width="9" style="15"/>
    <col min="3841" max="3841" width="9" style="15" customWidth="1"/>
    <col min="3842" max="3842" width="9" style="15"/>
    <col min="3843" max="3843" width="9.875" style="15" bestFit="1" customWidth="1"/>
    <col min="3844" max="3844" width="9" style="15" customWidth="1"/>
    <col min="3845" max="3848" width="9" style="15"/>
    <col min="3849" max="3849" width="7.625" style="15" bestFit="1" customWidth="1"/>
    <col min="3850" max="3851" width="9.375" style="15" bestFit="1" customWidth="1"/>
    <col min="3852" max="3852" width="9.875" style="15" bestFit="1" customWidth="1"/>
    <col min="3853" max="3857" width="9" style="15"/>
    <col min="3858" max="3858" width="7.625" style="15" bestFit="1" customWidth="1"/>
    <col min="3859" max="4096" width="9" style="15"/>
    <col min="4097" max="4097" width="9" style="15" customWidth="1"/>
    <col min="4098" max="4098" width="9" style="15"/>
    <col min="4099" max="4099" width="9.875" style="15" bestFit="1" customWidth="1"/>
    <col min="4100" max="4100" width="9" style="15" customWidth="1"/>
    <col min="4101" max="4104" width="9" style="15"/>
    <col min="4105" max="4105" width="7.625" style="15" bestFit="1" customWidth="1"/>
    <col min="4106" max="4107" width="9.375" style="15" bestFit="1" customWidth="1"/>
    <col min="4108" max="4108" width="9.875" style="15" bestFit="1" customWidth="1"/>
    <col min="4109" max="4113" width="9" style="15"/>
    <col min="4114" max="4114" width="7.625" style="15" bestFit="1" customWidth="1"/>
    <col min="4115" max="4352" width="9" style="15"/>
    <col min="4353" max="4353" width="9" style="15" customWidth="1"/>
    <col min="4354" max="4354" width="9" style="15"/>
    <col min="4355" max="4355" width="9.875" style="15" bestFit="1" customWidth="1"/>
    <col min="4356" max="4356" width="9" style="15" customWidth="1"/>
    <col min="4357" max="4360" width="9" style="15"/>
    <col min="4361" max="4361" width="7.625" style="15" bestFit="1" customWidth="1"/>
    <col min="4362" max="4363" width="9.375" style="15" bestFit="1" customWidth="1"/>
    <col min="4364" max="4364" width="9.875" style="15" bestFit="1" customWidth="1"/>
    <col min="4365" max="4369" width="9" style="15"/>
    <col min="4370" max="4370" width="7.625" style="15" bestFit="1" customWidth="1"/>
    <col min="4371" max="4608" width="9" style="15"/>
    <col min="4609" max="4609" width="9" style="15" customWidth="1"/>
    <col min="4610" max="4610" width="9" style="15"/>
    <col min="4611" max="4611" width="9.875" style="15" bestFit="1" customWidth="1"/>
    <col min="4612" max="4612" width="9" style="15" customWidth="1"/>
    <col min="4613" max="4616" width="9" style="15"/>
    <col min="4617" max="4617" width="7.625" style="15" bestFit="1" customWidth="1"/>
    <col min="4618" max="4619" width="9.375" style="15" bestFit="1" customWidth="1"/>
    <col min="4620" max="4620" width="9.875" style="15" bestFit="1" customWidth="1"/>
    <col min="4621" max="4625" width="9" style="15"/>
    <col min="4626" max="4626" width="7.625" style="15" bestFit="1" customWidth="1"/>
    <col min="4627" max="4864" width="9" style="15"/>
    <col min="4865" max="4865" width="9" style="15" customWidth="1"/>
    <col min="4866" max="4866" width="9" style="15"/>
    <col min="4867" max="4867" width="9.875" style="15" bestFit="1" customWidth="1"/>
    <col min="4868" max="4868" width="9" style="15" customWidth="1"/>
    <col min="4869" max="4872" width="9" style="15"/>
    <col min="4873" max="4873" width="7.625" style="15" bestFit="1" customWidth="1"/>
    <col min="4874" max="4875" width="9.375" style="15" bestFit="1" customWidth="1"/>
    <col min="4876" max="4876" width="9.875" style="15" bestFit="1" customWidth="1"/>
    <col min="4877" max="4881" width="9" style="15"/>
    <col min="4882" max="4882" width="7.625" style="15" bestFit="1" customWidth="1"/>
    <col min="4883" max="5120" width="9" style="15"/>
    <col min="5121" max="5121" width="9" style="15" customWidth="1"/>
    <col min="5122" max="5122" width="9" style="15"/>
    <col min="5123" max="5123" width="9.875" style="15" bestFit="1" customWidth="1"/>
    <col min="5124" max="5124" width="9" style="15" customWidth="1"/>
    <col min="5125" max="5128" width="9" style="15"/>
    <col min="5129" max="5129" width="7.625" style="15" bestFit="1" customWidth="1"/>
    <col min="5130" max="5131" width="9.375" style="15" bestFit="1" customWidth="1"/>
    <col min="5132" max="5132" width="9.875" style="15" bestFit="1" customWidth="1"/>
    <col min="5133" max="5137" width="9" style="15"/>
    <col min="5138" max="5138" width="7.625" style="15" bestFit="1" customWidth="1"/>
    <col min="5139" max="5376" width="9" style="15"/>
    <col min="5377" max="5377" width="9" style="15" customWidth="1"/>
    <col min="5378" max="5378" width="9" style="15"/>
    <col min="5379" max="5379" width="9.875" style="15" bestFit="1" customWidth="1"/>
    <col min="5380" max="5380" width="9" style="15" customWidth="1"/>
    <col min="5381" max="5384" width="9" style="15"/>
    <col min="5385" max="5385" width="7.625" style="15" bestFit="1" customWidth="1"/>
    <col min="5386" max="5387" width="9.375" style="15" bestFit="1" customWidth="1"/>
    <col min="5388" max="5388" width="9.875" style="15" bestFit="1" customWidth="1"/>
    <col min="5389" max="5393" width="9" style="15"/>
    <col min="5394" max="5394" width="7.625" style="15" bestFit="1" customWidth="1"/>
    <col min="5395" max="5632" width="9" style="15"/>
    <col min="5633" max="5633" width="9" style="15" customWidth="1"/>
    <col min="5634" max="5634" width="9" style="15"/>
    <col min="5635" max="5635" width="9.875" style="15" bestFit="1" customWidth="1"/>
    <col min="5636" max="5636" width="9" style="15" customWidth="1"/>
    <col min="5637" max="5640" width="9" style="15"/>
    <col min="5641" max="5641" width="7.625" style="15" bestFit="1" customWidth="1"/>
    <col min="5642" max="5643" width="9.375" style="15" bestFit="1" customWidth="1"/>
    <col min="5644" max="5644" width="9.875" style="15" bestFit="1" customWidth="1"/>
    <col min="5645" max="5649" width="9" style="15"/>
    <col min="5650" max="5650" width="7.625" style="15" bestFit="1" customWidth="1"/>
    <col min="5651" max="5888" width="9" style="15"/>
    <col min="5889" max="5889" width="9" style="15" customWidth="1"/>
    <col min="5890" max="5890" width="9" style="15"/>
    <col min="5891" max="5891" width="9.875" style="15" bestFit="1" customWidth="1"/>
    <col min="5892" max="5892" width="9" style="15" customWidth="1"/>
    <col min="5893" max="5896" width="9" style="15"/>
    <col min="5897" max="5897" width="7.625" style="15" bestFit="1" customWidth="1"/>
    <col min="5898" max="5899" width="9.375" style="15" bestFit="1" customWidth="1"/>
    <col min="5900" max="5900" width="9.875" style="15" bestFit="1" customWidth="1"/>
    <col min="5901" max="5905" width="9" style="15"/>
    <col min="5906" max="5906" width="7.625" style="15" bestFit="1" customWidth="1"/>
    <col min="5907" max="6144" width="9" style="15"/>
    <col min="6145" max="6145" width="9" style="15" customWidth="1"/>
    <col min="6146" max="6146" width="9" style="15"/>
    <col min="6147" max="6147" width="9.875" style="15" bestFit="1" customWidth="1"/>
    <col min="6148" max="6148" width="9" style="15" customWidth="1"/>
    <col min="6149" max="6152" width="9" style="15"/>
    <col min="6153" max="6153" width="7.625" style="15" bestFit="1" customWidth="1"/>
    <col min="6154" max="6155" width="9.375" style="15" bestFit="1" customWidth="1"/>
    <col min="6156" max="6156" width="9.875" style="15" bestFit="1" customWidth="1"/>
    <col min="6157" max="6161" width="9" style="15"/>
    <col min="6162" max="6162" width="7.625" style="15" bestFit="1" customWidth="1"/>
    <col min="6163" max="6400" width="9" style="15"/>
    <col min="6401" max="6401" width="9" style="15" customWidth="1"/>
    <col min="6402" max="6402" width="9" style="15"/>
    <col min="6403" max="6403" width="9.875" style="15" bestFit="1" customWidth="1"/>
    <col min="6404" max="6404" width="9" style="15" customWidth="1"/>
    <col min="6405" max="6408" width="9" style="15"/>
    <col min="6409" max="6409" width="7.625" style="15" bestFit="1" customWidth="1"/>
    <col min="6410" max="6411" width="9.375" style="15" bestFit="1" customWidth="1"/>
    <col min="6412" max="6412" width="9.875" style="15" bestFit="1" customWidth="1"/>
    <col min="6413" max="6417" width="9" style="15"/>
    <col min="6418" max="6418" width="7.625" style="15" bestFit="1" customWidth="1"/>
    <col min="6419" max="6656" width="9" style="15"/>
    <col min="6657" max="6657" width="9" style="15" customWidth="1"/>
    <col min="6658" max="6658" width="9" style="15"/>
    <col min="6659" max="6659" width="9.875" style="15" bestFit="1" customWidth="1"/>
    <col min="6660" max="6660" width="9" style="15" customWidth="1"/>
    <col min="6661" max="6664" width="9" style="15"/>
    <col min="6665" max="6665" width="7.625" style="15" bestFit="1" customWidth="1"/>
    <col min="6666" max="6667" width="9.375" style="15" bestFit="1" customWidth="1"/>
    <col min="6668" max="6668" width="9.875" style="15" bestFit="1" customWidth="1"/>
    <col min="6669" max="6673" width="9" style="15"/>
    <col min="6674" max="6674" width="7.625" style="15" bestFit="1" customWidth="1"/>
    <col min="6675" max="6912" width="9" style="15"/>
    <col min="6913" max="6913" width="9" style="15" customWidth="1"/>
    <col min="6914" max="6914" width="9" style="15"/>
    <col min="6915" max="6915" width="9.875" style="15" bestFit="1" customWidth="1"/>
    <col min="6916" max="6916" width="9" style="15" customWidth="1"/>
    <col min="6917" max="6920" width="9" style="15"/>
    <col min="6921" max="6921" width="7.625" style="15" bestFit="1" customWidth="1"/>
    <col min="6922" max="6923" width="9.375" style="15" bestFit="1" customWidth="1"/>
    <col min="6924" max="6924" width="9.875" style="15" bestFit="1" customWidth="1"/>
    <col min="6925" max="6929" width="9" style="15"/>
    <col min="6930" max="6930" width="7.625" style="15" bestFit="1" customWidth="1"/>
    <col min="6931" max="7168" width="9" style="15"/>
    <col min="7169" max="7169" width="9" style="15" customWidth="1"/>
    <col min="7170" max="7170" width="9" style="15"/>
    <col min="7171" max="7171" width="9.875" style="15" bestFit="1" customWidth="1"/>
    <col min="7172" max="7172" width="9" style="15" customWidth="1"/>
    <col min="7173" max="7176" width="9" style="15"/>
    <col min="7177" max="7177" width="7.625" style="15" bestFit="1" customWidth="1"/>
    <col min="7178" max="7179" width="9.375" style="15" bestFit="1" customWidth="1"/>
    <col min="7180" max="7180" width="9.875" style="15" bestFit="1" customWidth="1"/>
    <col min="7181" max="7185" width="9" style="15"/>
    <col min="7186" max="7186" width="7.625" style="15" bestFit="1" customWidth="1"/>
    <col min="7187" max="7424" width="9" style="15"/>
    <col min="7425" max="7425" width="9" style="15" customWidth="1"/>
    <col min="7426" max="7426" width="9" style="15"/>
    <col min="7427" max="7427" width="9.875" style="15" bestFit="1" customWidth="1"/>
    <col min="7428" max="7428" width="9" style="15" customWidth="1"/>
    <col min="7429" max="7432" width="9" style="15"/>
    <col min="7433" max="7433" width="7.625" style="15" bestFit="1" customWidth="1"/>
    <col min="7434" max="7435" width="9.375" style="15" bestFit="1" customWidth="1"/>
    <col min="7436" max="7436" width="9.875" style="15" bestFit="1" customWidth="1"/>
    <col min="7437" max="7441" width="9" style="15"/>
    <col min="7442" max="7442" width="7.625" style="15" bestFit="1" customWidth="1"/>
    <col min="7443" max="7680" width="9" style="15"/>
    <col min="7681" max="7681" width="9" style="15" customWidth="1"/>
    <col min="7682" max="7682" width="9" style="15"/>
    <col min="7683" max="7683" width="9.875" style="15" bestFit="1" customWidth="1"/>
    <col min="7684" max="7684" width="9" style="15" customWidth="1"/>
    <col min="7685" max="7688" width="9" style="15"/>
    <col min="7689" max="7689" width="7.625" style="15" bestFit="1" customWidth="1"/>
    <col min="7690" max="7691" width="9.375" style="15" bestFit="1" customWidth="1"/>
    <col min="7692" max="7692" width="9.875" style="15" bestFit="1" customWidth="1"/>
    <col min="7693" max="7697" width="9" style="15"/>
    <col min="7698" max="7698" width="7.625" style="15" bestFit="1" customWidth="1"/>
    <col min="7699" max="7936" width="9" style="15"/>
    <col min="7937" max="7937" width="9" style="15" customWidth="1"/>
    <col min="7938" max="7938" width="9" style="15"/>
    <col min="7939" max="7939" width="9.875" style="15" bestFit="1" customWidth="1"/>
    <col min="7940" max="7940" width="9" style="15" customWidth="1"/>
    <col min="7941" max="7944" width="9" style="15"/>
    <col min="7945" max="7945" width="7.625" style="15" bestFit="1" customWidth="1"/>
    <col min="7946" max="7947" width="9.375" style="15" bestFit="1" customWidth="1"/>
    <col min="7948" max="7948" width="9.875" style="15" bestFit="1" customWidth="1"/>
    <col min="7949" max="7953" width="9" style="15"/>
    <col min="7954" max="7954" width="7.625" style="15" bestFit="1" customWidth="1"/>
    <col min="7955" max="8192" width="9" style="15"/>
    <col min="8193" max="8193" width="9" style="15" customWidth="1"/>
    <col min="8194" max="8194" width="9" style="15"/>
    <col min="8195" max="8195" width="9.875" style="15" bestFit="1" customWidth="1"/>
    <col min="8196" max="8196" width="9" style="15" customWidth="1"/>
    <col min="8197" max="8200" width="9" style="15"/>
    <col min="8201" max="8201" width="7.625" style="15" bestFit="1" customWidth="1"/>
    <col min="8202" max="8203" width="9.375" style="15" bestFit="1" customWidth="1"/>
    <col min="8204" max="8204" width="9.875" style="15" bestFit="1" customWidth="1"/>
    <col min="8205" max="8209" width="9" style="15"/>
    <col min="8210" max="8210" width="7.625" style="15" bestFit="1" customWidth="1"/>
    <col min="8211" max="8448" width="9" style="15"/>
    <col min="8449" max="8449" width="9" style="15" customWidth="1"/>
    <col min="8450" max="8450" width="9" style="15"/>
    <col min="8451" max="8451" width="9.875" style="15" bestFit="1" customWidth="1"/>
    <col min="8452" max="8452" width="9" style="15" customWidth="1"/>
    <col min="8453" max="8456" width="9" style="15"/>
    <col min="8457" max="8457" width="7.625" style="15" bestFit="1" customWidth="1"/>
    <col min="8458" max="8459" width="9.375" style="15" bestFit="1" customWidth="1"/>
    <col min="8460" max="8460" width="9.875" style="15" bestFit="1" customWidth="1"/>
    <col min="8461" max="8465" width="9" style="15"/>
    <col min="8466" max="8466" width="7.625" style="15" bestFit="1" customWidth="1"/>
    <col min="8467" max="8704" width="9" style="15"/>
    <col min="8705" max="8705" width="9" style="15" customWidth="1"/>
    <col min="8706" max="8706" width="9" style="15"/>
    <col min="8707" max="8707" width="9.875" style="15" bestFit="1" customWidth="1"/>
    <col min="8708" max="8708" width="9" style="15" customWidth="1"/>
    <col min="8709" max="8712" width="9" style="15"/>
    <col min="8713" max="8713" width="7.625" style="15" bestFit="1" customWidth="1"/>
    <col min="8714" max="8715" width="9.375" style="15" bestFit="1" customWidth="1"/>
    <col min="8716" max="8716" width="9.875" style="15" bestFit="1" customWidth="1"/>
    <col min="8717" max="8721" width="9" style="15"/>
    <col min="8722" max="8722" width="7.625" style="15" bestFit="1" customWidth="1"/>
    <col min="8723" max="8960" width="9" style="15"/>
    <col min="8961" max="8961" width="9" style="15" customWidth="1"/>
    <col min="8962" max="8962" width="9" style="15"/>
    <col min="8963" max="8963" width="9.875" style="15" bestFit="1" customWidth="1"/>
    <col min="8964" max="8964" width="9" style="15" customWidth="1"/>
    <col min="8965" max="8968" width="9" style="15"/>
    <col min="8969" max="8969" width="7.625" style="15" bestFit="1" customWidth="1"/>
    <col min="8970" max="8971" width="9.375" style="15" bestFit="1" customWidth="1"/>
    <col min="8972" max="8972" width="9.875" style="15" bestFit="1" customWidth="1"/>
    <col min="8973" max="8977" width="9" style="15"/>
    <col min="8978" max="8978" width="7.625" style="15" bestFit="1" customWidth="1"/>
    <col min="8979" max="9216" width="9" style="15"/>
    <col min="9217" max="9217" width="9" style="15" customWidth="1"/>
    <col min="9218" max="9218" width="9" style="15"/>
    <col min="9219" max="9219" width="9.875" style="15" bestFit="1" customWidth="1"/>
    <col min="9220" max="9220" width="9" style="15" customWidth="1"/>
    <col min="9221" max="9224" width="9" style="15"/>
    <col min="9225" max="9225" width="7.625" style="15" bestFit="1" customWidth="1"/>
    <col min="9226" max="9227" width="9.375" style="15" bestFit="1" customWidth="1"/>
    <col min="9228" max="9228" width="9.875" style="15" bestFit="1" customWidth="1"/>
    <col min="9229" max="9233" width="9" style="15"/>
    <col min="9234" max="9234" width="7.625" style="15" bestFit="1" customWidth="1"/>
    <col min="9235" max="9472" width="9" style="15"/>
    <col min="9473" max="9473" width="9" style="15" customWidth="1"/>
    <col min="9474" max="9474" width="9" style="15"/>
    <col min="9475" max="9475" width="9.875" style="15" bestFit="1" customWidth="1"/>
    <col min="9476" max="9476" width="9" style="15" customWidth="1"/>
    <col min="9477" max="9480" width="9" style="15"/>
    <col min="9481" max="9481" width="7.625" style="15" bestFit="1" customWidth="1"/>
    <col min="9482" max="9483" width="9.375" style="15" bestFit="1" customWidth="1"/>
    <col min="9484" max="9484" width="9.875" style="15" bestFit="1" customWidth="1"/>
    <col min="9485" max="9489" width="9" style="15"/>
    <col min="9490" max="9490" width="7.625" style="15" bestFit="1" customWidth="1"/>
    <col min="9491" max="9728" width="9" style="15"/>
    <col min="9729" max="9729" width="9" style="15" customWidth="1"/>
    <col min="9730" max="9730" width="9" style="15"/>
    <col min="9731" max="9731" width="9.875" style="15" bestFit="1" customWidth="1"/>
    <col min="9732" max="9732" width="9" style="15" customWidth="1"/>
    <col min="9733" max="9736" width="9" style="15"/>
    <col min="9737" max="9737" width="7.625" style="15" bestFit="1" customWidth="1"/>
    <col min="9738" max="9739" width="9.375" style="15" bestFit="1" customWidth="1"/>
    <col min="9740" max="9740" width="9.875" style="15" bestFit="1" customWidth="1"/>
    <col min="9741" max="9745" width="9" style="15"/>
    <col min="9746" max="9746" width="7.625" style="15" bestFit="1" customWidth="1"/>
    <col min="9747" max="9984" width="9" style="15"/>
    <col min="9985" max="9985" width="9" style="15" customWidth="1"/>
    <col min="9986" max="9986" width="9" style="15"/>
    <col min="9987" max="9987" width="9.875" style="15" bestFit="1" customWidth="1"/>
    <col min="9988" max="9988" width="9" style="15" customWidth="1"/>
    <col min="9989" max="9992" width="9" style="15"/>
    <col min="9993" max="9993" width="7.625" style="15" bestFit="1" customWidth="1"/>
    <col min="9994" max="9995" width="9.375" style="15" bestFit="1" customWidth="1"/>
    <col min="9996" max="9996" width="9.875" style="15" bestFit="1" customWidth="1"/>
    <col min="9997" max="10001" width="9" style="15"/>
    <col min="10002" max="10002" width="7.625" style="15" bestFit="1" customWidth="1"/>
    <col min="10003" max="10240" width="9" style="15"/>
    <col min="10241" max="10241" width="9" style="15" customWidth="1"/>
    <col min="10242" max="10242" width="9" style="15"/>
    <col min="10243" max="10243" width="9.875" style="15" bestFit="1" customWidth="1"/>
    <col min="10244" max="10244" width="9" style="15" customWidth="1"/>
    <col min="10245" max="10248" width="9" style="15"/>
    <col min="10249" max="10249" width="7.625" style="15" bestFit="1" customWidth="1"/>
    <col min="10250" max="10251" width="9.375" style="15" bestFit="1" customWidth="1"/>
    <col min="10252" max="10252" width="9.875" style="15" bestFit="1" customWidth="1"/>
    <col min="10253" max="10257" width="9" style="15"/>
    <col min="10258" max="10258" width="7.625" style="15" bestFit="1" customWidth="1"/>
    <col min="10259" max="10496" width="9" style="15"/>
    <col min="10497" max="10497" width="9" style="15" customWidth="1"/>
    <col min="10498" max="10498" width="9" style="15"/>
    <col min="10499" max="10499" width="9.875" style="15" bestFit="1" customWidth="1"/>
    <col min="10500" max="10500" width="9" style="15" customWidth="1"/>
    <col min="10501" max="10504" width="9" style="15"/>
    <col min="10505" max="10505" width="7.625" style="15" bestFit="1" customWidth="1"/>
    <col min="10506" max="10507" width="9.375" style="15" bestFit="1" customWidth="1"/>
    <col min="10508" max="10508" width="9.875" style="15" bestFit="1" customWidth="1"/>
    <col min="10509" max="10513" width="9" style="15"/>
    <col min="10514" max="10514" width="7.625" style="15" bestFit="1" customWidth="1"/>
    <col min="10515" max="10752" width="9" style="15"/>
    <col min="10753" max="10753" width="9" style="15" customWidth="1"/>
    <col min="10754" max="10754" width="9" style="15"/>
    <col min="10755" max="10755" width="9.875" style="15" bestFit="1" customWidth="1"/>
    <col min="10756" max="10756" width="9" style="15" customWidth="1"/>
    <col min="10757" max="10760" width="9" style="15"/>
    <col min="10761" max="10761" width="7.625" style="15" bestFit="1" customWidth="1"/>
    <col min="10762" max="10763" width="9.375" style="15" bestFit="1" customWidth="1"/>
    <col min="10764" max="10764" width="9.875" style="15" bestFit="1" customWidth="1"/>
    <col min="10765" max="10769" width="9" style="15"/>
    <col min="10770" max="10770" width="7.625" style="15" bestFit="1" customWidth="1"/>
    <col min="10771" max="11008" width="9" style="15"/>
    <col min="11009" max="11009" width="9" style="15" customWidth="1"/>
    <col min="11010" max="11010" width="9" style="15"/>
    <col min="11011" max="11011" width="9.875" style="15" bestFit="1" customWidth="1"/>
    <col min="11012" max="11012" width="9" style="15" customWidth="1"/>
    <col min="11013" max="11016" width="9" style="15"/>
    <col min="11017" max="11017" width="7.625" style="15" bestFit="1" customWidth="1"/>
    <col min="11018" max="11019" width="9.375" style="15" bestFit="1" customWidth="1"/>
    <col min="11020" max="11020" width="9.875" style="15" bestFit="1" customWidth="1"/>
    <col min="11021" max="11025" width="9" style="15"/>
    <col min="11026" max="11026" width="7.625" style="15" bestFit="1" customWidth="1"/>
    <col min="11027" max="11264" width="9" style="15"/>
    <col min="11265" max="11265" width="9" style="15" customWidth="1"/>
    <col min="11266" max="11266" width="9" style="15"/>
    <col min="11267" max="11267" width="9.875" style="15" bestFit="1" customWidth="1"/>
    <col min="11268" max="11268" width="9" style="15" customWidth="1"/>
    <col min="11269" max="11272" width="9" style="15"/>
    <col min="11273" max="11273" width="7.625" style="15" bestFit="1" customWidth="1"/>
    <col min="11274" max="11275" width="9.375" style="15" bestFit="1" customWidth="1"/>
    <col min="11276" max="11276" width="9.875" style="15" bestFit="1" customWidth="1"/>
    <col min="11277" max="11281" width="9" style="15"/>
    <col min="11282" max="11282" width="7.625" style="15" bestFit="1" customWidth="1"/>
    <col min="11283" max="11520" width="9" style="15"/>
    <col min="11521" max="11521" width="9" style="15" customWidth="1"/>
    <col min="11522" max="11522" width="9" style="15"/>
    <col min="11523" max="11523" width="9.875" style="15" bestFit="1" customWidth="1"/>
    <col min="11524" max="11524" width="9" style="15" customWidth="1"/>
    <col min="11525" max="11528" width="9" style="15"/>
    <col min="11529" max="11529" width="7.625" style="15" bestFit="1" customWidth="1"/>
    <col min="11530" max="11531" width="9.375" style="15" bestFit="1" customWidth="1"/>
    <col min="11532" max="11532" width="9.875" style="15" bestFit="1" customWidth="1"/>
    <col min="11533" max="11537" width="9" style="15"/>
    <col min="11538" max="11538" width="7.625" style="15" bestFit="1" customWidth="1"/>
    <col min="11539" max="11776" width="9" style="15"/>
    <col min="11777" max="11777" width="9" style="15" customWidth="1"/>
    <col min="11778" max="11778" width="9" style="15"/>
    <col min="11779" max="11779" width="9.875" style="15" bestFit="1" customWidth="1"/>
    <col min="11780" max="11780" width="9" style="15" customWidth="1"/>
    <col min="11781" max="11784" width="9" style="15"/>
    <col min="11785" max="11785" width="7.625" style="15" bestFit="1" customWidth="1"/>
    <col min="11786" max="11787" width="9.375" style="15" bestFit="1" customWidth="1"/>
    <col min="11788" max="11788" width="9.875" style="15" bestFit="1" customWidth="1"/>
    <col min="11789" max="11793" width="9" style="15"/>
    <col min="11794" max="11794" width="7.625" style="15" bestFit="1" customWidth="1"/>
    <col min="11795" max="12032" width="9" style="15"/>
    <col min="12033" max="12033" width="9" style="15" customWidth="1"/>
    <col min="12034" max="12034" width="9" style="15"/>
    <col min="12035" max="12035" width="9.875" style="15" bestFit="1" customWidth="1"/>
    <col min="12036" max="12036" width="9" style="15" customWidth="1"/>
    <col min="12037" max="12040" width="9" style="15"/>
    <col min="12041" max="12041" width="7.625" style="15" bestFit="1" customWidth="1"/>
    <col min="12042" max="12043" width="9.375" style="15" bestFit="1" customWidth="1"/>
    <col min="12044" max="12044" width="9.875" style="15" bestFit="1" customWidth="1"/>
    <col min="12045" max="12049" width="9" style="15"/>
    <col min="12050" max="12050" width="7.625" style="15" bestFit="1" customWidth="1"/>
    <col min="12051" max="12288" width="9" style="15"/>
    <col min="12289" max="12289" width="9" style="15" customWidth="1"/>
    <col min="12290" max="12290" width="9" style="15"/>
    <col min="12291" max="12291" width="9.875" style="15" bestFit="1" customWidth="1"/>
    <col min="12292" max="12292" width="9" style="15" customWidth="1"/>
    <col min="12293" max="12296" width="9" style="15"/>
    <col min="12297" max="12297" width="7.625" style="15" bestFit="1" customWidth="1"/>
    <col min="12298" max="12299" width="9.375" style="15" bestFit="1" customWidth="1"/>
    <col min="12300" max="12300" width="9.875" style="15" bestFit="1" customWidth="1"/>
    <col min="12301" max="12305" width="9" style="15"/>
    <col min="12306" max="12306" width="7.625" style="15" bestFit="1" customWidth="1"/>
    <col min="12307" max="12544" width="9" style="15"/>
    <col min="12545" max="12545" width="9" style="15" customWidth="1"/>
    <col min="12546" max="12546" width="9" style="15"/>
    <col min="12547" max="12547" width="9.875" style="15" bestFit="1" customWidth="1"/>
    <col min="12548" max="12548" width="9" style="15" customWidth="1"/>
    <col min="12549" max="12552" width="9" style="15"/>
    <col min="12553" max="12553" width="7.625" style="15" bestFit="1" customWidth="1"/>
    <col min="12554" max="12555" width="9.375" style="15" bestFit="1" customWidth="1"/>
    <col min="12556" max="12556" width="9.875" style="15" bestFit="1" customWidth="1"/>
    <col min="12557" max="12561" width="9" style="15"/>
    <col min="12562" max="12562" width="7.625" style="15" bestFit="1" customWidth="1"/>
    <col min="12563" max="12800" width="9" style="15"/>
    <col min="12801" max="12801" width="9" style="15" customWidth="1"/>
    <col min="12802" max="12802" width="9" style="15"/>
    <col min="12803" max="12803" width="9.875" style="15" bestFit="1" customWidth="1"/>
    <col min="12804" max="12804" width="9" style="15" customWidth="1"/>
    <col min="12805" max="12808" width="9" style="15"/>
    <col min="12809" max="12809" width="7.625" style="15" bestFit="1" customWidth="1"/>
    <col min="12810" max="12811" width="9.375" style="15" bestFit="1" customWidth="1"/>
    <col min="12812" max="12812" width="9.875" style="15" bestFit="1" customWidth="1"/>
    <col min="12813" max="12817" width="9" style="15"/>
    <col min="12818" max="12818" width="7.625" style="15" bestFit="1" customWidth="1"/>
    <col min="12819" max="13056" width="9" style="15"/>
    <col min="13057" max="13057" width="9" style="15" customWidth="1"/>
    <col min="13058" max="13058" width="9" style="15"/>
    <col min="13059" max="13059" width="9.875" style="15" bestFit="1" customWidth="1"/>
    <col min="13060" max="13060" width="9" style="15" customWidth="1"/>
    <col min="13061" max="13064" width="9" style="15"/>
    <col min="13065" max="13065" width="7.625" style="15" bestFit="1" customWidth="1"/>
    <col min="13066" max="13067" width="9.375" style="15" bestFit="1" customWidth="1"/>
    <col min="13068" max="13068" width="9.875" style="15" bestFit="1" customWidth="1"/>
    <col min="13069" max="13073" width="9" style="15"/>
    <col min="13074" max="13074" width="7.625" style="15" bestFit="1" customWidth="1"/>
    <col min="13075" max="13312" width="9" style="15"/>
    <col min="13313" max="13313" width="9" style="15" customWidth="1"/>
    <col min="13314" max="13314" width="9" style="15"/>
    <col min="13315" max="13315" width="9.875" style="15" bestFit="1" customWidth="1"/>
    <col min="13316" max="13316" width="9" style="15" customWidth="1"/>
    <col min="13317" max="13320" width="9" style="15"/>
    <col min="13321" max="13321" width="7.625" style="15" bestFit="1" customWidth="1"/>
    <col min="13322" max="13323" width="9.375" style="15" bestFit="1" customWidth="1"/>
    <col min="13324" max="13324" width="9.875" style="15" bestFit="1" customWidth="1"/>
    <col min="13325" max="13329" width="9" style="15"/>
    <col min="13330" max="13330" width="7.625" style="15" bestFit="1" customWidth="1"/>
    <col min="13331" max="13568" width="9" style="15"/>
    <col min="13569" max="13569" width="9" style="15" customWidth="1"/>
    <col min="13570" max="13570" width="9" style="15"/>
    <col min="13571" max="13571" width="9.875" style="15" bestFit="1" customWidth="1"/>
    <col min="13572" max="13572" width="9" style="15" customWidth="1"/>
    <col min="13573" max="13576" width="9" style="15"/>
    <col min="13577" max="13577" width="7.625" style="15" bestFit="1" customWidth="1"/>
    <col min="13578" max="13579" width="9.375" style="15" bestFit="1" customWidth="1"/>
    <col min="13580" max="13580" width="9.875" style="15" bestFit="1" customWidth="1"/>
    <col min="13581" max="13585" width="9" style="15"/>
    <col min="13586" max="13586" width="7.625" style="15" bestFit="1" customWidth="1"/>
    <col min="13587" max="13824" width="9" style="15"/>
    <col min="13825" max="13825" width="9" style="15" customWidth="1"/>
    <col min="13826" max="13826" width="9" style="15"/>
    <col min="13827" max="13827" width="9.875" style="15" bestFit="1" customWidth="1"/>
    <col min="13828" max="13828" width="9" style="15" customWidth="1"/>
    <col min="13829" max="13832" width="9" style="15"/>
    <col min="13833" max="13833" width="7.625" style="15" bestFit="1" customWidth="1"/>
    <col min="13834" max="13835" width="9.375" style="15" bestFit="1" customWidth="1"/>
    <col min="13836" max="13836" width="9.875" style="15" bestFit="1" customWidth="1"/>
    <col min="13837" max="13841" width="9" style="15"/>
    <col min="13842" max="13842" width="7.625" style="15" bestFit="1" customWidth="1"/>
    <col min="13843" max="14080" width="9" style="15"/>
    <col min="14081" max="14081" width="9" style="15" customWidth="1"/>
    <col min="14082" max="14082" width="9" style="15"/>
    <col min="14083" max="14083" width="9.875" style="15" bestFit="1" customWidth="1"/>
    <col min="14084" max="14084" width="9" style="15" customWidth="1"/>
    <col min="14085" max="14088" width="9" style="15"/>
    <col min="14089" max="14089" width="7.625" style="15" bestFit="1" customWidth="1"/>
    <col min="14090" max="14091" width="9.375" style="15" bestFit="1" customWidth="1"/>
    <col min="14092" max="14092" width="9.875" style="15" bestFit="1" customWidth="1"/>
    <col min="14093" max="14097" width="9" style="15"/>
    <col min="14098" max="14098" width="7.625" style="15" bestFit="1" customWidth="1"/>
    <col min="14099" max="14336" width="9" style="15"/>
    <col min="14337" max="14337" width="9" style="15" customWidth="1"/>
    <col min="14338" max="14338" width="9" style="15"/>
    <col min="14339" max="14339" width="9.875" style="15" bestFit="1" customWidth="1"/>
    <col min="14340" max="14340" width="9" style="15" customWidth="1"/>
    <col min="14341" max="14344" width="9" style="15"/>
    <col min="14345" max="14345" width="7.625" style="15" bestFit="1" customWidth="1"/>
    <col min="14346" max="14347" width="9.375" style="15" bestFit="1" customWidth="1"/>
    <col min="14348" max="14348" width="9.875" style="15" bestFit="1" customWidth="1"/>
    <col min="14349" max="14353" width="9" style="15"/>
    <col min="14354" max="14354" width="7.625" style="15" bestFit="1" customWidth="1"/>
    <col min="14355" max="14592" width="9" style="15"/>
    <col min="14593" max="14593" width="9" style="15" customWidth="1"/>
    <col min="14594" max="14594" width="9" style="15"/>
    <col min="14595" max="14595" width="9.875" style="15" bestFit="1" customWidth="1"/>
    <col min="14596" max="14596" width="9" style="15" customWidth="1"/>
    <col min="14597" max="14600" width="9" style="15"/>
    <col min="14601" max="14601" width="7.625" style="15" bestFit="1" customWidth="1"/>
    <col min="14602" max="14603" width="9.375" style="15" bestFit="1" customWidth="1"/>
    <col min="14604" max="14604" width="9.875" style="15" bestFit="1" customWidth="1"/>
    <col min="14605" max="14609" width="9" style="15"/>
    <col min="14610" max="14610" width="7.625" style="15" bestFit="1" customWidth="1"/>
    <col min="14611" max="14848" width="9" style="15"/>
    <col min="14849" max="14849" width="9" style="15" customWidth="1"/>
    <col min="14850" max="14850" width="9" style="15"/>
    <col min="14851" max="14851" width="9.875" style="15" bestFit="1" customWidth="1"/>
    <col min="14852" max="14852" width="9" style="15" customWidth="1"/>
    <col min="14853" max="14856" width="9" style="15"/>
    <col min="14857" max="14857" width="7.625" style="15" bestFit="1" customWidth="1"/>
    <col min="14858" max="14859" width="9.375" style="15" bestFit="1" customWidth="1"/>
    <col min="14860" max="14860" width="9.875" style="15" bestFit="1" customWidth="1"/>
    <col min="14861" max="14865" width="9" style="15"/>
    <col min="14866" max="14866" width="7.625" style="15" bestFit="1" customWidth="1"/>
    <col min="14867" max="15104" width="9" style="15"/>
    <col min="15105" max="15105" width="9" style="15" customWidth="1"/>
    <col min="15106" max="15106" width="9" style="15"/>
    <col min="15107" max="15107" width="9.875" style="15" bestFit="1" customWidth="1"/>
    <col min="15108" max="15108" width="9" style="15" customWidth="1"/>
    <col min="15109" max="15112" width="9" style="15"/>
    <col min="15113" max="15113" width="7.625" style="15" bestFit="1" customWidth="1"/>
    <col min="15114" max="15115" width="9.375" style="15" bestFit="1" customWidth="1"/>
    <col min="15116" max="15116" width="9.875" style="15" bestFit="1" customWidth="1"/>
    <col min="15117" max="15121" width="9" style="15"/>
    <col min="15122" max="15122" width="7.625" style="15" bestFit="1" customWidth="1"/>
    <col min="15123" max="15360" width="9" style="15"/>
    <col min="15361" max="15361" width="9" style="15" customWidth="1"/>
    <col min="15362" max="15362" width="9" style="15"/>
    <col min="15363" max="15363" width="9.875" style="15" bestFit="1" customWidth="1"/>
    <col min="15364" max="15364" width="9" style="15" customWidth="1"/>
    <col min="15365" max="15368" width="9" style="15"/>
    <col min="15369" max="15369" width="7.625" style="15" bestFit="1" customWidth="1"/>
    <col min="15370" max="15371" width="9.375" style="15" bestFit="1" customWidth="1"/>
    <col min="15372" max="15372" width="9.875" style="15" bestFit="1" customWidth="1"/>
    <col min="15373" max="15377" width="9" style="15"/>
    <col min="15378" max="15378" width="7.625" style="15" bestFit="1" customWidth="1"/>
    <col min="15379" max="15616" width="9" style="15"/>
    <col min="15617" max="15617" width="9" style="15" customWidth="1"/>
    <col min="15618" max="15618" width="9" style="15"/>
    <col min="15619" max="15619" width="9.875" style="15" bestFit="1" customWidth="1"/>
    <col min="15620" max="15620" width="9" style="15" customWidth="1"/>
    <col min="15621" max="15624" width="9" style="15"/>
    <col min="15625" max="15625" width="7.625" style="15" bestFit="1" customWidth="1"/>
    <col min="15626" max="15627" width="9.375" style="15" bestFit="1" customWidth="1"/>
    <col min="15628" max="15628" width="9.875" style="15" bestFit="1" customWidth="1"/>
    <col min="15629" max="15633" width="9" style="15"/>
    <col min="15634" max="15634" width="7.625" style="15" bestFit="1" customWidth="1"/>
    <col min="15635" max="15872" width="9" style="15"/>
    <col min="15873" max="15873" width="9" style="15" customWidth="1"/>
    <col min="15874" max="15874" width="9" style="15"/>
    <col min="15875" max="15875" width="9.875" style="15" bestFit="1" customWidth="1"/>
    <col min="15876" max="15876" width="9" style="15" customWidth="1"/>
    <col min="15877" max="15880" width="9" style="15"/>
    <col min="15881" max="15881" width="7.625" style="15" bestFit="1" customWidth="1"/>
    <col min="15882" max="15883" width="9.375" style="15" bestFit="1" customWidth="1"/>
    <col min="15884" max="15884" width="9.875" style="15" bestFit="1" customWidth="1"/>
    <col min="15885" max="15889" width="9" style="15"/>
    <col min="15890" max="15890" width="7.625" style="15" bestFit="1" customWidth="1"/>
    <col min="15891" max="16128" width="9" style="15"/>
    <col min="16129" max="16129" width="9" style="15" customWidth="1"/>
    <col min="16130" max="16130" width="9" style="15"/>
    <col min="16131" max="16131" width="9.875" style="15" bestFit="1" customWidth="1"/>
    <col min="16132" max="16132" width="9" style="15" customWidth="1"/>
    <col min="16133" max="16136" width="9" style="15"/>
    <col min="16137" max="16137" width="7.625" style="15" bestFit="1" customWidth="1"/>
    <col min="16138" max="16139" width="9.375" style="15" bestFit="1" customWidth="1"/>
    <col min="16140" max="16140" width="9.875" style="15" bestFit="1" customWidth="1"/>
    <col min="16141" max="16145" width="9" style="15"/>
    <col min="16146" max="16146" width="7.625" style="15" bestFit="1" customWidth="1"/>
    <col min="16147" max="16384" width="9" style="15"/>
  </cols>
  <sheetData>
    <row r="1" spans="1:81" ht="35.25">
      <c r="A1" s="13" t="s">
        <v>48</v>
      </c>
      <c r="B1" s="95" t="s">
        <v>49</v>
      </c>
      <c r="C1" s="95"/>
      <c r="D1" s="95"/>
      <c r="E1" s="95"/>
      <c r="F1" s="95"/>
      <c r="G1" s="95"/>
      <c r="H1" s="95"/>
      <c r="I1" s="95"/>
      <c r="J1" s="95"/>
      <c r="K1" s="95"/>
      <c r="L1" s="91" t="s">
        <v>50</v>
      </c>
      <c r="M1" s="91"/>
      <c r="N1" s="91"/>
      <c r="O1" s="91"/>
      <c r="P1" s="91"/>
      <c r="Q1" s="91"/>
      <c r="R1" s="91"/>
    </row>
    <row r="2" spans="1:81">
      <c r="A2" s="16" t="s">
        <v>23</v>
      </c>
      <c r="B2" s="96" t="s">
        <v>24</v>
      </c>
      <c r="C2" s="97"/>
      <c r="D2" s="97"/>
      <c r="E2" s="97"/>
      <c r="F2" s="97"/>
      <c r="G2" s="97"/>
      <c r="H2" s="97"/>
      <c r="I2" s="97"/>
      <c r="J2" s="97"/>
      <c r="K2" s="14"/>
      <c r="L2" s="14"/>
      <c r="M2" s="14"/>
      <c r="N2" s="14"/>
      <c r="O2" s="14"/>
      <c r="P2" s="14"/>
      <c r="Q2" s="14"/>
      <c r="R2" s="14"/>
    </row>
    <row r="3" spans="1:81" ht="17.25" customHeight="1">
      <c r="A3" s="16" t="s">
        <v>0</v>
      </c>
      <c r="B3" s="96" t="s">
        <v>25</v>
      </c>
      <c r="C3" s="97"/>
      <c r="D3" s="97"/>
      <c r="E3" s="97"/>
      <c r="F3" s="97"/>
      <c r="G3" s="97"/>
      <c r="H3" s="97"/>
      <c r="I3" s="97"/>
      <c r="J3" s="97"/>
      <c r="K3" s="17"/>
    </row>
    <row r="4" spans="1:81" customFormat="1" ht="14.25" customHeight="1">
      <c r="A4" s="19" t="s">
        <v>167</v>
      </c>
      <c r="B4" s="5" t="s">
        <v>26</v>
      </c>
      <c r="C4" s="5" t="s">
        <v>27</v>
      </c>
      <c r="D4" s="5" t="s">
        <v>28</v>
      </c>
      <c r="E4" s="5" t="s">
        <v>11</v>
      </c>
      <c r="F4" s="5" t="s">
        <v>12</v>
      </c>
      <c r="G4" s="21" t="s">
        <v>3</v>
      </c>
      <c r="H4" s="38" t="s">
        <v>4</v>
      </c>
      <c r="I4" s="81" t="s">
        <v>29</v>
      </c>
      <c r="J4" s="19" t="s">
        <v>167</v>
      </c>
      <c r="K4" s="20" t="s">
        <v>26</v>
      </c>
      <c r="L4" s="20" t="s">
        <v>27</v>
      </c>
      <c r="M4" s="20" t="s">
        <v>28</v>
      </c>
      <c r="N4" s="20" t="s">
        <v>11</v>
      </c>
      <c r="O4" s="20" t="s">
        <v>12</v>
      </c>
      <c r="P4" s="21" t="s">
        <v>3</v>
      </c>
      <c r="Q4" s="38" t="s">
        <v>4</v>
      </c>
      <c r="R4" s="81" t="s">
        <v>29</v>
      </c>
      <c r="S4" s="19" t="s">
        <v>167</v>
      </c>
      <c r="T4" s="20" t="s">
        <v>26</v>
      </c>
      <c r="U4" s="20" t="s">
        <v>27</v>
      </c>
      <c r="V4" s="20" t="s">
        <v>28</v>
      </c>
      <c r="W4" s="20" t="s">
        <v>11</v>
      </c>
      <c r="X4" s="20" t="s">
        <v>12</v>
      </c>
      <c r="Y4" s="21" t="s">
        <v>3</v>
      </c>
      <c r="Z4" s="38" t="s">
        <v>4</v>
      </c>
      <c r="AA4" s="86" t="s">
        <v>29</v>
      </c>
      <c r="AB4" s="19" t="s">
        <v>167</v>
      </c>
      <c r="AC4" s="20" t="s">
        <v>26</v>
      </c>
      <c r="AD4" s="20" t="s">
        <v>27</v>
      </c>
      <c r="AE4" s="20" t="s">
        <v>28</v>
      </c>
      <c r="AF4" s="20" t="s">
        <v>11</v>
      </c>
      <c r="AG4" s="20" t="s">
        <v>12</v>
      </c>
      <c r="AH4" s="21" t="s">
        <v>3</v>
      </c>
      <c r="AI4" s="38" t="s">
        <v>4</v>
      </c>
      <c r="AJ4" s="81" t="s">
        <v>29</v>
      </c>
      <c r="AK4" s="19" t="s">
        <v>167</v>
      </c>
      <c r="AL4" s="20" t="s">
        <v>26</v>
      </c>
      <c r="AM4" s="20" t="s">
        <v>27</v>
      </c>
      <c r="AN4" s="20" t="s">
        <v>28</v>
      </c>
      <c r="AO4" s="20" t="s">
        <v>11</v>
      </c>
      <c r="AP4" s="20" t="s">
        <v>12</v>
      </c>
      <c r="AQ4" s="21" t="s">
        <v>3</v>
      </c>
      <c r="AR4" s="38" t="s">
        <v>4</v>
      </c>
      <c r="AS4" s="86" t="s">
        <v>29</v>
      </c>
      <c r="AT4" s="19" t="s">
        <v>167</v>
      </c>
      <c r="AU4" s="5" t="s">
        <v>26</v>
      </c>
      <c r="AV4" s="5" t="s">
        <v>27</v>
      </c>
      <c r="AW4" s="5" t="s">
        <v>28</v>
      </c>
      <c r="AX4" s="5" t="s">
        <v>11</v>
      </c>
      <c r="AY4" s="5" t="s">
        <v>12</v>
      </c>
      <c r="AZ4" s="21" t="s">
        <v>3</v>
      </c>
      <c r="BA4" s="38" t="s">
        <v>4</v>
      </c>
      <c r="BB4" s="81" t="s">
        <v>29</v>
      </c>
      <c r="BC4" s="19" t="s">
        <v>167</v>
      </c>
      <c r="BD4" s="20" t="s">
        <v>26</v>
      </c>
      <c r="BE4" s="20" t="s">
        <v>27</v>
      </c>
      <c r="BF4" s="20" t="s">
        <v>28</v>
      </c>
      <c r="BG4" s="20" t="s">
        <v>11</v>
      </c>
      <c r="BH4" s="20" t="s">
        <v>12</v>
      </c>
      <c r="BI4" s="21" t="s">
        <v>3</v>
      </c>
      <c r="BJ4" s="38" t="s">
        <v>4</v>
      </c>
      <c r="BK4" s="86" t="s">
        <v>29</v>
      </c>
      <c r="BL4" s="19" t="s">
        <v>167</v>
      </c>
      <c r="BM4" s="5" t="s">
        <v>26</v>
      </c>
      <c r="BN4" s="5" t="s">
        <v>27</v>
      </c>
      <c r="BO4" s="5" t="s">
        <v>28</v>
      </c>
      <c r="BP4" s="5" t="s">
        <v>11</v>
      </c>
      <c r="BQ4" s="5" t="s">
        <v>12</v>
      </c>
      <c r="BR4" s="21" t="s">
        <v>3</v>
      </c>
      <c r="BS4" s="38" t="s">
        <v>4</v>
      </c>
      <c r="BT4" s="81" t="s">
        <v>29</v>
      </c>
      <c r="BU4" s="19" t="s">
        <v>167</v>
      </c>
      <c r="BV4" s="20" t="s">
        <v>26</v>
      </c>
      <c r="BW4" s="20" t="s">
        <v>27</v>
      </c>
      <c r="BX4" s="20" t="s">
        <v>28</v>
      </c>
      <c r="BY4" s="20" t="s">
        <v>11</v>
      </c>
      <c r="BZ4" s="20" t="s">
        <v>12</v>
      </c>
      <c r="CA4" s="21" t="s">
        <v>3</v>
      </c>
      <c r="CB4" s="38" t="s">
        <v>4</v>
      </c>
      <c r="CC4" s="86" t="s">
        <v>29</v>
      </c>
    </row>
    <row r="5" spans="1:81" customFormat="1">
      <c r="A5" s="7" t="s">
        <v>30</v>
      </c>
      <c r="B5" s="8">
        <v>38275</v>
      </c>
      <c r="C5" s="8">
        <v>1882.5</v>
      </c>
      <c r="D5" s="4">
        <v>5</v>
      </c>
      <c r="E5" s="8" t="s">
        <v>10</v>
      </c>
      <c r="F5" s="50">
        <v>1</v>
      </c>
      <c r="G5" s="24" t="s">
        <v>15</v>
      </c>
      <c r="H5" s="25" t="s">
        <v>6</v>
      </c>
      <c r="I5" s="82"/>
      <c r="J5" s="22" t="s">
        <v>32</v>
      </c>
      <c r="K5" s="28">
        <v>38450</v>
      </c>
      <c r="L5" s="28">
        <v>1900</v>
      </c>
      <c r="M5" s="23">
        <v>5</v>
      </c>
      <c r="N5" s="28" t="s">
        <v>10</v>
      </c>
      <c r="O5" s="29">
        <v>1</v>
      </c>
      <c r="P5" s="24" t="s">
        <v>15</v>
      </c>
      <c r="Q5" s="25" t="s">
        <v>7</v>
      </c>
      <c r="R5" s="82"/>
      <c r="S5" s="27" t="s">
        <v>31</v>
      </c>
      <c r="T5" s="28">
        <v>38625</v>
      </c>
      <c r="U5" s="28">
        <v>1917.5</v>
      </c>
      <c r="V5" s="23">
        <v>5</v>
      </c>
      <c r="W5" s="28" t="s">
        <v>10</v>
      </c>
      <c r="X5" s="29">
        <v>1</v>
      </c>
      <c r="Y5" s="24" t="s">
        <v>31</v>
      </c>
      <c r="Z5" s="25" t="s">
        <v>7</v>
      </c>
      <c r="AA5" s="86"/>
      <c r="AB5" s="27" t="s">
        <v>30</v>
      </c>
      <c r="AC5" s="28">
        <v>38275</v>
      </c>
      <c r="AD5" s="28">
        <v>1882.5</v>
      </c>
      <c r="AE5" s="23">
        <v>5</v>
      </c>
      <c r="AF5" s="28" t="s">
        <v>10</v>
      </c>
      <c r="AG5" s="29">
        <v>25</v>
      </c>
      <c r="AH5" s="24" t="s">
        <v>30</v>
      </c>
      <c r="AI5" s="25" t="s">
        <v>6</v>
      </c>
      <c r="AJ5" s="82"/>
      <c r="AK5" s="27" t="s">
        <v>31</v>
      </c>
      <c r="AL5" s="28">
        <v>38625</v>
      </c>
      <c r="AM5" s="28">
        <v>1917.5</v>
      </c>
      <c r="AN5" s="23">
        <v>5</v>
      </c>
      <c r="AO5" s="28" t="s">
        <v>10</v>
      </c>
      <c r="AP5" s="29">
        <v>25</v>
      </c>
      <c r="AQ5" s="24" t="s">
        <v>31</v>
      </c>
      <c r="AR5" s="25" t="s">
        <v>7</v>
      </c>
      <c r="AS5" s="86"/>
      <c r="AT5" s="7" t="s">
        <v>30</v>
      </c>
      <c r="AU5" s="8">
        <v>38350</v>
      </c>
      <c r="AV5" s="8">
        <v>1890</v>
      </c>
      <c r="AW5" s="4">
        <v>20</v>
      </c>
      <c r="AX5" s="8" t="s">
        <v>10</v>
      </c>
      <c r="AY5" s="50">
        <v>1</v>
      </c>
      <c r="AZ5" s="24" t="s">
        <v>15</v>
      </c>
      <c r="BA5" s="25" t="s">
        <v>6</v>
      </c>
      <c r="BB5" s="82"/>
      <c r="BC5" s="27" t="s">
        <v>31</v>
      </c>
      <c r="BD5" s="28">
        <v>38550</v>
      </c>
      <c r="BE5" s="28">
        <v>1910</v>
      </c>
      <c r="BF5" s="23">
        <v>20</v>
      </c>
      <c r="BG5" s="28" t="s">
        <v>10</v>
      </c>
      <c r="BH5" s="29">
        <v>1</v>
      </c>
      <c r="BI5" s="24" t="s">
        <v>31</v>
      </c>
      <c r="BJ5" s="25" t="s">
        <v>7</v>
      </c>
      <c r="BK5" s="86"/>
      <c r="BL5" s="7" t="s">
        <v>30</v>
      </c>
      <c r="BM5" s="8">
        <v>38350</v>
      </c>
      <c r="BN5" s="8">
        <v>1890</v>
      </c>
      <c r="BO5" s="4">
        <v>20</v>
      </c>
      <c r="BP5" s="8" t="s">
        <v>10</v>
      </c>
      <c r="BQ5" s="50">
        <v>100</v>
      </c>
      <c r="BR5" s="24" t="s">
        <v>30</v>
      </c>
      <c r="BS5" s="25" t="s">
        <v>6</v>
      </c>
      <c r="BT5" s="82"/>
      <c r="BU5" s="27" t="s">
        <v>31</v>
      </c>
      <c r="BV5" s="28">
        <v>38550</v>
      </c>
      <c r="BW5" s="28">
        <v>1910</v>
      </c>
      <c r="BX5" s="23">
        <v>20</v>
      </c>
      <c r="BY5" s="28" t="s">
        <v>10</v>
      </c>
      <c r="BZ5" s="29">
        <v>100</v>
      </c>
      <c r="CA5" s="24" t="s">
        <v>30</v>
      </c>
      <c r="CB5" s="25" t="s">
        <v>7</v>
      </c>
      <c r="CC5" s="86"/>
    </row>
    <row r="6" spans="1:81" customFormat="1" ht="14.25">
      <c r="A6" s="83" t="s">
        <v>16</v>
      </c>
      <c r="B6" s="84"/>
      <c r="C6" s="6" t="s">
        <v>17</v>
      </c>
      <c r="D6" s="6" t="s">
        <v>33</v>
      </c>
      <c r="E6" s="83" t="s">
        <v>34</v>
      </c>
      <c r="F6" s="85"/>
      <c r="G6" s="84"/>
      <c r="H6" s="26" t="s">
        <v>5</v>
      </c>
      <c r="I6" s="2"/>
      <c r="J6" s="83" t="s">
        <v>16</v>
      </c>
      <c r="K6" s="84"/>
      <c r="L6" s="18" t="s">
        <v>17</v>
      </c>
      <c r="M6" s="18" t="s">
        <v>33</v>
      </c>
      <c r="N6" s="83" t="s">
        <v>34</v>
      </c>
      <c r="O6" s="85"/>
      <c r="P6" s="84"/>
      <c r="Q6" s="26" t="s">
        <v>5</v>
      </c>
      <c r="R6" s="19"/>
      <c r="S6" s="83" t="s">
        <v>16</v>
      </c>
      <c r="T6" s="84"/>
      <c r="U6" s="18" t="s">
        <v>17</v>
      </c>
      <c r="V6" s="18" t="s">
        <v>33</v>
      </c>
      <c r="W6" s="83" t="s">
        <v>34</v>
      </c>
      <c r="X6" s="85"/>
      <c r="Y6" s="84"/>
      <c r="Z6" s="26" t="s">
        <v>5</v>
      </c>
      <c r="AA6" s="19"/>
      <c r="AB6" s="83" t="s">
        <v>16</v>
      </c>
      <c r="AC6" s="84"/>
      <c r="AD6" s="18" t="s">
        <v>17</v>
      </c>
      <c r="AE6" s="18" t="s">
        <v>33</v>
      </c>
      <c r="AF6" s="83" t="s">
        <v>34</v>
      </c>
      <c r="AG6" s="85"/>
      <c r="AH6" s="84"/>
      <c r="AI6" s="26" t="s">
        <v>5</v>
      </c>
      <c r="AJ6" s="19"/>
      <c r="AK6" s="83" t="s">
        <v>16</v>
      </c>
      <c r="AL6" s="84"/>
      <c r="AM6" s="18" t="s">
        <v>17</v>
      </c>
      <c r="AN6" s="18" t="s">
        <v>33</v>
      </c>
      <c r="AO6" s="83" t="s">
        <v>34</v>
      </c>
      <c r="AP6" s="85"/>
      <c r="AQ6" s="84"/>
      <c r="AR6" s="26" t="s">
        <v>5</v>
      </c>
      <c r="AS6" s="19"/>
      <c r="AT6" s="83" t="s">
        <v>16</v>
      </c>
      <c r="AU6" s="84"/>
      <c r="AV6" s="6" t="s">
        <v>17</v>
      </c>
      <c r="AW6" s="6" t="s">
        <v>33</v>
      </c>
      <c r="AX6" s="83" t="s">
        <v>34</v>
      </c>
      <c r="AY6" s="85"/>
      <c r="AZ6" s="84"/>
      <c r="BA6" s="26" t="s">
        <v>5</v>
      </c>
      <c r="BB6" s="2"/>
      <c r="BC6" s="83" t="s">
        <v>16</v>
      </c>
      <c r="BD6" s="84"/>
      <c r="BE6" s="18" t="s">
        <v>17</v>
      </c>
      <c r="BF6" s="18" t="s">
        <v>33</v>
      </c>
      <c r="BG6" s="83" t="s">
        <v>34</v>
      </c>
      <c r="BH6" s="85"/>
      <c r="BI6" s="84"/>
      <c r="BJ6" s="26" t="s">
        <v>5</v>
      </c>
      <c r="BK6" s="19"/>
      <c r="BL6" s="83" t="s">
        <v>16</v>
      </c>
      <c r="BM6" s="84"/>
      <c r="BN6" s="6" t="s">
        <v>17</v>
      </c>
      <c r="BO6" s="6" t="s">
        <v>33</v>
      </c>
      <c r="BP6" s="83" t="s">
        <v>34</v>
      </c>
      <c r="BQ6" s="85"/>
      <c r="BR6" s="84"/>
      <c r="BS6" s="26" t="s">
        <v>5</v>
      </c>
      <c r="BT6" s="2"/>
      <c r="BU6" s="83" t="s">
        <v>16</v>
      </c>
      <c r="BV6" s="84"/>
      <c r="BW6" s="18" t="s">
        <v>17</v>
      </c>
      <c r="BX6" s="18" t="s">
        <v>33</v>
      </c>
      <c r="BY6" s="83" t="s">
        <v>34</v>
      </c>
      <c r="BZ6" s="85"/>
      <c r="CA6" s="84"/>
      <c r="CB6" s="26" t="s">
        <v>5</v>
      </c>
      <c r="CC6" s="19"/>
    </row>
    <row r="7" spans="1:81" customFormat="1">
      <c r="A7" s="54">
        <f>((C5-INT((D5*5)/2)*0.18)-0.2)*2</f>
        <v>3760.2799999999997</v>
      </c>
      <c r="B7" s="54">
        <f>((C5-INT((D5*5)/2)*0.18)+0.2)*2</f>
        <v>3761.08</v>
      </c>
      <c r="C7" s="10" t="s">
        <v>9</v>
      </c>
      <c r="D7" s="10" t="s">
        <v>9</v>
      </c>
      <c r="E7" s="87" t="s">
        <v>35</v>
      </c>
      <c r="F7" s="88"/>
      <c r="G7" s="89"/>
      <c r="H7" s="75"/>
      <c r="I7" s="55" t="s">
        <v>36</v>
      </c>
      <c r="J7" s="54">
        <f>((L5-INT((M5*5)/2)*0.18)-0.2)*2</f>
        <v>3795.2799999999997</v>
      </c>
      <c r="K7" s="54">
        <f>((L5-INT((M5*5)/2)*0.18)+0.2)*2</f>
        <v>3796.08</v>
      </c>
      <c r="L7" s="10" t="s">
        <v>9</v>
      </c>
      <c r="M7" s="10" t="s">
        <v>9</v>
      </c>
      <c r="N7" s="87" t="s">
        <v>35</v>
      </c>
      <c r="O7" s="88"/>
      <c r="P7" s="89"/>
      <c r="Q7" s="75"/>
      <c r="R7" s="55" t="s">
        <v>36</v>
      </c>
      <c r="S7" s="54">
        <f>((U5+INT((V5*5)/2)*0.18)-0.2)*2</f>
        <v>3838.92</v>
      </c>
      <c r="T7" s="54">
        <f>((U5+INT((V5*5)/2)*0.18)+0.2)*2</f>
        <v>3839.7200000000003</v>
      </c>
      <c r="U7" s="10" t="s">
        <v>9</v>
      </c>
      <c r="V7" s="10" t="s">
        <v>9</v>
      </c>
      <c r="W7" s="87" t="s">
        <v>35</v>
      </c>
      <c r="X7" s="88"/>
      <c r="Y7" s="89"/>
      <c r="Z7" s="75"/>
      <c r="AA7" s="55" t="s">
        <v>36</v>
      </c>
      <c r="AB7" s="54">
        <f>(AD5-AE5/2)*2</f>
        <v>3760</v>
      </c>
      <c r="AC7" s="54">
        <f>(AD5+AE5/2)*2</f>
        <v>3770</v>
      </c>
      <c r="AD7" s="10" t="s">
        <v>9</v>
      </c>
      <c r="AE7" s="10" t="s">
        <v>9</v>
      </c>
      <c r="AF7" s="87" t="s">
        <v>35</v>
      </c>
      <c r="AG7" s="88"/>
      <c r="AH7" s="89"/>
      <c r="AI7" s="75"/>
      <c r="AJ7" s="55" t="s">
        <v>36</v>
      </c>
      <c r="AK7" s="54">
        <f>(AM5-AN5/2)*2</f>
        <v>3830</v>
      </c>
      <c r="AL7" s="54">
        <f>(AM5+AN5/2)*2</f>
        <v>3840</v>
      </c>
      <c r="AM7" s="10" t="s">
        <v>9</v>
      </c>
      <c r="AN7" s="10" t="s">
        <v>9</v>
      </c>
      <c r="AO7" s="87" t="s">
        <v>35</v>
      </c>
      <c r="AP7" s="88"/>
      <c r="AQ7" s="89"/>
      <c r="AR7" s="75"/>
      <c r="AS7" s="55" t="s">
        <v>36</v>
      </c>
      <c r="AT7" s="54">
        <f>((AV5-(INT((AW5*5)/2)-0.5)*0.18)-0.2)*2</f>
        <v>3761.7799999999997</v>
      </c>
      <c r="AU7" s="54">
        <f>((AV5-(INT((AW5*5)/2)-0.5)*0.18)+0.2)*2</f>
        <v>3762.58</v>
      </c>
      <c r="AV7" s="10" t="s">
        <v>9</v>
      </c>
      <c r="AW7" s="10" t="s">
        <v>9</v>
      </c>
      <c r="AX7" s="87" t="s">
        <v>35</v>
      </c>
      <c r="AY7" s="88"/>
      <c r="AZ7" s="89"/>
      <c r="BA7" s="75"/>
      <c r="BB7" s="55" t="s">
        <v>36</v>
      </c>
      <c r="BC7" s="54">
        <f>((BE5+(INT((BF5*5)/2)-0.5)*0.18)-0.2)*2</f>
        <v>3837.42</v>
      </c>
      <c r="BD7" s="54">
        <f>((BE5+(INT((BF5*5)/2)-0.5)*0.18)+0.2)*2</f>
        <v>3838.2200000000003</v>
      </c>
      <c r="BE7" s="10" t="s">
        <v>9</v>
      </c>
      <c r="BF7" s="10" t="s">
        <v>9</v>
      </c>
      <c r="BG7" s="87" t="s">
        <v>35</v>
      </c>
      <c r="BH7" s="88"/>
      <c r="BI7" s="89"/>
      <c r="BJ7" s="75"/>
      <c r="BK7" s="55" t="s">
        <v>36</v>
      </c>
      <c r="BL7" s="54">
        <f>(BN5-BO5/2)*2</f>
        <v>3760</v>
      </c>
      <c r="BM7" s="54">
        <f>(BN5+BO5/2)*2</f>
        <v>3800</v>
      </c>
      <c r="BN7" s="10" t="s">
        <v>9</v>
      </c>
      <c r="BO7" s="10" t="s">
        <v>9</v>
      </c>
      <c r="BP7" s="87" t="s">
        <v>35</v>
      </c>
      <c r="BQ7" s="88"/>
      <c r="BR7" s="89"/>
      <c r="BS7" s="75"/>
      <c r="BT7" s="55" t="s">
        <v>36</v>
      </c>
      <c r="BU7" s="54">
        <f>(BW5-BX5/2)*2</f>
        <v>3800</v>
      </c>
      <c r="BV7" s="54">
        <f>(BW5+BX5/2)*2</f>
        <v>3840</v>
      </c>
      <c r="BW7" s="10" t="s">
        <v>9</v>
      </c>
      <c r="BX7" s="10" t="s">
        <v>9</v>
      </c>
      <c r="BY7" s="87" t="s">
        <v>35</v>
      </c>
      <c r="BZ7" s="88"/>
      <c r="CA7" s="89"/>
      <c r="CB7" s="75"/>
      <c r="CC7" s="55" t="s">
        <v>36</v>
      </c>
    </row>
    <row r="8" spans="1:81" customFormat="1">
      <c r="A8" s="54">
        <f>((C5-INT((D5*5)/2)*0.18)-0.2)*3</f>
        <v>5640.42</v>
      </c>
      <c r="B8" s="54">
        <f>((C5-INT((D5*5)/2)*0.18)+0.2)*3</f>
        <v>5641.62</v>
      </c>
      <c r="C8" s="10" t="s">
        <v>9</v>
      </c>
      <c r="D8" s="10" t="s">
        <v>9</v>
      </c>
      <c r="E8" s="87" t="s">
        <v>35</v>
      </c>
      <c r="F8" s="88"/>
      <c r="G8" s="89"/>
      <c r="H8" s="75"/>
      <c r="I8" s="55" t="s">
        <v>37</v>
      </c>
      <c r="J8" s="54">
        <f>((L5-INT((M5*5)/2)*0.18)-0.2)*3</f>
        <v>5692.92</v>
      </c>
      <c r="K8" s="54">
        <f>((L5-INT((M5*5)/2)*0.18)+0.2)*3</f>
        <v>5694.12</v>
      </c>
      <c r="L8" s="10" t="s">
        <v>9</v>
      </c>
      <c r="M8" s="10" t="s">
        <v>9</v>
      </c>
      <c r="N8" s="87" t="s">
        <v>35</v>
      </c>
      <c r="O8" s="88"/>
      <c r="P8" s="89"/>
      <c r="Q8" s="75"/>
      <c r="R8" s="55" t="s">
        <v>37</v>
      </c>
      <c r="S8" s="54">
        <f>((U5+INT((V5*5)/2)*0.18)-0.2)*3</f>
        <v>5758.38</v>
      </c>
      <c r="T8" s="54">
        <f>((U5+INT((V5*5)/2)*0.18)+0.2)*3</f>
        <v>5759.58</v>
      </c>
      <c r="U8" s="10" t="s">
        <v>9</v>
      </c>
      <c r="V8" s="10" t="s">
        <v>9</v>
      </c>
      <c r="W8" s="87" t="s">
        <v>35</v>
      </c>
      <c r="X8" s="88"/>
      <c r="Y8" s="89"/>
      <c r="Z8" s="75"/>
      <c r="AA8" s="55" t="s">
        <v>37</v>
      </c>
      <c r="AB8" s="54">
        <f>(AD5-AE5/2)*3</f>
        <v>5640</v>
      </c>
      <c r="AC8" s="54">
        <f>(AD5+AE5/2)*3</f>
        <v>5655</v>
      </c>
      <c r="AD8" s="10" t="s">
        <v>9</v>
      </c>
      <c r="AE8" s="10" t="s">
        <v>9</v>
      </c>
      <c r="AF8" s="87" t="s">
        <v>35</v>
      </c>
      <c r="AG8" s="88"/>
      <c r="AH8" s="89"/>
      <c r="AI8" s="75"/>
      <c r="AJ8" s="55" t="s">
        <v>37</v>
      </c>
      <c r="AK8" s="54">
        <f>(AM5-AN5/2)*3</f>
        <v>5745</v>
      </c>
      <c r="AL8" s="54">
        <f>(AM5+AN5/2)*3</f>
        <v>5760</v>
      </c>
      <c r="AM8" s="10" t="s">
        <v>9</v>
      </c>
      <c r="AN8" s="10" t="s">
        <v>9</v>
      </c>
      <c r="AO8" s="87" t="s">
        <v>35</v>
      </c>
      <c r="AP8" s="88"/>
      <c r="AQ8" s="89"/>
      <c r="AR8" s="75"/>
      <c r="AS8" s="55" t="s">
        <v>37</v>
      </c>
      <c r="AT8" s="54">
        <f>((AV5-(INT((AW5*5)/2)-0.5)*0.18)-0.2)*3</f>
        <v>5642.67</v>
      </c>
      <c r="AU8" s="54">
        <f>((AV5-(INT((AW5*5)/2)-0.5)*0.18)+0.2)*3</f>
        <v>5643.87</v>
      </c>
      <c r="AV8" s="10" t="s">
        <v>9</v>
      </c>
      <c r="AW8" s="10" t="s">
        <v>9</v>
      </c>
      <c r="AX8" s="87" t="s">
        <v>35</v>
      </c>
      <c r="AY8" s="88"/>
      <c r="AZ8" s="89"/>
      <c r="BA8" s="75"/>
      <c r="BB8" s="55" t="s">
        <v>37</v>
      </c>
      <c r="BC8" s="54">
        <f>((BE5+(INT((BF5*5)/2)-0.5)*0.18)-0.2)*3</f>
        <v>5756.13</v>
      </c>
      <c r="BD8" s="54">
        <f>((BE5+(INT((BF5*5)/2)-0.5)*0.18)+0.2)*3</f>
        <v>5757.33</v>
      </c>
      <c r="BE8" s="10" t="s">
        <v>9</v>
      </c>
      <c r="BF8" s="10" t="s">
        <v>9</v>
      </c>
      <c r="BG8" s="87" t="s">
        <v>35</v>
      </c>
      <c r="BH8" s="88"/>
      <c r="BI8" s="89"/>
      <c r="BJ8" s="75"/>
      <c r="BK8" s="55" t="s">
        <v>37</v>
      </c>
      <c r="BL8" s="54">
        <f>(BN5-BO5/2)*3</f>
        <v>5640</v>
      </c>
      <c r="BM8" s="54">
        <f>(BN5+BO5/2)*3</f>
        <v>5700</v>
      </c>
      <c r="BN8" s="10" t="s">
        <v>9</v>
      </c>
      <c r="BO8" s="10" t="s">
        <v>9</v>
      </c>
      <c r="BP8" s="87" t="s">
        <v>35</v>
      </c>
      <c r="BQ8" s="88"/>
      <c r="BR8" s="89"/>
      <c r="BS8" s="75"/>
      <c r="BT8" s="55" t="s">
        <v>37</v>
      </c>
      <c r="BU8" s="54">
        <f>(BW5-BX5/2)*3</f>
        <v>5700</v>
      </c>
      <c r="BV8" s="54">
        <f>(BW5+BX5/2)*3</f>
        <v>5760</v>
      </c>
      <c r="BW8" s="10" t="s">
        <v>9</v>
      </c>
      <c r="BX8" s="10" t="s">
        <v>9</v>
      </c>
      <c r="BY8" s="87" t="s">
        <v>35</v>
      </c>
      <c r="BZ8" s="88"/>
      <c r="CA8" s="89"/>
      <c r="CB8" s="75"/>
      <c r="CC8" s="55" t="s">
        <v>37</v>
      </c>
    </row>
    <row r="9" spans="1:81" customFormat="1">
      <c r="A9" s="54">
        <f>((C5-INT((D5*5)/2)*0.18)-0.2)*4</f>
        <v>7520.5599999999995</v>
      </c>
      <c r="B9" s="54">
        <f>((C5-INT((D5*5)/2)*0.18)+0.2)*4</f>
        <v>7522.16</v>
      </c>
      <c r="C9" s="10" t="s">
        <v>9</v>
      </c>
      <c r="D9" s="10" t="s">
        <v>9</v>
      </c>
      <c r="E9" s="90" t="s">
        <v>35</v>
      </c>
      <c r="F9" s="90"/>
      <c r="G9" s="90"/>
      <c r="H9" s="75"/>
      <c r="I9" s="55" t="s">
        <v>38</v>
      </c>
      <c r="J9" s="54">
        <f>((L5-INT((M5*5)/2)*0.18)-0.2)*4</f>
        <v>7590.5599999999995</v>
      </c>
      <c r="K9" s="54">
        <f>((L5-INT((M5*5)/2)*0.18)+0.2)*4</f>
        <v>7592.16</v>
      </c>
      <c r="L9" s="10" t="s">
        <v>9</v>
      </c>
      <c r="M9" s="10" t="s">
        <v>9</v>
      </c>
      <c r="N9" s="87" t="s">
        <v>35</v>
      </c>
      <c r="O9" s="88"/>
      <c r="P9" s="89"/>
      <c r="Q9" s="75"/>
      <c r="R9" s="55" t="s">
        <v>38</v>
      </c>
      <c r="S9" s="54">
        <f>((U5+INT((V5*5)/2)*0.18)-0.2)*4</f>
        <v>7677.84</v>
      </c>
      <c r="T9" s="54">
        <f>((U5+INT((V5*5)/2)*0.18)+0.2)*4</f>
        <v>7679.4400000000005</v>
      </c>
      <c r="U9" s="10" t="s">
        <v>9</v>
      </c>
      <c r="V9" s="10" t="s">
        <v>9</v>
      </c>
      <c r="W9" s="90" t="s">
        <v>35</v>
      </c>
      <c r="X9" s="90"/>
      <c r="Y9" s="90"/>
      <c r="Z9" s="75"/>
      <c r="AA9" s="55" t="s">
        <v>38</v>
      </c>
      <c r="AB9" s="54">
        <f>(AD5-AE5/2)*4</f>
        <v>7520</v>
      </c>
      <c r="AC9" s="54">
        <f>(AD5+AE5/2)*4</f>
        <v>7540</v>
      </c>
      <c r="AD9" s="10" t="s">
        <v>9</v>
      </c>
      <c r="AE9" s="10" t="s">
        <v>9</v>
      </c>
      <c r="AF9" s="90" t="s">
        <v>35</v>
      </c>
      <c r="AG9" s="90"/>
      <c r="AH9" s="90"/>
      <c r="AI9" s="75"/>
      <c r="AJ9" s="55" t="s">
        <v>38</v>
      </c>
      <c r="AK9" s="54">
        <f>(AM5-AN5/2)*4</f>
        <v>7660</v>
      </c>
      <c r="AL9" s="54">
        <f>(AM5+AN5/2)*4</f>
        <v>7680</v>
      </c>
      <c r="AM9" s="10" t="s">
        <v>9</v>
      </c>
      <c r="AN9" s="10" t="s">
        <v>9</v>
      </c>
      <c r="AO9" s="90" t="s">
        <v>35</v>
      </c>
      <c r="AP9" s="90"/>
      <c r="AQ9" s="90"/>
      <c r="AR9" s="75"/>
      <c r="AS9" s="55" t="s">
        <v>38</v>
      </c>
      <c r="AT9" s="54">
        <f>((AV5-(INT((AW5*5)/2)-0.5)*0.18)-0.2)*4</f>
        <v>7523.5599999999995</v>
      </c>
      <c r="AU9" s="54">
        <f>((AV5-(INT((AW5*5)/2)-0.5)*0.18)+0.2)*4</f>
        <v>7525.16</v>
      </c>
      <c r="AV9" s="10" t="s">
        <v>9</v>
      </c>
      <c r="AW9" s="10" t="s">
        <v>9</v>
      </c>
      <c r="AX9" s="90" t="s">
        <v>35</v>
      </c>
      <c r="AY9" s="90"/>
      <c r="AZ9" s="90"/>
      <c r="BA9" s="75"/>
      <c r="BB9" s="55" t="s">
        <v>38</v>
      </c>
      <c r="BC9" s="54">
        <f>((BE5+(INT((BF5*5)/2)-0.5)*0.18)-0.2)*4</f>
        <v>7674.84</v>
      </c>
      <c r="BD9" s="54">
        <f>((BE5+(INT((BF5*5)/2)-0.5)*0.18)+0.2)*4</f>
        <v>7676.4400000000005</v>
      </c>
      <c r="BE9" s="10" t="s">
        <v>9</v>
      </c>
      <c r="BF9" s="10" t="s">
        <v>9</v>
      </c>
      <c r="BG9" s="90" t="s">
        <v>35</v>
      </c>
      <c r="BH9" s="90"/>
      <c r="BI9" s="90"/>
      <c r="BJ9" s="75"/>
      <c r="BK9" s="55" t="s">
        <v>38</v>
      </c>
      <c r="BL9" s="54">
        <f>(BN5-BO5/2)*4</f>
        <v>7520</v>
      </c>
      <c r="BM9" s="54">
        <f>(BN5+BO5/2)*4</f>
        <v>7600</v>
      </c>
      <c r="BN9" s="10" t="s">
        <v>9</v>
      </c>
      <c r="BO9" s="10" t="s">
        <v>9</v>
      </c>
      <c r="BP9" s="90" t="s">
        <v>35</v>
      </c>
      <c r="BQ9" s="90"/>
      <c r="BR9" s="90"/>
      <c r="BS9" s="75"/>
      <c r="BT9" s="55" t="s">
        <v>38</v>
      </c>
      <c r="BU9" s="54">
        <f>(BW5-BX5/2)*4</f>
        <v>7600</v>
      </c>
      <c r="BV9" s="54">
        <f>(BW5+BX5/2)*4</f>
        <v>7680</v>
      </c>
      <c r="BW9" s="10" t="s">
        <v>9</v>
      </c>
      <c r="BX9" s="10" t="s">
        <v>9</v>
      </c>
      <c r="BY9" s="90" t="s">
        <v>35</v>
      </c>
      <c r="BZ9" s="90"/>
      <c r="CA9" s="90"/>
      <c r="CB9" s="75"/>
      <c r="CC9" s="55" t="s">
        <v>38</v>
      </c>
    </row>
    <row r="10" spans="1:81" customFormat="1">
      <c r="A10" s="54">
        <f>((C5-INT((D5*5)/2)*0.18)-0.2)*5</f>
        <v>9400.6999999999989</v>
      </c>
      <c r="B10" s="54">
        <f>((C5-INT((D5*5)/2)*0.18)+0.2)*5</f>
        <v>9402.7000000000007</v>
      </c>
      <c r="C10" s="10" t="s">
        <v>9</v>
      </c>
      <c r="D10" s="10" t="s">
        <v>9</v>
      </c>
      <c r="E10" s="90" t="s">
        <v>35</v>
      </c>
      <c r="F10" s="90"/>
      <c r="G10" s="90"/>
      <c r="H10" s="75"/>
      <c r="I10" s="55" t="s">
        <v>51</v>
      </c>
      <c r="J10" s="54">
        <f>((L5-INT((M5*5)/2)*0.18)-0.2)*5</f>
        <v>9488.1999999999989</v>
      </c>
      <c r="K10" s="54">
        <f>((L5-INT((M5*5)/2)*0.18)+0.2)*5</f>
        <v>9490.2000000000007</v>
      </c>
      <c r="L10" s="10" t="s">
        <v>9</v>
      </c>
      <c r="M10" s="10" t="s">
        <v>9</v>
      </c>
      <c r="N10" s="87" t="s">
        <v>35</v>
      </c>
      <c r="O10" s="88"/>
      <c r="P10" s="89"/>
      <c r="Q10" s="75"/>
      <c r="R10" s="55" t="s">
        <v>40</v>
      </c>
      <c r="S10" s="54">
        <f>((U5+INT((V5*5)/2)*0.18)-0.2)*5</f>
        <v>9597.2999999999993</v>
      </c>
      <c r="T10" s="54">
        <f>((U5+INT((V5*5)/2)*0.18)+0.2)*5</f>
        <v>9599.3000000000011</v>
      </c>
      <c r="U10" s="10" t="s">
        <v>9</v>
      </c>
      <c r="V10" s="10" t="s">
        <v>9</v>
      </c>
      <c r="W10" s="90" t="s">
        <v>35</v>
      </c>
      <c r="X10" s="90"/>
      <c r="Y10" s="90"/>
      <c r="Z10" s="75"/>
      <c r="AA10" s="55" t="s">
        <v>40</v>
      </c>
      <c r="AB10" s="54">
        <f>(AD5-AE5/2)*5</f>
        <v>9400</v>
      </c>
      <c r="AC10" s="54">
        <f>(AD5+AE5/2)*5</f>
        <v>9425</v>
      </c>
      <c r="AD10" s="10" t="s">
        <v>9</v>
      </c>
      <c r="AE10" s="10" t="s">
        <v>9</v>
      </c>
      <c r="AF10" s="90" t="s">
        <v>35</v>
      </c>
      <c r="AG10" s="90"/>
      <c r="AH10" s="90"/>
      <c r="AI10" s="75"/>
      <c r="AJ10" s="55" t="s">
        <v>40</v>
      </c>
      <c r="AK10" s="54">
        <f>(AM5-AN5/2)*5</f>
        <v>9575</v>
      </c>
      <c r="AL10" s="54">
        <f>(AM5+AN5/2)*5</f>
        <v>9600</v>
      </c>
      <c r="AM10" s="10" t="s">
        <v>9</v>
      </c>
      <c r="AN10" s="10" t="s">
        <v>9</v>
      </c>
      <c r="AO10" s="90" t="s">
        <v>35</v>
      </c>
      <c r="AP10" s="90"/>
      <c r="AQ10" s="90"/>
      <c r="AR10" s="75"/>
      <c r="AS10" s="55" t="s">
        <v>40</v>
      </c>
      <c r="AT10" s="54">
        <f>((AV5-(INT((AW5*5)/2)-0.5)*0.18)-0.2)*5</f>
        <v>9404.4499999999989</v>
      </c>
      <c r="AU10" s="54">
        <f>((AV5-(INT((AW5*5)/2)-0.5)*0.18)+0.2)*5</f>
        <v>9406.4500000000007</v>
      </c>
      <c r="AV10" s="10" t="s">
        <v>9</v>
      </c>
      <c r="AW10" s="10" t="s">
        <v>9</v>
      </c>
      <c r="AX10" s="90" t="s">
        <v>35</v>
      </c>
      <c r="AY10" s="90"/>
      <c r="AZ10" s="90"/>
      <c r="BA10" s="75"/>
      <c r="BB10" s="55" t="s">
        <v>40</v>
      </c>
      <c r="BC10" s="54">
        <f>((BE5+(INT((BF5*5)/2)-0.5)*0.18)-0.2)*5</f>
        <v>9593.5499999999993</v>
      </c>
      <c r="BD10" s="54">
        <f>((BE5+(INT((BF5*5)/2)-0.5)*0.18)+0.2)*5</f>
        <v>9595.5500000000011</v>
      </c>
      <c r="BE10" s="10" t="s">
        <v>9</v>
      </c>
      <c r="BF10" s="10" t="s">
        <v>9</v>
      </c>
      <c r="BG10" s="90" t="s">
        <v>35</v>
      </c>
      <c r="BH10" s="90"/>
      <c r="BI10" s="90"/>
      <c r="BJ10" s="75"/>
      <c r="BK10" s="55" t="s">
        <v>40</v>
      </c>
      <c r="BL10" s="54">
        <f>(BN5-BO5/2)*5</f>
        <v>9400</v>
      </c>
      <c r="BM10" s="54">
        <f>(BN5+BO5/2)*5</f>
        <v>9500</v>
      </c>
      <c r="BN10" s="10" t="s">
        <v>9</v>
      </c>
      <c r="BO10" s="10" t="s">
        <v>9</v>
      </c>
      <c r="BP10" s="90" t="s">
        <v>35</v>
      </c>
      <c r="BQ10" s="90"/>
      <c r="BR10" s="90"/>
      <c r="BS10" s="75"/>
      <c r="BT10" s="55" t="s">
        <v>40</v>
      </c>
      <c r="BU10" s="54">
        <f>(BW5-BX5/2)*5</f>
        <v>9500</v>
      </c>
      <c r="BV10" s="54">
        <f>(BW5+BX5/2)*5</f>
        <v>9600</v>
      </c>
      <c r="BW10" s="10" t="s">
        <v>9</v>
      </c>
      <c r="BX10" s="10" t="s">
        <v>9</v>
      </c>
      <c r="BY10" s="90" t="s">
        <v>35</v>
      </c>
      <c r="BZ10" s="90"/>
      <c r="CA10" s="90"/>
      <c r="CB10" s="75"/>
      <c r="CC10" s="55" t="s">
        <v>40</v>
      </c>
    </row>
    <row r="11" spans="1:81" customFormat="1">
      <c r="A11" s="54">
        <f>((C5-INT((D5*5)/2)*0.18)-0.2)*6</f>
        <v>11280.84</v>
      </c>
      <c r="B11" s="54">
        <f>((C5-INT((D5*5)/2)*0.18)+0.2)*6</f>
        <v>11283.24</v>
      </c>
      <c r="C11" s="10" t="s">
        <v>9</v>
      </c>
      <c r="D11" s="10" t="s">
        <v>9</v>
      </c>
      <c r="E11" s="90" t="s">
        <v>35</v>
      </c>
      <c r="F11" s="90"/>
      <c r="G11" s="90"/>
      <c r="H11" s="75"/>
      <c r="I11" s="55" t="s">
        <v>52</v>
      </c>
      <c r="J11" s="54">
        <f>((L5-INT((M5*5)/2)*0.18)-0.2)*6</f>
        <v>11385.84</v>
      </c>
      <c r="K11" s="54">
        <f>((L5-INT((M5*5)/2)*0.18)+0.2)*6</f>
        <v>11388.24</v>
      </c>
      <c r="L11" s="10" t="s">
        <v>9</v>
      </c>
      <c r="M11" s="10" t="s">
        <v>9</v>
      </c>
      <c r="N11" s="87" t="s">
        <v>35</v>
      </c>
      <c r="O11" s="88"/>
      <c r="P11" s="89"/>
      <c r="Q11" s="75"/>
      <c r="R11" s="55" t="s">
        <v>41</v>
      </c>
      <c r="S11" s="54">
        <f>((U5+INT((V5*5)/2)*0.18)-0.2)*6</f>
        <v>11516.76</v>
      </c>
      <c r="T11" s="54">
        <f>((U5+INT((V5*5)/2)*0.18)+0.2)*6</f>
        <v>11519.16</v>
      </c>
      <c r="U11" s="10" t="s">
        <v>9</v>
      </c>
      <c r="V11" s="10" t="s">
        <v>9</v>
      </c>
      <c r="W11" s="90" t="s">
        <v>35</v>
      </c>
      <c r="X11" s="90"/>
      <c r="Y11" s="90"/>
      <c r="Z11" s="75"/>
      <c r="AA11" s="55" t="s">
        <v>41</v>
      </c>
      <c r="AB11" s="54">
        <f>(AD5-AE5/2)*6</f>
        <v>11280</v>
      </c>
      <c r="AC11" s="54">
        <f>(AD5+AE5/2)*6</f>
        <v>11310</v>
      </c>
      <c r="AD11" s="10" t="s">
        <v>9</v>
      </c>
      <c r="AE11" s="10" t="s">
        <v>9</v>
      </c>
      <c r="AF11" s="90" t="s">
        <v>35</v>
      </c>
      <c r="AG11" s="90"/>
      <c r="AH11" s="90"/>
      <c r="AI11" s="75"/>
      <c r="AJ11" s="55" t="s">
        <v>41</v>
      </c>
      <c r="AK11" s="54">
        <f>(AM5-AN5/2)*6</f>
        <v>11490</v>
      </c>
      <c r="AL11" s="54">
        <f>(AM5+AN5/2)*6</f>
        <v>11520</v>
      </c>
      <c r="AM11" s="10" t="s">
        <v>9</v>
      </c>
      <c r="AN11" s="10" t="s">
        <v>9</v>
      </c>
      <c r="AO11" s="90" t="s">
        <v>35</v>
      </c>
      <c r="AP11" s="90"/>
      <c r="AQ11" s="90"/>
      <c r="AR11" s="75"/>
      <c r="AS11" s="55" t="s">
        <v>41</v>
      </c>
      <c r="AT11" s="54">
        <f>((AV5-(INT((AW5*5)/2)-0.5)*0.18)-0.2)*6</f>
        <v>11285.34</v>
      </c>
      <c r="AU11" s="54">
        <f>((AV5-(INT((AW5*5)/2)-0.5)*0.18)+0.2)*6</f>
        <v>11287.74</v>
      </c>
      <c r="AV11" s="10" t="s">
        <v>9</v>
      </c>
      <c r="AW11" s="10" t="s">
        <v>9</v>
      </c>
      <c r="AX11" s="90" t="s">
        <v>35</v>
      </c>
      <c r="AY11" s="90"/>
      <c r="AZ11" s="90"/>
      <c r="BA11" s="75"/>
      <c r="BB11" s="55" t="s">
        <v>41</v>
      </c>
      <c r="BC11" s="54">
        <f>((BE5+(INT((BF5*5)/2)-0.5)*0.18)-0.2)*6</f>
        <v>11512.26</v>
      </c>
      <c r="BD11" s="54">
        <f>((BE5+(INT((BF5*5)/2)-0.5)*0.18)+0.2)*6</f>
        <v>11514.66</v>
      </c>
      <c r="BE11" s="10" t="s">
        <v>9</v>
      </c>
      <c r="BF11" s="10" t="s">
        <v>9</v>
      </c>
      <c r="BG11" s="90" t="s">
        <v>35</v>
      </c>
      <c r="BH11" s="90"/>
      <c r="BI11" s="90"/>
      <c r="BJ11" s="75"/>
      <c r="BK11" s="55" t="s">
        <v>41</v>
      </c>
      <c r="BL11" s="54">
        <f>(BN5-BO5/2)*6</f>
        <v>11280</v>
      </c>
      <c r="BM11" s="54">
        <f>(BN5+BO5/2)*6</f>
        <v>11400</v>
      </c>
      <c r="BN11" s="10" t="s">
        <v>9</v>
      </c>
      <c r="BO11" s="10" t="s">
        <v>9</v>
      </c>
      <c r="BP11" s="90" t="s">
        <v>35</v>
      </c>
      <c r="BQ11" s="90"/>
      <c r="BR11" s="90"/>
      <c r="BS11" s="75"/>
      <c r="BT11" s="55" t="s">
        <v>41</v>
      </c>
      <c r="BU11" s="54">
        <f>(BW5-BX5/2)*6</f>
        <v>11400</v>
      </c>
      <c r="BV11" s="54">
        <f>(BW5+BX5/2)*6</f>
        <v>11520</v>
      </c>
      <c r="BW11" s="10" t="s">
        <v>9</v>
      </c>
      <c r="BX11" s="10" t="s">
        <v>9</v>
      </c>
      <c r="BY11" s="90" t="s">
        <v>35</v>
      </c>
      <c r="BZ11" s="90"/>
      <c r="CA11" s="90"/>
      <c r="CB11" s="75"/>
      <c r="CC11" s="55" t="s">
        <v>41</v>
      </c>
    </row>
  </sheetData>
  <mergeCells count="76">
    <mergeCell ref="R4:R5"/>
    <mergeCell ref="B1:K1"/>
    <mergeCell ref="B2:J2"/>
    <mergeCell ref="B3:J3"/>
    <mergeCell ref="I4:I5"/>
    <mergeCell ref="L1:R1"/>
    <mergeCell ref="A6:B6"/>
    <mergeCell ref="E6:G6"/>
    <mergeCell ref="J6:K6"/>
    <mergeCell ref="E8:G8"/>
    <mergeCell ref="N8:P8"/>
    <mergeCell ref="N6:P6"/>
    <mergeCell ref="S6:T6"/>
    <mergeCell ref="W6:Y6"/>
    <mergeCell ref="E11:G11"/>
    <mergeCell ref="N11:P11"/>
    <mergeCell ref="W11:Y11"/>
    <mergeCell ref="W8:Y8"/>
    <mergeCell ref="E7:G7"/>
    <mergeCell ref="N7:P7"/>
    <mergeCell ref="W7:Y7"/>
    <mergeCell ref="E10:G10"/>
    <mergeCell ref="N10:P10"/>
    <mergeCell ref="W10:Y10"/>
    <mergeCell ref="E9:G9"/>
    <mergeCell ref="N9:P9"/>
    <mergeCell ref="W9:Y9"/>
    <mergeCell ref="AA4:AA5"/>
    <mergeCell ref="AF9:AH9"/>
    <mergeCell ref="AF10:AH10"/>
    <mergeCell ref="AF11:AH11"/>
    <mergeCell ref="AJ4:AJ5"/>
    <mergeCell ref="AB6:AC6"/>
    <mergeCell ref="AF6:AH6"/>
    <mergeCell ref="AF7:AH7"/>
    <mergeCell ref="AF8:AH8"/>
    <mergeCell ref="AS4:AS5"/>
    <mergeCell ref="BB4:BB5"/>
    <mergeCell ref="BK4:BK5"/>
    <mergeCell ref="BT4:BT5"/>
    <mergeCell ref="CC4:CC5"/>
    <mergeCell ref="AK6:AL6"/>
    <mergeCell ref="AO6:AQ6"/>
    <mergeCell ref="AT6:AU6"/>
    <mergeCell ref="AX6:AZ6"/>
    <mergeCell ref="BC6:BD6"/>
    <mergeCell ref="BG6:BI6"/>
    <mergeCell ref="BL6:BM6"/>
    <mergeCell ref="BP6:BR6"/>
    <mergeCell ref="BU6:BV6"/>
    <mergeCell ref="BY6:CA6"/>
    <mergeCell ref="AO7:AQ7"/>
    <mergeCell ref="AX7:AZ7"/>
    <mergeCell ref="BG7:BI7"/>
    <mergeCell ref="BP7:BR7"/>
    <mergeCell ref="BY7:CA7"/>
    <mergeCell ref="AO8:AQ8"/>
    <mergeCell ref="AX8:AZ8"/>
    <mergeCell ref="BG8:BI8"/>
    <mergeCell ref="BP8:BR8"/>
    <mergeCell ref="BY8:CA8"/>
    <mergeCell ref="AO9:AQ9"/>
    <mergeCell ref="AX9:AZ9"/>
    <mergeCell ref="BG9:BI9"/>
    <mergeCell ref="BP9:BR9"/>
    <mergeCell ref="BY9:CA9"/>
    <mergeCell ref="AO10:AQ10"/>
    <mergeCell ref="AX10:AZ10"/>
    <mergeCell ref="BG10:BI10"/>
    <mergeCell ref="BP10:BR10"/>
    <mergeCell ref="BY10:CA10"/>
    <mergeCell ref="AO11:AQ11"/>
    <mergeCell ref="AX11:AZ11"/>
    <mergeCell ref="BG11:BI11"/>
    <mergeCell ref="BP11:BR11"/>
    <mergeCell ref="BY11:CA11"/>
  </mergeCells>
  <phoneticPr fontId="1" type="noConversion"/>
  <conditionalFormatting sqref="Q7">
    <cfRule type="containsBlanks" priority="127" stopIfTrue="1">
      <formula>LEN(TRIM(Q7))=0</formula>
    </cfRule>
    <cfRule type="cellIs" dxfId="211" priority="128" stopIfTrue="1" operator="greaterThan">
      <formula>-30</formula>
    </cfRule>
    <cfRule type="cellIs" dxfId="210" priority="129" stopIfTrue="1" operator="between">
      <formula>-33</formula>
      <formula>-30</formula>
    </cfRule>
  </conditionalFormatting>
  <conditionalFormatting sqref="Q8">
    <cfRule type="containsBlanks" priority="124" stopIfTrue="1">
      <formula>LEN(TRIM(Q8))=0</formula>
    </cfRule>
    <cfRule type="cellIs" dxfId="209" priority="125" stopIfTrue="1" operator="greaterThan">
      <formula>-30</formula>
    </cfRule>
    <cfRule type="cellIs" dxfId="208" priority="126" stopIfTrue="1" operator="between">
      <formula>-33</formula>
      <formula>-30</formula>
    </cfRule>
  </conditionalFormatting>
  <conditionalFormatting sqref="Q9">
    <cfRule type="containsBlanks" priority="121" stopIfTrue="1">
      <formula>LEN(TRIM(Q9))=0</formula>
    </cfRule>
    <cfRule type="cellIs" dxfId="207" priority="122" stopIfTrue="1" operator="greaterThan">
      <formula>-30</formula>
    </cfRule>
    <cfRule type="cellIs" dxfId="206" priority="123" stopIfTrue="1" operator="between">
      <formula>-33</formula>
      <formula>-30</formula>
    </cfRule>
  </conditionalFormatting>
  <conditionalFormatting sqref="Z7">
    <cfRule type="containsBlanks" priority="118" stopIfTrue="1">
      <formula>LEN(TRIM(Z7))=0</formula>
    </cfRule>
    <cfRule type="cellIs" dxfId="205" priority="119" stopIfTrue="1" operator="greaterThan">
      <formula>-30</formula>
    </cfRule>
    <cfRule type="cellIs" dxfId="204" priority="120" stopIfTrue="1" operator="between">
      <formula>-33</formula>
      <formula>-30</formula>
    </cfRule>
  </conditionalFormatting>
  <conditionalFormatting sqref="Z8">
    <cfRule type="containsBlanks" priority="115" stopIfTrue="1">
      <formula>LEN(TRIM(Z8))=0</formula>
    </cfRule>
    <cfRule type="cellIs" dxfId="203" priority="116" stopIfTrue="1" operator="greaterThan">
      <formula>-30</formula>
    </cfRule>
    <cfRule type="cellIs" dxfId="202" priority="117" stopIfTrue="1" operator="between">
      <formula>-33</formula>
      <formula>-30</formula>
    </cfRule>
  </conditionalFormatting>
  <conditionalFormatting sqref="Z9">
    <cfRule type="containsBlanks" priority="112" stopIfTrue="1">
      <formula>LEN(TRIM(Z9))=0</formula>
    </cfRule>
    <cfRule type="cellIs" dxfId="201" priority="113" stopIfTrue="1" operator="greaterThan">
      <formula>-30</formula>
    </cfRule>
    <cfRule type="cellIs" dxfId="200" priority="114" stopIfTrue="1" operator="between">
      <formula>-33</formula>
      <formula>-30</formula>
    </cfRule>
  </conditionalFormatting>
  <conditionalFormatting sqref="AI7">
    <cfRule type="containsBlanks" priority="109" stopIfTrue="1">
      <formula>LEN(TRIM(AI7))=0</formula>
    </cfRule>
    <cfRule type="cellIs" dxfId="199" priority="110" stopIfTrue="1" operator="greaterThan">
      <formula>-30</formula>
    </cfRule>
    <cfRule type="cellIs" dxfId="198" priority="111" stopIfTrue="1" operator="between">
      <formula>-33</formula>
      <formula>-30</formula>
    </cfRule>
  </conditionalFormatting>
  <conditionalFormatting sqref="AI8">
    <cfRule type="containsBlanks" priority="106" stopIfTrue="1">
      <formula>LEN(TRIM(AI8))=0</formula>
    </cfRule>
    <cfRule type="cellIs" dxfId="197" priority="107" stopIfTrue="1" operator="greaterThan">
      <formula>-30</formula>
    </cfRule>
    <cfRule type="cellIs" dxfId="196" priority="108" stopIfTrue="1" operator="between">
      <formula>-33</formula>
      <formula>-30</formula>
    </cfRule>
  </conditionalFormatting>
  <conditionalFormatting sqref="AI9">
    <cfRule type="containsBlanks" priority="103" stopIfTrue="1">
      <formula>LEN(TRIM(AI9))=0</formula>
    </cfRule>
    <cfRule type="cellIs" dxfId="195" priority="104" stopIfTrue="1" operator="greaterThan">
      <formula>-30</formula>
    </cfRule>
    <cfRule type="cellIs" dxfId="194" priority="105" stopIfTrue="1" operator="between">
      <formula>-33</formula>
      <formula>-30</formula>
    </cfRule>
  </conditionalFormatting>
  <conditionalFormatting sqref="AR7">
    <cfRule type="containsBlanks" priority="100" stopIfTrue="1">
      <formula>LEN(TRIM(AR7))=0</formula>
    </cfRule>
    <cfRule type="cellIs" dxfId="193" priority="101" stopIfTrue="1" operator="greaterThan">
      <formula>-30</formula>
    </cfRule>
    <cfRule type="cellIs" dxfId="192" priority="102" stopIfTrue="1" operator="between">
      <formula>-33</formula>
      <formula>-30</formula>
    </cfRule>
  </conditionalFormatting>
  <conditionalFormatting sqref="AR8">
    <cfRule type="containsBlanks" priority="97" stopIfTrue="1">
      <formula>LEN(TRIM(AR8))=0</formula>
    </cfRule>
    <cfRule type="cellIs" dxfId="191" priority="98" stopIfTrue="1" operator="greaterThan">
      <formula>-30</formula>
    </cfRule>
    <cfRule type="cellIs" dxfId="190" priority="99" stopIfTrue="1" operator="between">
      <formula>-33</formula>
      <formula>-30</formula>
    </cfRule>
  </conditionalFormatting>
  <conditionalFormatting sqref="AR9">
    <cfRule type="containsBlanks" priority="94" stopIfTrue="1">
      <formula>LEN(TRIM(AR9))=0</formula>
    </cfRule>
    <cfRule type="cellIs" dxfId="189" priority="95" stopIfTrue="1" operator="greaterThan">
      <formula>-30</formula>
    </cfRule>
    <cfRule type="cellIs" dxfId="188" priority="96" stopIfTrue="1" operator="between">
      <formula>-33</formula>
      <formula>-30</formula>
    </cfRule>
  </conditionalFormatting>
  <conditionalFormatting sqref="BA7">
    <cfRule type="containsBlanks" priority="91" stopIfTrue="1">
      <formula>LEN(TRIM(BA7))=0</formula>
    </cfRule>
    <cfRule type="cellIs" dxfId="187" priority="92" stopIfTrue="1" operator="greaterThan">
      <formula>-30</formula>
    </cfRule>
    <cfRule type="cellIs" dxfId="186" priority="93" stopIfTrue="1" operator="between">
      <formula>-33</formula>
      <formula>-30</formula>
    </cfRule>
  </conditionalFormatting>
  <conditionalFormatting sqref="BA8">
    <cfRule type="containsBlanks" priority="88" stopIfTrue="1">
      <formula>LEN(TRIM(BA8))=0</formula>
    </cfRule>
    <cfRule type="cellIs" dxfId="185" priority="89" stopIfTrue="1" operator="greaterThan">
      <formula>-30</formula>
    </cfRule>
    <cfRule type="cellIs" dxfId="184" priority="90" stopIfTrue="1" operator="between">
      <formula>-33</formula>
      <formula>-30</formula>
    </cfRule>
  </conditionalFormatting>
  <conditionalFormatting sqref="BA9">
    <cfRule type="containsBlanks" priority="85" stopIfTrue="1">
      <formula>LEN(TRIM(BA9))=0</formula>
    </cfRule>
    <cfRule type="cellIs" dxfId="183" priority="86" stopIfTrue="1" operator="greaterThan">
      <formula>-30</formula>
    </cfRule>
    <cfRule type="cellIs" dxfId="182" priority="87" stopIfTrue="1" operator="between">
      <formula>-33</formula>
      <formula>-30</formula>
    </cfRule>
  </conditionalFormatting>
  <conditionalFormatting sqref="BJ7">
    <cfRule type="containsBlanks" priority="82" stopIfTrue="1">
      <formula>LEN(TRIM(BJ7))=0</formula>
    </cfRule>
    <cfRule type="cellIs" dxfId="181" priority="83" stopIfTrue="1" operator="greaterThan">
      <formula>-30</formula>
    </cfRule>
    <cfRule type="cellIs" dxfId="180" priority="84" stopIfTrue="1" operator="between">
      <formula>-33</formula>
      <formula>-30</formula>
    </cfRule>
  </conditionalFormatting>
  <conditionalFormatting sqref="BJ8">
    <cfRule type="containsBlanks" priority="79" stopIfTrue="1">
      <formula>LEN(TRIM(BJ8))=0</formula>
    </cfRule>
    <cfRule type="cellIs" dxfId="179" priority="80" stopIfTrue="1" operator="greaterThan">
      <formula>-30</formula>
    </cfRule>
    <cfRule type="cellIs" dxfId="178" priority="81" stopIfTrue="1" operator="between">
      <formula>-33</formula>
      <formula>-30</formula>
    </cfRule>
  </conditionalFormatting>
  <conditionalFormatting sqref="BJ9">
    <cfRule type="containsBlanks" priority="76" stopIfTrue="1">
      <formula>LEN(TRIM(BJ9))=0</formula>
    </cfRule>
    <cfRule type="cellIs" dxfId="177" priority="77" stopIfTrue="1" operator="greaterThan">
      <formula>-30</formula>
    </cfRule>
    <cfRule type="cellIs" dxfId="176" priority="78" stopIfTrue="1" operator="between">
      <formula>-33</formula>
      <formula>-30</formula>
    </cfRule>
  </conditionalFormatting>
  <conditionalFormatting sqref="BS7">
    <cfRule type="containsBlanks" priority="73" stopIfTrue="1">
      <formula>LEN(TRIM(BS7))=0</formula>
    </cfRule>
    <cfRule type="cellIs" dxfId="175" priority="74" stopIfTrue="1" operator="greaterThan">
      <formula>-30</formula>
    </cfRule>
    <cfRule type="cellIs" dxfId="174" priority="75" stopIfTrue="1" operator="between">
      <formula>-33</formula>
      <formula>-30</formula>
    </cfRule>
  </conditionalFormatting>
  <conditionalFormatting sqref="BS8">
    <cfRule type="containsBlanks" priority="70" stopIfTrue="1">
      <formula>LEN(TRIM(BS8))=0</formula>
    </cfRule>
    <cfRule type="cellIs" dxfId="173" priority="71" stopIfTrue="1" operator="greaterThan">
      <formula>-30</formula>
    </cfRule>
    <cfRule type="cellIs" dxfId="172" priority="72" stopIfTrue="1" operator="between">
      <formula>-33</formula>
      <formula>-30</formula>
    </cfRule>
  </conditionalFormatting>
  <conditionalFormatting sqref="BS9">
    <cfRule type="containsBlanks" priority="67" stopIfTrue="1">
      <formula>LEN(TRIM(BS9))=0</formula>
    </cfRule>
    <cfRule type="cellIs" dxfId="171" priority="68" stopIfTrue="1" operator="greaterThan">
      <formula>-30</formula>
    </cfRule>
    <cfRule type="cellIs" dxfId="170" priority="69" stopIfTrue="1" operator="between">
      <formula>-33</formula>
      <formula>-30</formula>
    </cfRule>
  </conditionalFormatting>
  <conditionalFormatting sqref="CB7">
    <cfRule type="containsBlanks" priority="64" stopIfTrue="1">
      <formula>LEN(TRIM(CB7))=0</formula>
    </cfRule>
    <cfRule type="cellIs" dxfId="169" priority="65" stopIfTrue="1" operator="greaterThan">
      <formula>-30</formula>
    </cfRule>
    <cfRule type="cellIs" dxfId="168" priority="66" stopIfTrue="1" operator="between">
      <formula>-33</formula>
      <formula>-30</formula>
    </cfRule>
  </conditionalFormatting>
  <conditionalFormatting sqref="CB8">
    <cfRule type="containsBlanks" priority="61" stopIfTrue="1">
      <formula>LEN(TRIM(CB8))=0</formula>
    </cfRule>
    <cfRule type="cellIs" dxfId="167" priority="62" stopIfTrue="1" operator="greaterThan">
      <formula>-30</formula>
    </cfRule>
    <cfRule type="cellIs" dxfId="166" priority="63" stopIfTrue="1" operator="between">
      <formula>-33</formula>
      <formula>-30</formula>
    </cfRule>
  </conditionalFormatting>
  <conditionalFormatting sqref="CB9">
    <cfRule type="containsBlanks" priority="58" stopIfTrue="1">
      <formula>LEN(TRIM(CB9))=0</formula>
    </cfRule>
    <cfRule type="cellIs" dxfId="165" priority="59" stopIfTrue="1" operator="greaterThan">
      <formula>-30</formula>
    </cfRule>
    <cfRule type="cellIs" dxfId="164" priority="60" stopIfTrue="1" operator="between">
      <formula>-33</formula>
      <formula>-30</formula>
    </cfRule>
  </conditionalFormatting>
  <conditionalFormatting sqref="H10">
    <cfRule type="containsBlanks" priority="55" stopIfTrue="1">
      <formula>LEN(TRIM(H10))=0</formula>
    </cfRule>
    <cfRule type="cellIs" dxfId="163" priority="56" stopIfTrue="1" operator="greaterThan">
      <formula>-30</formula>
    </cfRule>
    <cfRule type="cellIs" dxfId="162" priority="57" stopIfTrue="1" operator="between">
      <formula>-33</formula>
      <formula>-30</formula>
    </cfRule>
  </conditionalFormatting>
  <conditionalFormatting sqref="Q10">
    <cfRule type="containsBlanks" priority="52" stopIfTrue="1">
      <formula>LEN(TRIM(Q10))=0</formula>
    </cfRule>
    <cfRule type="cellIs" dxfId="161" priority="53" stopIfTrue="1" operator="greaterThan">
      <formula>-30</formula>
    </cfRule>
    <cfRule type="cellIs" dxfId="160" priority="54" stopIfTrue="1" operator="between">
      <formula>-33</formula>
      <formula>-30</formula>
    </cfRule>
  </conditionalFormatting>
  <conditionalFormatting sqref="Z10">
    <cfRule type="containsBlanks" priority="49" stopIfTrue="1">
      <formula>LEN(TRIM(Z10))=0</formula>
    </cfRule>
    <cfRule type="cellIs" dxfId="159" priority="50" stopIfTrue="1" operator="greaterThan">
      <formula>-30</formula>
    </cfRule>
    <cfRule type="cellIs" dxfId="158" priority="51" stopIfTrue="1" operator="between">
      <formula>-33</formula>
      <formula>-30</formula>
    </cfRule>
  </conditionalFormatting>
  <conditionalFormatting sqref="AI10">
    <cfRule type="containsBlanks" priority="46" stopIfTrue="1">
      <formula>LEN(TRIM(AI10))=0</formula>
    </cfRule>
    <cfRule type="cellIs" dxfId="157" priority="47" stopIfTrue="1" operator="greaterThan">
      <formula>-30</formula>
    </cfRule>
    <cfRule type="cellIs" dxfId="156" priority="48" stopIfTrue="1" operator="between">
      <formula>-33</formula>
      <formula>-30</formula>
    </cfRule>
  </conditionalFormatting>
  <conditionalFormatting sqref="AR10">
    <cfRule type="containsBlanks" priority="43" stopIfTrue="1">
      <formula>LEN(TRIM(AR10))=0</formula>
    </cfRule>
    <cfRule type="cellIs" dxfId="155" priority="44" stopIfTrue="1" operator="greaterThan">
      <formula>-30</formula>
    </cfRule>
    <cfRule type="cellIs" dxfId="154" priority="45" stopIfTrue="1" operator="between">
      <formula>-33</formula>
      <formula>-30</formula>
    </cfRule>
  </conditionalFormatting>
  <conditionalFormatting sqref="BA10">
    <cfRule type="containsBlanks" priority="40" stopIfTrue="1">
      <formula>LEN(TRIM(BA10))=0</formula>
    </cfRule>
    <cfRule type="cellIs" dxfId="153" priority="41" stopIfTrue="1" operator="greaterThan">
      <formula>-30</formula>
    </cfRule>
    <cfRule type="cellIs" dxfId="152" priority="42" stopIfTrue="1" operator="between">
      <formula>-33</formula>
      <formula>-30</formula>
    </cfRule>
  </conditionalFormatting>
  <conditionalFormatting sqref="BJ10">
    <cfRule type="containsBlanks" priority="37" stopIfTrue="1">
      <formula>LEN(TRIM(BJ10))=0</formula>
    </cfRule>
    <cfRule type="cellIs" dxfId="151" priority="38" stopIfTrue="1" operator="greaterThan">
      <formula>-30</formula>
    </cfRule>
    <cfRule type="cellIs" dxfId="150" priority="39" stopIfTrue="1" operator="between">
      <formula>-33</formula>
      <formula>-30</formula>
    </cfRule>
  </conditionalFormatting>
  <conditionalFormatting sqref="BS10">
    <cfRule type="containsBlanks" priority="34" stopIfTrue="1">
      <formula>LEN(TRIM(BS10))=0</formula>
    </cfRule>
    <cfRule type="cellIs" dxfId="149" priority="35" stopIfTrue="1" operator="greaterThan">
      <formula>-30</formula>
    </cfRule>
    <cfRule type="cellIs" dxfId="148" priority="36" stopIfTrue="1" operator="between">
      <formula>-33</formula>
      <formula>-30</formula>
    </cfRule>
  </conditionalFormatting>
  <conditionalFormatting sqref="CB10">
    <cfRule type="containsBlanks" priority="31" stopIfTrue="1">
      <formula>LEN(TRIM(CB10))=0</formula>
    </cfRule>
    <cfRule type="cellIs" dxfId="147" priority="32" stopIfTrue="1" operator="greaterThan">
      <formula>-30</formula>
    </cfRule>
    <cfRule type="cellIs" dxfId="146" priority="33" stopIfTrue="1" operator="between">
      <formula>-33</formula>
      <formula>-30</formula>
    </cfRule>
  </conditionalFormatting>
  <conditionalFormatting sqref="H11">
    <cfRule type="containsBlanks" priority="28" stopIfTrue="1">
      <formula>LEN(TRIM(H11))=0</formula>
    </cfRule>
    <cfRule type="cellIs" dxfId="145" priority="29" stopIfTrue="1" operator="greaterThan">
      <formula>-30</formula>
    </cfRule>
    <cfRule type="cellIs" dxfId="144" priority="30" stopIfTrue="1" operator="between">
      <formula>-33</formula>
      <formula>-30</formula>
    </cfRule>
  </conditionalFormatting>
  <conditionalFormatting sqref="Q11">
    <cfRule type="containsBlanks" priority="25" stopIfTrue="1">
      <formula>LEN(TRIM(Q11))=0</formula>
    </cfRule>
    <cfRule type="cellIs" dxfId="143" priority="26" stopIfTrue="1" operator="greaterThan">
      <formula>-30</formula>
    </cfRule>
    <cfRule type="cellIs" dxfId="142" priority="27" stopIfTrue="1" operator="between">
      <formula>-33</formula>
      <formula>-30</formula>
    </cfRule>
  </conditionalFormatting>
  <conditionalFormatting sqref="Z11">
    <cfRule type="containsBlanks" priority="22" stopIfTrue="1">
      <formula>LEN(TRIM(Z11))=0</formula>
    </cfRule>
    <cfRule type="cellIs" dxfId="141" priority="23" stopIfTrue="1" operator="greaterThan">
      <formula>-30</formula>
    </cfRule>
    <cfRule type="cellIs" dxfId="140" priority="24" stopIfTrue="1" operator="between">
      <formula>-33</formula>
      <formula>-30</formula>
    </cfRule>
  </conditionalFormatting>
  <conditionalFormatting sqref="AI11">
    <cfRule type="containsBlanks" priority="19" stopIfTrue="1">
      <formula>LEN(TRIM(AI11))=0</formula>
    </cfRule>
    <cfRule type="cellIs" dxfId="139" priority="20" stopIfTrue="1" operator="greaterThan">
      <formula>-30</formula>
    </cfRule>
    <cfRule type="cellIs" dxfId="138" priority="21" stopIfTrue="1" operator="between">
      <formula>-33</formula>
      <formula>-30</formula>
    </cfRule>
  </conditionalFormatting>
  <conditionalFormatting sqref="AR11">
    <cfRule type="containsBlanks" priority="16" stopIfTrue="1">
      <formula>LEN(TRIM(AR11))=0</formula>
    </cfRule>
    <cfRule type="cellIs" dxfId="137" priority="17" stopIfTrue="1" operator="greaterThan">
      <formula>-30</formula>
    </cfRule>
    <cfRule type="cellIs" dxfId="136" priority="18" stopIfTrue="1" operator="between">
      <formula>-33</formula>
      <formula>-30</formula>
    </cfRule>
  </conditionalFormatting>
  <conditionalFormatting sqref="BA11">
    <cfRule type="containsBlanks" priority="13" stopIfTrue="1">
      <formula>LEN(TRIM(BA11))=0</formula>
    </cfRule>
    <cfRule type="cellIs" dxfId="135" priority="14" stopIfTrue="1" operator="greaterThan">
      <formula>-30</formula>
    </cfRule>
    <cfRule type="cellIs" dxfId="134" priority="15" stopIfTrue="1" operator="between">
      <formula>-33</formula>
      <formula>-30</formula>
    </cfRule>
  </conditionalFormatting>
  <conditionalFormatting sqref="BJ11">
    <cfRule type="containsBlanks" priority="10" stopIfTrue="1">
      <formula>LEN(TRIM(BJ11))=0</formula>
    </cfRule>
    <cfRule type="cellIs" dxfId="133" priority="11" stopIfTrue="1" operator="greaterThan">
      <formula>-30</formula>
    </cfRule>
    <cfRule type="cellIs" dxfId="132" priority="12" stopIfTrue="1" operator="between">
      <formula>-33</formula>
      <formula>-30</formula>
    </cfRule>
  </conditionalFormatting>
  <conditionalFormatting sqref="BS11">
    <cfRule type="containsBlanks" priority="7" stopIfTrue="1">
      <formula>LEN(TRIM(BS11))=0</formula>
    </cfRule>
    <cfRule type="cellIs" dxfId="131" priority="8" stopIfTrue="1" operator="greaterThan">
      <formula>-30</formula>
    </cfRule>
    <cfRule type="cellIs" dxfId="130" priority="9" stopIfTrue="1" operator="between">
      <formula>-33</formula>
      <formula>-30</formula>
    </cfRule>
  </conditionalFormatting>
  <conditionalFormatting sqref="CB11">
    <cfRule type="containsBlanks" priority="4" stopIfTrue="1">
      <formula>LEN(TRIM(CB11))=0</formula>
    </cfRule>
    <cfRule type="cellIs" dxfId="129" priority="5" stopIfTrue="1" operator="greaterThan">
      <formula>-30</formula>
    </cfRule>
    <cfRule type="cellIs" dxfId="128" priority="6" stopIfTrue="1" operator="between">
      <formula>-33</formula>
      <formula>-30</formula>
    </cfRule>
  </conditionalFormatting>
  <conditionalFormatting sqref="H7:H9">
    <cfRule type="containsBlanks" priority="1" stopIfTrue="1">
      <formula>LEN(TRIM(H7))=0</formula>
    </cfRule>
    <cfRule type="cellIs" dxfId="127" priority="2" stopIfTrue="1" operator="greaterThan">
      <formula>-30</formula>
    </cfRule>
    <cfRule type="cellIs" dxfId="126" priority="3" stopIfTrue="1" operator="between">
      <formula>-33</formula>
      <formula>-30</formula>
    </cfRule>
  </conditionalFormatting>
  <dataValidations disablePrompts="1" count="1">
    <dataValidation type="list" allowBlank="1" showInputMessage="1" showErrorMessage="1" sqref="P5 G5 Y5 AH5">
      <formula1>"Low,Mid,High"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CC548"/>
  <sheetViews>
    <sheetView zoomScale="55" zoomScaleNormal="55" workbookViewId="0">
      <selection activeCell="G27" sqref="G27"/>
    </sheetView>
  </sheetViews>
  <sheetFormatPr defaultRowHeight="15"/>
  <cols>
    <col min="1" max="2" width="9" style="15"/>
    <col min="3" max="3" width="9.875" style="15" bestFit="1" customWidth="1"/>
    <col min="4" max="6" width="9" style="15" customWidth="1"/>
    <col min="7" max="8" width="9" style="15"/>
    <col min="9" max="9" width="7.625" style="15" bestFit="1" customWidth="1"/>
    <col min="10" max="10" width="7.75" style="15" bestFit="1" customWidth="1"/>
    <col min="11" max="11" width="8" style="15" bestFit="1" customWidth="1"/>
    <col min="12" max="12" width="9.875" style="15" bestFit="1" customWidth="1"/>
    <col min="13" max="17" width="9" style="15"/>
    <col min="18" max="18" width="7.625" style="15" bestFit="1" customWidth="1"/>
    <col min="19" max="19" width="7.75" style="15" bestFit="1" customWidth="1"/>
    <col min="20" max="20" width="8" style="15" bestFit="1" customWidth="1"/>
    <col min="21" max="21" width="9.875" style="15" bestFit="1" customWidth="1"/>
    <col min="22" max="22" width="9" style="15" customWidth="1"/>
    <col min="23" max="24" width="9" style="15"/>
    <col min="25" max="25" width="9" style="15" customWidth="1"/>
    <col min="26" max="26" width="9" style="15"/>
    <col min="27" max="27" width="7.625" style="15" bestFit="1" customWidth="1"/>
    <col min="28" max="80" width="9" style="15"/>
    <col min="81" max="81" width="9" style="15" customWidth="1"/>
    <col min="82" max="258" width="9" style="15"/>
    <col min="259" max="259" width="9.875" style="15" bestFit="1" customWidth="1"/>
    <col min="260" max="262" width="9" style="15" customWidth="1"/>
    <col min="263" max="264" width="9" style="15"/>
    <col min="265" max="265" width="7.625" style="15" bestFit="1" customWidth="1"/>
    <col min="266" max="266" width="7.75" style="15" bestFit="1" customWidth="1"/>
    <col min="267" max="267" width="8" style="15" bestFit="1" customWidth="1"/>
    <col min="268" max="268" width="9.875" style="15" bestFit="1" customWidth="1"/>
    <col min="269" max="273" width="9" style="15"/>
    <col min="274" max="274" width="7.625" style="15" bestFit="1" customWidth="1"/>
    <col min="275" max="275" width="7.75" style="15" bestFit="1" customWidth="1"/>
    <col min="276" max="276" width="8" style="15" bestFit="1" customWidth="1"/>
    <col min="277" max="277" width="9.875" style="15" bestFit="1" customWidth="1"/>
    <col min="278" max="278" width="9" style="15" customWidth="1"/>
    <col min="279" max="280" width="9" style="15"/>
    <col min="281" max="281" width="9" style="15" customWidth="1"/>
    <col min="282" max="282" width="9" style="15"/>
    <col min="283" max="283" width="7.625" style="15" bestFit="1" customWidth="1"/>
    <col min="284" max="336" width="9" style="15"/>
    <col min="337" max="337" width="9" style="15" customWidth="1"/>
    <col min="338" max="514" width="9" style="15"/>
    <col min="515" max="515" width="9.875" style="15" bestFit="1" customWidth="1"/>
    <col min="516" max="518" width="9" style="15" customWidth="1"/>
    <col min="519" max="520" width="9" style="15"/>
    <col min="521" max="521" width="7.625" style="15" bestFit="1" customWidth="1"/>
    <col min="522" max="522" width="7.75" style="15" bestFit="1" customWidth="1"/>
    <col min="523" max="523" width="8" style="15" bestFit="1" customWidth="1"/>
    <col min="524" max="524" width="9.875" style="15" bestFit="1" customWidth="1"/>
    <col min="525" max="529" width="9" style="15"/>
    <col min="530" max="530" width="7.625" style="15" bestFit="1" customWidth="1"/>
    <col min="531" max="531" width="7.75" style="15" bestFit="1" customWidth="1"/>
    <col min="532" max="532" width="8" style="15" bestFit="1" customWidth="1"/>
    <col min="533" max="533" width="9.875" style="15" bestFit="1" customWidth="1"/>
    <col min="534" max="534" width="9" style="15" customWidth="1"/>
    <col min="535" max="536" width="9" style="15"/>
    <col min="537" max="537" width="9" style="15" customWidth="1"/>
    <col min="538" max="538" width="9" style="15"/>
    <col min="539" max="539" width="7.625" style="15" bestFit="1" customWidth="1"/>
    <col min="540" max="592" width="9" style="15"/>
    <col min="593" max="593" width="9" style="15" customWidth="1"/>
    <col min="594" max="770" width="9" style="15"/>
    <col min="771" max="771" width="9.875" style="15" bestFit="1" customWidth="1"/>
    <col min="772" max="774" width="9" style="15" customWidth="1"/>
    <col min="775" max="776" width="9" style="15"/>
    <col min="777" max="777" width="7.625" style="15" bestFit="1" customWidth="1"/>
    <col min="778" max="778" width="7.75" style="15" bestFit="1" customWidth="1"/>
    <col min="779" max="779" width="8" style="15" bestFit="1" customWidth="1"/>
    <col min="780" max="780" width="9.875" style="15" bestFit="1" customWidth="1"/>
    <col min="781" max="785" width="9" style="15"/>
    <col min="786" max="786" width="7.625" style="15" bestFit="1" customWidth="1"/>
    <col min="787" max="787" width="7.75" style="15" bestFit="1" customWidth="1"/>
    <col min="788" max="788" width="8" style="15" bestFit="1" customWidth="1"/>
    <col min="789" max="789" width="9.875" style="15" bestFit="1" customWidth="1"/>
    <col min="790" max="790" width="9" style="15" customWidth="1"/>
    <col min="791" max="792" width="9" style="15"/>
    <col min="793" max="793" width="9" style="15" customWidth="1"/>
    <col min="794" max="794" width="9" style="15"/>
    <col min="795" max="795" width="7.625" style="15" bestFit="1" customWidth="1"/>
    <col min="796" max="848" width="9" style="15"/>
    <col min="849" max="849" width="9" style="15" customWidth="1"/>
    <col min="850" max="1026" width="9" style="15"/>
    <col min="1027" max="1027" width="9.875" style="15" bestFit="1" customWidth="1"/>
    <col min="1028" max="1030" width="9" style="15" customWidth="1"/>
    <col min="1031" max="1032" width="9" style="15"/>
    <col min="1033" max="1033" width="7.625" style="15" bestFit="1" customWidth="1"/>
    <col min="1034" max="1034" width="7.75" style="15" bestFit="1" customWidth="1"/>
    <col min="1035" max="1035" width="8" style="15" bestFit="1" customWidth="1"/>
    <col min="1036" max="1036" width="9.875" style="15" bestFit="1" customWidth="1"/>
    <col min="1037" max="1041" width="9" style="15"/>
    <col min="1042" max="1042" width="7.625" style="15" bestFit="1" customWidth="1"/>
    <col min="1043" max="1043" width="7.75" style="15" bestFit="1" customWidth="1"/>
    <col min="1044" max="1044" width="8" style="15" bestFit="1" customWidth="1"/>
    <col min="1045" max="1045" width="9.875" style="15" bestFit="1" customWidth="1"/>
    <col min="1046" max="1046" width="9" style="15" customWidth="1"/>
    <col min="1047" max="1048" width="9" style="15"/>
    <col min="1049" max="1049" width="9" style="15" customWidth="1"/>
    <col min="1050" max="1050" width="9" style="15"/>
    <col min="1051" max="1051" width="7.625" style="15" bestFit="1" customWidth="1"/>
    <col min="1052" max="1104" width="9" style="15"/>
    <col min="1105" max="1105" width="9" style="15" customWidth="1"/>
    <col min="1106" max="1282" width="9" style="15"/>
    <col min="1283" max="1283" width="9.875" style="15" bestFit="1" customWidth="1"/>
    <col min="1284" max="1286" width="9" style="15" customWidth="1"/>
    <col min="1287" max="1288" width="9" style="15"/>
    <col min="1289" max="1289" width="7.625" style="15" bestFit="1" customWidth="1"/>
    <col min="1290" max="1290" width="7.75" style="15" bestFit="1" customWidth="1"/>
    <col min="1291" max="1291" width="8" style="15" bestFit="1" customWidth="1"/>
    <col min="1292" max="1292" width="9.875" style="15" bestFit="1" customWidth="1"/>
    <col min="1293" max="1297" width="9" style="15"/>
    <col min="1298" max="1298" width="7.625" style="15" bestFit="1" customWidth="1"/>
    <col min="1299" max="1299" width="7.75" style="15" bestFit="1" customWidth="1"/>
    <col min="1300" max="1300" width="8" style="15" bestFit="1" customWidth="1"/>
    <col min="1301" max="1301" width="9.875" style="15" bestFit="1" customWidth="1"/>
    <col min="1302" max="1302" width="9" style="15" customWidth="1"/>
    <col min="1303" max="1304" width="9" style="15"/>
    <col min="1305" max="1305" width="9" style="15" customWidth="1"/>
    <col min="1306" max="1306" width="9" style="15"/>
    <col min="1307" max="1307" width="7.625" style="15" bestFit="1" customWidth="1"/>
    <col min="1308" max="1360" width="9" style="15"/>
    <col min="1361" max="1361" width="9" style="15" customWidth="1"/>
    <col min="1362" max="1538" width="9" style="15"/>
    <col min="1539" max="1539" width="9.875" style="15" bestFit="1" customWidth="1"/>
    <col min="1540" max="1542" width="9" style="15" customWidth="1"/>
    <col min="1543" max="1544" width="9" style="15"/>
    <col min="1545" max="1545" width="7.625" style="15" bestFit="1" customWidth="1"/>
    <col min="1546" max="1546" width="7.75" style="15" bestFit="1" customWidth="1"/>
    <col min="1547" max="1547" width="8" style="15" bestFit="1" customWidth="1"/>
    <col min="1548" max="1548" width="9.875" style="15" bestFit="1" customWidth="1"/>
    <col min="1549" max="1553" width="9" style="15"/>
    <col min="1554" max="1554" width="7.625" style="15" bestFit="1" customWidth="1"/>
    <col min="1555" max="1555" width="7.75" style="15" bestFit="1" customWidth="1"/>
    <col min="1556" max="1556" width="8" style="15" bestFit="1" customWidth="1"/>
    <col min="1557" max="1557" width="9.875" style="15" bestFit="1" customWidth="1"/>
    <col min="1558" max="1558" width="9" style="15" customWidth="1"/>
    <col min="1559" max="1560" width="9" style="15"/>
    <col min="1561" max="1561" width="9" style="15" customWidth="1"/>
    <col min="1562" max="1562" width="9" style="15"/>
    <col min="1563" max="1563" width="7.625" style="15" bestFit="1" customWidth="1"/>
    <col min="1564" max="1616" width="9" style="15"/>
    <col min="1617" max="1617" width="9" style="15" customWidth="1"/>
    <col min="1618" max="1794" width="9" style="15"/>
    <col min="1795" max="1795" width="9.875" style="15" bestFit="1" customWidth="1"/>
    <col min="1796" max="1798" width="9" style="15" customWidth="1"/>
    <col min="1799" max="1800" width="9" style="15"/>
    <col min="1801" max="1801" width="7.625" style="15" bestFit="1" customWidth="1"/>
    <col min="1802" max="1802" width="7.75" style="15" bestFit="1" customWidth="1"/>
    <col min="1803" max="1803" width="8" style="15" bestFit="1" customWidth="1"/>
    <col min="1804" max="1804" width="9.875" style="15" bestFit="1" customWidth="1"/>
    <col min="1805" max="1809" width="9" style="15"/>
    <col min="1810" max="1810" width="7.625" style="15" bestFit="1" customWidth="1"/>
    <col min="1811" max="1811" width="7.75" style="15" bestFit="1" customWidth="1"/>
    <col min="1812" max="1812" width="8" style="15" bestFit="1" customWidth="1"/>
    <col min="1813" max="1813" width="9.875" style="15" bestFit="1" customWidth="1"/>
    <col min="1814" max="1814" width="9" style="15" customWidth="1"/>
    <col min="1815" max="1816" width="9" style="15"/>
    <col min="1817" max="1817" width="9" style="15" customWidth="1"/>
    <col min="1818" max="1818" width="9" style="15"/>
    <col min="1819" max="1819" width="7.625" style="15" bestFit="1" customWidth="1"/>
    <col min="1820" max="1872" width="9" style="15"/>
    <col min="1873" max="1873" width="9" style="15" customWidth="1"/>
    <col min="1874" max="2050" width="9" style="15"/>
    <col min="2051" max="2051" width="9.875" style="15" bestFit="1" customWidth="1"/>
    <col min="2052" max="2054" width="9" style="15" customWidth="1"/>
    <col min="2055" max="2056" width="9" style="15"/>
    <col min="2057" max="2057" width="7.625" style="15" bestFit="1" customWidth="1"/>
    <col min="2058" max="2058" width="7.75" style="15" bestFit="1" customWidth="1"/>
    <col min="2059" max="2059" width="8" style="15" bestFit="1" customWidth="1"/>
    <col min="2060" max="2060" width="9.875" style="15" bestFit="1" customWidth="1"/>
    <col min="2061" max="2065" width="9" style="15"/>
    <col min="2066" max="2066" width="7.625" style="15" bestFit="1" customWidth="1"/>
    <col min="2067" max="2067" width="7.75" style="15" bestFit="1" customWidth="1"/>
    <col min="2068" max="2068" width="8" style="15" bestFit="1" customWidth="1"/>
    <col min="2069" max="2069" width="9.875" style="15" bestFit="1" customWidth="1"/>
    <col min="2070" max="2070" width="9" style="15" customWidth="1"/>
    <col min="2071" max="2072" width="9" style="15"/>
    <col min="2073" max="2073" width="9" style="15" customWidth="1"/>
    <col min="2074" max="2074" width="9" style="15"/>
    <col min="2075" max="2075" width="7.625" style="15" bestFit="1" customWidth="1"/>
    <col min="2076" max="2128" width="9" style="15"/>
    <col min="2129" max="2129" width="9" style="15" customWidth="1"/>
    <col min="2130" max="2306" width="9" style="15"/>
    <col min="2307" max="2307" width="9.875" style="15" bestFit="1" customWidth="1"/>
    <col min="2308" max="2310" width="9" style="15" customWidth="1"/>
    <col min="2311" max="2312" width="9" style="15"/>
    <col min="2313" max="2313" width="7.625" style="15" bestFit="1" customWidth="1"/>
    <col min="2314" max="2314" width="7.75" style="15" bestFit="1" customWidth="1"/>
    <col min="2315" max="2315" width="8" style="15" bestFit="1" customWidth="1"/>
    <col min="2316" max="2316" width="9.875" style="15" bestFit="1" customWidth="1"/>
    <col min="2317" max="2321" width="9" style="15"/>
    <col min="2322" max="2322" width="7.625" style="15" bestFit="1" customWidth="1"/>
    <col min="2323" max="2323" width="7.75" style="15" bestFit="1" customWidth="1"/>
    <col min="2324" max="2324" width="8" style="15" bestFit="1" customWidth="1"/>
    <col min="2325" max="2325" width="9.875" style="15" bestFit="1" customWidth="1"/>
    <col min="2326" max="2326" width="9" style="15" customWidth="1"/>
    <col min="2327" max="2328" width="9" style="15"/>
    <col min="2329" max="2329" width="9" style="15" customWidth="1"/>
    <col min="2330" max="2330" width="9" style="15"/>
    <col min="2331" max="2331" width="7.625" style="15" bestFit="1" customWidth="1"/>
    <col min="2332" max="2384" width="9" style="15"/>
    <col min="2385" max="2385" width="9" style="15" customWidth="1"/>
    <col min="2386" max="2562" width="9" style="15"/>
    <col min="2563" max="2563" width="9.875" style="15" bestFit="1" customWidth="1"/>
    <col min="2564" max="2566" width="9" style="15" customWidth="1"/>
    <col min="2567" max="2568" width="9" style="15"/>
    <col min="2569" max="2569" width="7.625" style="15" bestFit="1" customWidth="1"/>
    <col min="2570" max="2570" width="7.75" style="15" bestFit="1" customWidth="1"/>
    <col min="2571" max="2571" width="8" style="15" bestFit="1" customWidth="1"/>
    <col min="2572" max="2572" width="9.875" style="15" bestFit="1" customWidth="1"/>
    <col min="2573" max="2577" width="9" style="15"/>
    <col min="2578" max="2578" width="7.625" style="15" bestFit="1" customWidth="1"/>
    <col min="2579" max="2579" width="7.75" style="15" bestFit="1" customWidth="1"/>
    <col min="2580" max="2580" width="8" style="15" bestFit="1" customWidth="1"/>
    <col min="2581" max="2581" width="9.875" style="15" bestFit="1" customWidth="1"/>
    <col min="2582" max="2582" width="9" style="15" customWidth="1"/>
    <col min="2583" max="2584" width="9" style="15"/>
    <col min="2585" max="2585" width="9" style="15" customWidth="1"/>
    <col min="2586" max="2586" width="9" style="15"/>
    <col min="2587" max="2587" width="7.625" style="15" bestFit="1" customWidth="1"/>
    <col min="2588" max="2640" width="9" style="15"/>
    <col min="2641" max="2641" width="9" style="15" customWidth="1"/>
    <col min="2642" max="2818" width="9" style="15"/>
    <col min="2819" max="2819" width="9.875" style="15" bestFit="1" customWidth="1"/>
    <col min="2820" max="2822" width="9" style="15" customWidth="1"/>
    <col min="2823" max="2824" width="9" style="15"/>
    <col min="2825" max="2825" width="7.625" style="15" bestFit="1" customWidth="1"/>
    <col min="2826" max="2826" width="7.75" style="15" bestFit="1" customWidth="1"/>
    <col min="2827" max="2827" width="8" style="15" bestFit="1" customWidth="1"/>
    <col min="2828" max="2828" width="9.875" style="15" bestFit="1" customWidth="1"/>
    <col min="2829" max="2833" width="9" style="15"/>
    <col min="2834" max="2834" width="7.625" style="15" bestFit="1" customWidth="1"/>
    <col min="2835" max="2835" width="7.75" style="15" bestFit="1" customWidth="1"/>
    <col min="2836" max="2836" width="8" style="15" bestFit="1" customWidth="1"/>
    <col min="2837" max="2837" width="9.875" style="15" bestFit="1" customWidth="1"/>
    <col min="2838" max="2838" width="9" style="15" customWidth="1"/>
    <col min="2839" max="2840" width="9" style="15"/>
    <col min="2841" max="2841" width="9" style="15" customWidth="1"/>
    <col min="2842" max="2842" width="9" style="15"/>
    <col min="2843" max="2843" width="7.625" style="15" bestFit="1" customWidth="1"/>
    <col min="2844" max="2896" width="9" style="15"/>
    <col min="2897" max="2897" width="9" style="15" customWidth="1"/>
    <col min="2898" max="3074" width="9" style="15"/>
    <col min="3075" max="3075" width="9.875" style="15" bestFit="1" customWidth="1"/>
    <col min="3076" max="3078" width="9" style="15" customWidth="1"/>
    <col min="3079" max="3080" width="9" style="15"/>
    <col min="3081" max="3081" width="7.625" style="15" bestFit="1" customWidth="1"/>
    <col min="3082" max="3082" width="7.75" style="15" bestFit="1" customWidth="1"/>
    <col min="3083" max="3083" width="8" style="15" bestFit="1" customWidth="1"/>
    <col min="3084" max="3084" width="9.875" style="15" bestFit="1" customWidth="1"/>
    <col min="3085" max="3089" width="9" style="15"/>
    <col min="3090" max="3090" width="7.625" style="15" bestFit="1" customWidth="1"/>
    <col min="3091" max="3091" width="7.75" style="15" bestFit="1" customWidth="1"/>
    <col min="3092" max="3092" width="8" style="15" bestFit="1" customWidth="1"/>
    <col min="3093" max="3093" width="9.875" style="15" bestFit="1" customWidth="1"/>
    <col min="3094" max="3094" width="9" style="15" customWidth="1"/>
    <col min="3095" max="3096" width="9" style="15"/>
    <col min="3097" max="3097" width="9" style="15" customWidth="1"/>
    <col min="3098" max="3098" width="9" style="15"/>
    <col min="3099" max="3099" width="7.625" style="15" bestFit="1" customWidth="1"/>
    <col min="3100" max="3152" width="9" style="15"/>
    <col min="3153" max="3153" width="9" style="15" customWidth="1"/>
    <col min="3154" max="3330" width="9" style="15"/>
    <col min="3331" max="3331" width="9.875" style="15" bestFit="1" customWidth="1"/>
    <col min="3332" max="3334" width="9" style="15" customWidth="1"/>
    <col min="3335" max="3336" width="9" style="15"/>
    <col min="3337" max="3337" width="7.625" style="15" bestFit="1" customWidth="1"/>
    <col min="3338" max="3338" width="7.75" style="15" bestFit="1" customWidth="1"/>
    <col min="3339" max="3339" width="8" style="15" bestFit="1" customWidth="1"/>
    <col min="3340" max="3340" width="9.875" style="15" bestFit="1" customWidth="1"/>
    <col min="3341" max="3345" width="9" style="15"/>
    <col min="3346" max="3346" width="7.625" style="15" bestFit="1" customWidth="1"/>
    <col min="3347" max="3347" width="7.75" style="15" bestFit="1" customWidth="1"/>
    <col min="3348" max="3348" width="8" style="15" bestFit="1" customWidth="1"/>
    <col min="3349" max="3349" width="9.875" style="15" bestFit="1" customWidth="1"/>
    <col min="3350" max="3350" width="9" style="15" customWidth="1"/>
    <col min="3351" max="3352" width="9" style="15"/>
    <col min="3353" max="3353" width="9" style="15" customWidth="1"/>
    <col min="3354" max="3354" width="9" style="15"/>
    <col min="3355" max="3355" width="7.625" style="15" bestFit="1" customWidth="1"/>
    <col min="3356" max="3408" width="9" style="15"/>
    <col min="3409" max="3409" width="9" style="15" customWidth="1"/>
    <col min="3410" max="3586" width="9" style="15"/>
    <col min="3587" max="3587" width="9.875" style="15" bestFit="1" customWidth="1"/>
    <col min="3588" max="3590" width="9" style="15" customWidth="1"/>
    <col min="3591" max="3592" width="9" style="15"/>
    <col min="3593" max="3593" width="7.625" style="15" bestFit="1" customWidth="1"/>
    <col min="3594" max="3594" width="7.75" style="15" bestFit="1" customWidth="1"/>
    <col min="3595" max="3595" width="8" style="15" bestFit="1" customWidth="1"/>
    <col min="3596" max="3596" width="9.875" style="15" bestFit="1" customWidth="1"/>
    <col min="3597" max="3601" width="9" style="15"/>
    <col min="3602" max="3602" width="7.625" style="15" bestFit="1" customWidth="1"/>
    <col min="3603" max="3603" width="7.75" style="15" bestFit="1" customWidth="1"/>
    <col min="3604" max="3604" width="8" style="15" bestFit="1" customWidth="1"/>
    <col min="3605" max="3605" width="9.875" style="15" bestFit="1" customWidth="1"/>
    <col min="3606" max="3606" width="9" style="15" customWidth="1"/>
    <col min="3607" max="3608" width="9" style="15"/>
    <col min="3609" max="3609" width="9" style="15" customWidth="1"/>
    <col min="3610" max="3610" width="9" style="15"/>
    <col min="3611" max="3611" width="7.625" style="15" bestFit="1" customWidth="1"/>
    <col min="3612" max="3664" width="9" style="15"/>
    <col min="3665" max="3665" width="9" style="15" customWidth="1"/>
    <col min="3666" max="3842" width="9" style="15"/>
    <col min="3843" max="3843" width="9.875" style="15" bestFit="1" customWidth="1"/>
    <col min="3844" max="3846" width="9" style="15" customWidth="1"/>
    <col min="3847" max="3848" width="9" style="15"/>
    <col min="3849" max="3849" width="7.625" style="15" bestFit="1" customWidth="1"/>
    <col min="3850" max="3850" width="7.75" style="15" bestFit="1" customWidth="1"/>
    <col min="3851" max="3851" width="8" style="15" bestFit="1" customWidth="1"/>
    <col min="3852" max="3852" width="9.875" style="15" bestFit="1" customWidth="1"/>
    <col min="3853" max="3857" width="9" style="15"/>
    <col min="3858" max="3858" width="7.625" style="15" bestFit="1" customWidth="1"/>
    <col min="3859" max="3859" width="7.75" style="15" bestFit="1" customWidth="1"/>
    <col min="3860" max="3860" width="8" style="15" bestFit="1" customWidth="1"/>
    <col min="3861" max="3861" width="9.875" style="15" bestFit="1" customWidth="1"/>
    <col min="3862" max="3862" width="9" style="15" customWidth="1"/>
    <col min="3863" max="3864" width="9" style="15"/>
    <col min="3865" max="3865" width="9" style="15" customWidth="1"/>
    <col min="3866" max="3866" width="9" style="15"/>
    <col min="3867" max="3867" width="7.625" style="15" bestFit="1" customWidth="1"/>
    <col min="3868" max="3920" width="9" style="15"/>
    <col min="3921" max="3921" width="9" style="15" customWidth="1"/>
    <col min="3922" max="4098" width="9" style="15"/>
    <col min="4099" max="4099" width="9.875" style="15" bestFit="1" customWidth="1"/>
    <col min="4100" max="4102" width="9" style="15" customWidth="1"/>
    <col min="4103" max="4104" width="9" style="15"/>
    <col min="4105" max="4105" width="7.625" style="15" bestFit="1" customWidth="1"/>
    <col min="4106" max="4106" width="7.75" style="15" bestFit="1" customWidth="1"/>
    <col min="4107" max="4107" width="8" style="15" bestFit="1" customWidth="1"/>
    <col min="4108" max="4108" width="9.875" style="15" bestFit="1" customWidth="1"/>
    <col min="4109" max="4113" width="9" style="15"/>
    <col min="4114" max="4114" width="7.625" style="15" bestFit="1" customWidth="1"/>
    <col min="4115" max="4115" width="7.75" style="15" bestFit="1" customWidth="1"/>
    <col min="4116" max="4116" width="8" style="15" bestFit="1" customWidth="1"/>
    <col min="4117" max="4117" width="9.875" style="15" bestFit="1" customWidth="1"/>
    <col min="4118" max="4118" width="9" style="15" customWidth="1"/>
    <col min="4119" max="4120" width="9" style="15"/>
    <col min="4121" max="4121" width="9" style="15" customWidth="1"/>
    <col min="4122" max="4122" width="9" style="15"/>
    <col min="4123" max="4123" width="7.625" style="15" bestFit="1" customWidth="1"/>
    <col min="4124" max="4176" width="9" style="15"/>
    <col min="4177" max="4177" width="9" style="15" customWidth="1"/>
    <col min="4178" max="4354" width="9" style="15"/>
    <col min="4355" max="4355" width="9.875" style="15" bestFit="1" customWidth="1"/>
    <col min="4356" max="4358" width="9" style="15" customWidth="1"/>
    <col min="4359" max="4360" width="9" style="15"/>
    <col min="4361" max="4361" width="7.625" style="15" bestFit="1" customWidth="1"/>
    <col min="4362" max="4362" width="7.75" style="15" bestFit="1" customWidth="1"/>
    <col min="4363" max="4363" width="8" style="15" bestFit="1" customWidth="1"/>
    <col min="4364" max="4364" width="9.875" style="15" bestFit="1" customWidth="1"/>
    <col min="4365" max="4369" width="9" style="15"/>
    <col min="4370" max="4370" width="7.625" style="15" bestFit="1" customWidth="1"/>
    <col min="4371" max="4371" width="7.75" style="15" bestFit="1" customWidth="1"/>
    <col min="4372" max="4372" width="8" style="15" bestFit="1" customWidth="1"/>
    <col min="4373" max="4373" width="9.875" style="15" bestFit="1" customWidth="1"/>
    <col min="4374" max="4374" width="9" style="15" customWidth="1"/>
    <col min="4375" max="4376" width="9" style="15"/>
    <col min="4377" max="4377" width="9" style="15" customWidth="1"/>
    <col min="4378" max="4378" width="9" style="15"/>
    <col min="4379" max="4379" width="7.625" style="15" bestFit="1" customWidth="1"/>
    <col min="4380" max="4432" width="9" style="15"/>
    <col min="4433" max="4433" width="9" style="15" customWidth="1"/>
    <col min="4434" max="4610" width="9" style="15"/>
    <col min="4611" max="4611" width="9.875" style="15" bestFit="1" customWidth="1"/>
    <col min="4612" max="4614" width="9" style="15" customWidth="1"/>
    <col min="4615" max="4616" width="9" style="15"/>
    <col min="4617" max="4617" width="7.625" style="15" bestFit="1" customWidth="1"/>
    <col min="4618" max="4618" width="7.75" style="15" bestFit="1" customWidth="1"/>
    <col min="4619" max="4619" width="8" style="15" bestFit="1" customWidth="1"/>
    <col min="4620" max="4620" width="9.875" style="15" bestFit="1" customWidth="1"/>
    <col min="4621" max="4625" width="9" style="15"/>
    <col min="4626" max="4626" width="7.625" style="15" bestFit="1" customWidth="1"/>
    <col min="4627" max="4627" width="7.75" style="15" bestFit="1" customWidth="1"/>
    <col min="4628" max="4628" width="8" style="15" bestFit="1" customWidth="1"/>
    <col min="4629" max="4629" width="9.875" style="15" bestFit="1" customWidth="1"/>
    <col min="4630" max="4630" width="9" style="15" customWidth="1"/>
    <col min="4631" max="4632" width="9" style="15"/>
    <col min="4633" max="4633" width="9" style="15" customWidth="1"/>
    <col min="4634" max="4634" width="9" style="15"/>
    <col min="4635" max="4635" width="7.625" style="15" bestFit="1" customWidth="1"/>
    <col min="4636" max="4688" width="9" style="15"/>
    <col min="4689" max="4689" width="9" style="15" customWidth="1"/>
    <col min="4690" max="4866" width="9" style="15"/>
    <col min="4867" max="4867" width="9.875" style="15" bestFit="1" customWidth="1"/>
    <col min="4868" max="4870" width="9" style="15" customWidth="1"/>
    <col min="4871" max="4872" width="9" style="15"/>
    <col min="4873" max="4873" width="7.625" style="15" bestFit="1" customWidth="1"/>
    <col min="4874" max="4874" width="7.75" style="15" bestFit="1" customWidth="1"/>
    <col min="4875" max="4875" width="8" style="15" bestFit="1" customWidth="1"/>
    <col min="4876" max="4876" width="9.875" style="15" bestFit="1" customWidth="1"/>
    <col min="4877" max="4881" width="9" style="15"/>
    <col min="4882" max="4882" width="7.625" style="15" bestFit="1" customWidth="1"/>
    <col min="4883" max="4883" width="7.75" style="15" bestFit="1" customWidth="1"/>
    <col min="4884" max="4884" width="8" style="15" bestFit="1" customWidth="1"/>
    <col min="4885" max="4885" width="9.875" style="15" bestFit="1" customWidth="1"/>
    <col min="4886" max="4886" width="9" style="15" customWidth="1"/>
    <col min="4887" max="4888" width="9" style="15"/>
    <col min="4889" max="4889" width="9" style="15" customWidth="1"/>
    <col min="4890" max="4890" width="9" style="15"/>
    <col min="4891" max="4891" width="7.625" style="15" bestFit="1" customWidth="1"/>
    <col min="4892" max="4944" width="9" style="15"/>
    <col min="4945" max="4945" width="9" style="15" customWidth="1"/>
    <col min="4946" max="5122" width="9" style="15"/>
    <col min="5123" max="5123" width="9.875" style="15" bestFit="1" customWidth="1"/>
    <col min="5124" max="5126" width="9" style="15" customWidth="1"/>
    <col min="5127" max="5128" width="9" style="15"/>
    <col min="5129" max="5129" width="7.625" style="15" bestFit="1" customWidth="1"/>
    <col min="5130" max="5130" width="7.75" style="15" bestFit="1" customWidth="1"/>
    <col min="5131" max="5131" width="8" style="15" bestFit="1" customWidth="1"/>
    <col min="5132" max="5132" width="9.875" style="15" bestFit="1" customWidth="1"/>
    <col min="5133" max="5137" width="9" style="15"/>
    <col min="5138" max="5138" width="7.625" style="15" bestFit="1" customWidth="1"/>
    <col min="5139" max="5139" width="7.75" style="15" bestFit="1" customWidth="1"/>
    <col min="5140" max="5140" width="8" style="15" bestFit="1" customWidth="1"/>
    <col min="5141" max="5141" width="9.875" style="15" bestFit="1" customWidth="1"/>
    <col min="5142" max="5142" width="9" style="15" customWidth="1"/>
    <col min="5143" max="5144" width="9" style="15"/>
    <col min="5145" max="5145" width="9" style="15" customWidth="1"/>
    <col min="5146" max="5146" width="9" style="15"/>
    <col min="5147" max="5147" width="7.625" style="15" bestFit="1" customWidth="1"/>
    <col min="5148" max="5200" width="9" style="15"/>
    <col min="5201" max="5201" width="9" style="15" customWidth="1"/>
    <col min="5202" max="5378" width="9" style="15"/>
    <col min="5379" max="5379" width="9.875" style="15" bestFit="1" customWidth="1"/>
    <col min="5380" max="5382" width="9" style="15" customWidth="1"/>
    <col min="5383" max="5384" width="9" style="15"/>
    <col min="5385" max="5385" width="7.625" style="15" bestFit="1" customWidth="1"/>
    <col min="5386" max="5386" width="7.75" style="15" bestFit="1" customWidth="1"/>
    <col min="5387" max="5387" width="8" style="15" bestFit="1" customWidth="1"/>
    <col min="5388" max="5388" width="9.875" style="15" bestFit="1" customWidth="1"/>
    <col min="5389" max="5393" width="9" style="15"/>
    <col min="5394" max="5394" width="7.625" style="15" bestFit="1" customWidth="1"/>
    <col min="5395" max="5395" width="7.75" style="15" bestFit="1" customWidth="1"/>
    <col min="5396" max="5396" width="8" style="15" bestFit="1" customWidth="1"/>
    <col min="5397" max="5397" width="9.875" style="15" bestFit="1" customWidth="1"/>
    <col min="5398" max="5398" width="9" style="15" customWidth="1"/>
    <col min="5399" max="5400" width="9" style="15"/>
    <col min="5401" max="5401" width="9" style="15" customWidth="1"/>
    <col min="5402" max="5402" width="9" style="15"/>
    <col min="5403" max="5403" width="7.625" style="15" bestFit="1" customWidth="1"/>
    <col min="5404" max="5456" width="9" style="15"/>
    <col min="5457" max="5457" width="9" style="15" customWidth="1"/>
    <col min="5458" max="5634" width="9" style="15"/>
    <col min="5635" max="5635" width="9.875" style="15" bestFit="1" customWidth="1"/>
    <col min="5636" max="5638" width="9" style="15" customWidth="1"/>
    <col min="5639" max="5640" width="9" style="15"/>
    <col min="5641" max="5641" width="7.625" style="15" bestFit="1" customWidth="1"/>
    <col min="5642" max="5642" width="7.75" style="15" bestFit="1" customWidth="1"/>
    <col min="5643" max="5643" width="8" style="15" bestFit="1" customWidth="1"/>
    <col min="5644" max="5644" width="9.875" style="15" bestFit="1" customWidth="1"/>
    <col min="5645" max="5649" width="9" style="15"/>
    <col min="5650" max="5650" width="7.625" style="15" bestFit="1" customWidth="1"/>
    <col min="5651" max="5651" width="7.75" style="15" bestFit="1" customWidth="1"/>
    <col min="5652" max="5652" width="8" style="15" bestFit="1" customWidth="1"/>
    <col min="5653" max="5653" width="9.875" style="15" bestFit="1" customWidth="1"/>
    <col min="5654" max="5654" width="9" style="15" customWidth="1"/>
    <col min="5655" max="5656" width="9" style="15"/>
    <col min="5657" max="5657" width="9" style="15" customWidth="1"/>
    <col min="5658" max="5658" width="9" style="15"/>
    <col min="5659" max="5659" width="7.625" style="15" bestFit="1" customWidth="1"/>
    <col min="5660" max="5712" width="9" style="15"/>
    <col min="5713" max="5713" width="9" style="15" customWidth="1"/>
    <col min="5714" max="5890" width="9" style="15"/>
    <col min="5891" max="5891" width="9.875" style="15" bestFit="1" customWidth="1"/>
    <col min="5892" max="5894" width="9" style="15" customWidth="1"/>
    <col min="5895" max="5896" width="9" style="15"/>
    <col min="5897" max="5897" width="7.625" style="15" bestFit="1" customWidth="1"/>
    <col min="5898" max="5898" width="7.75" style="15" bestFit="1" customWidth="1"/>
    <col min="5899" max="5899" width="8" style="15" bestFit="1" customWidth="1"/>
    <col min="5900" max="5900" width="9.875" style="15" bestFit="1" customWidth="1"/>
    <col min="5901" max="5905" width="9" style="15"/>
    <col min="5906" max="5906" width="7.625" style="15" bestFit="1" customWidth="1"/>
    <col min="5907" max="5907" width="7.75" style="15" bestFit="1" customWidth="1"/>
    <col min="5908" max="5908" width="8" style="15" bestFit="1" customWidth="1"/>
    <col min="5909" max="5909" width="9.875" style="15" bestFit="1" customWidth="1"/>
    <col min="5910" max="5910" width="9" style="15" customWidth="1"/>
    <col min="5911" max="5912" width="9" style="15"/>
    <col min="5913" max="5913" width="9" style="15" customWidth="1"/>
    <col min="5914" max="5914" width="9" style="15"/>
    <col min="5915" max="5915" width="7.625" style="15" bestFit="1" customWidth="1"/>
    <col min="5916" max="5968" width="9" style="15"/>
    <col min="5969" max="5969" width="9" style="15" customWidth="1"/>
    <col min="5970" max="6146" width="9" style="15"/>
    <col min="6147" max="6147" width="9.875" style="15" bestFit="1" customWidth="1"/>
    <col min="6148" max="6150" width="9" style="15" customWidth="1"/>
    <col min="6151" max="6152" width="9" style="15"/>
    <col min="6153" max="6153" width="7.625" style="15" bestFit="1" customWidth="1"/>
    <col min="6154" max="6154" width="7.75" style="15" bestFit="1" customWidth="1"/>
    <col min="6155" max="6155" width="8" style="15" bestFit="1" customWidth="1"/>
    <col min="6156" max="6156" width="9.875" style="15" bestFit="1" customWidth="1"/>
    <col min="6157" max="6161" width="9" style="15"/>
    <col min="6162" max="6162" width="7.625" style="15" bestFit="1" customWidth="1"/>
    <col min="6163" max="6163" width="7.75" style="15" bestFit="1" customWidth="1"/>
    <col min="6164" max="6164" width="8" style="15" bestFit="1" customWidth="1"/>
    <col min="6165" max="6165" width="9.875" style="15" bestFit="1" customWidth="1"/>
    <col min="6166" max="6166" width="9" style="15" customWidth="1"/>
    <col min="6167" max="6168" width="9" style="15"/>
    <col min="6169" max="6169" width="9" style="15" customWidth="1"/>
    <col min="6170" max="6170" width="9" style="15"/>
    <col min="6171" max="6171" width="7.625" style="15" bestFit="1" customWidth="1"/>
    <col min="6172" max="6224" width="9" style="15"/>
    <col min="6225" max="6225" width="9" style="15" customWidth="1"/>
    <col min="6226" max="6402" width="9" style="15"/>
    <col min="6403" max="6403" width="9.875" style="15" bestFit="1" customWidth="1"/>
    <col min="6404" max="6406" width="9" style="15" customWidth="1"/>
    <col min="6407" max="6408" width="9" style="15"/>
    <col min="6409" max="6409" width="7.625" style="15" bestFit="1" customWidth="1"/>
    <col min="6410" max="6410" width="7.75" style="15" bestFit="1" customWidth="1"/>
    <col min="6411" max="6411" width="8" style="15" bestFit="1" customWidth="1"/>
    <col min="6412" max="6412" width="9.875" style="15" bestFit="1" customWidth="1"/>
    <col min="6413" max="6417" width="9" style="15"/>
    <col min="6418" max="6418" width="7.625" style="15" bestFit="1" customWidth="1"/>
    <col min="6419" max="6419" width="7.75" style="15" bestFit="1" customWidth="1"/>
    <col min="6420" max="6420" width="8" style="15" bestFit="1" customWidth="1"/>
    <col min="6421" max="6421" width="9.875" style="15" bestFit="1" customWidth="1"/>
    <col min="6422" max="6422" width="9" style="15" customWidth="1"/>
    <col min="6423" max="6424" width="9" style="15"/>
    <col min="6425" max="6425" width="9" style="15" customWidth="1"/>
    <col min="6426" max="6426" width="9" style="15"/>
    <col min="6427" max="6427" width="7.625" style="15" bestFit="1" customWidth="1"/>
    <col min="6428" max="6480" width="9" style="15"/>
    <col min="6481" max="6481" width="9" style="15" customWidth="1"/>
    <col min="6482" max="6658" width="9" style="15"/>
    <col min="6659" max="6659" width="9.875" style="15" bestFit="1" customWidth="1"/>
    <col min="6660" max="6662" width="9" style="15" customWidth="1"/>
    <col min="6663" max="6664" width="9" style="15"/>
    <col min="6665" max="6665" width="7.625" style="15" bestFit="1" customWidth="1"/>
    <col min="6666" max="6666" width="7.75" style="15" bestFit="1" customWidth="1"/>
    <col min="6667" max="6667" width="8" style="15" bestFit="1" customWidth="1"/>
    <col min="6668" max="6668" width="9.875" style="15" bestFit="1" customWidth="1"/>
    <col min="6669" max="6673" width="9" style="15"/>
    <col min="6674" max="6674" width="7.625" style="15" bestFit="1" customWidth="1"/>
    <col min="6675" max="6675" width="7.75" style="15" bestFit="1" customWidth="1"/>
    <col min="6676" max="6676" width="8" style="15" bestFit="1" customWidth="1"/>
    <col min="6677" max="6677" width="9.875" style="15" bestFit="1" customWidth="1"/>
    <col min="6678" max="6678" width="9" style="15" customWidth="1"/>
    <col min="6679" max="6680" width="9" style="15"/>
    <col min="6681" max="6681" width="9" style="15" customWidth="1"/>
    <col min="6682" max="6682" width="9" style="15"/>
    <col min="6683" max="6683" width="7.625" style="15" bestFit="1" customWidth="1"/>
    <col min="6684" max="6736" width="9" style="15"/>
    <col min="6737" max="6737" width="9" style="15" customWidth="1"/>
    <col min="6738" max="6914" width="9" style="15"/>
    <col min="6915" max="6915" width="9.875" style="15" bestFit="1" customWidth="1"/>
    <col min="6916" max="6918" width="9" style="15" customWidth="1"/>
    <col min="6919" max="6920" width="9" style="15"/>
    <col min="6921" max="6921" width="7.625" style="15" bestFit="1" customWidth="1"/>
    <col min="6922" max="6922" width="7.75" style="15" bestFit="1" customWidth="1"/>
    <col min="6923" max="6923" width="8" style="15" bestFit="1" customWidth="1"/>
    <col min="6924" max="6924" width="9.875" style="15" bestFit="1" customWidth="1"/>
    <col min="6925" max="6929" width="9" style="15"/>
    <col min="6930" max="6930" width="7.625" style="15" bestFit="1" customWidth="1"/>
    <col min="6931" max="6931" width="7.75" style="15" bestFit="1" customWidth="1"/>
    <col min="6932" max="6932" width="8" style="15" bestFit="1" customWidth="1"/>
    <col min="6933" max="6933" width="9.875" style="15" bestFit="1" customWidth="1"/>
    <col min="6934" max="6934" width="9" style="15" customWidth="1"/>
    <col min="6935" max="6936" width="9" style="15"/>
    <col min="6937" max="6937" width="9" style="15" customWidth="1"/>
    <col min="6938" max="6938" width="9" style="15"/>
    <col min="6939" max="6939" width="7.625" style="15" bestFit="1" customWidth="1"/>
    <col min="6940" max="6992" width="9" style="15"/>
    <col min="6993" max="6993" width="9" style="15" customWidth="1"/>
    <col min="6994" max="7170" width="9" style="15"/>
    <col min="7171" max="7171" width="9.875" style="15" bestFit="1" customWidth="1"/>
    <col min="7172" max="7174" width="9" style="15" customWidth="1"/>
    <col min="7175" max="7176" width="9" style="15"/>
    <col min="7177" max="7177" width="7.625" style="15" bestFit="1" customWidth="1"/>
    <col min="7178" max="7178" width="7.75" style="15" bestFit="1" customWidth="1"/>
    <col min="7179" max="7179" width="8" style="15" bestFit="1" customWidth="1"/>
    <col min="7180" max="7180" width="9.875" style="15" bestFit="1" customWidth="1"/>
    <col min="7181" max="7185" width="9" style="15"/>
    <col min="7186" max="7186" width="7.625" style="15" bestFit="1" customWidth="1"/>
    <col min="7187" max="7187" width="7.75" style="15" bestFit="1" customWidth="1"/>
    <col min="7188" max="7188" width="8" style="15" bestFit="1" customWidth="1"/>
    <col min="7189" max="7189" width="9.875" style="15" bestFit="1" customWidth="1"/>
    <col min="7190" max="7190" width="9" style="15" customWidth="1"/>
    <col min="7191" max="7192" width="9" style="15"/>
    <col min="7193" max="7193" width="9" style="15" customWidth="1"/>
    <col min="7194" max="7194" width="9" style="15"/>
    <col min="7195" max="7195" width="7.625" style="15" bestFit="1" customWidth="1"/>
    <col min="7196" max="7248" width="9" style="15"/>
    <col min="7249" max="7249" width="9" style="15" customWidth="1"/>
    <col min="7250" max="7426" width="9" style="15"/>
    <col min="7427" max="7427" width="9.875" style="15" bestFit="1" customWidth="1"/>
    <col min="7428" max="7430" width="9" style="15" customWidth="1"/>
    <col min="7431" max="7432" width="9" style="15"/>
    <col min="7433" max="7433" width="7.625" style="15" bestFit="1" customWidth="1"/>
    <col min="7434" max="7434" width="7.75" style="15" bestFit="1" customWidth="1"/>
    <col min="7435" max="7435" width="8" style="15" bestFit="1" customWidth="1"/>
    <col min="7436" max="7436" width="9.875" style="15" bestFit="1" customWidth="1"/>
    <col min="7437" max="7441" width="9" style="15"/>
    <col min="7442" max="7442" width="7.625" style="15" bestFit="1" customWidth="1"/>
    <col min="7443" max="7443" width="7.75" style="15" bestFit="1" customWidth="1"/>
    <col min="7444" max="7444" width="8" style="15" bestFit="1" customWidth="1"/>
    <col min="7445" max="7445" width="9.875" style="15" bestFit="1" customWidth="1"/>
    <col min="7446" max="7446" width="9" style="15" customWidth="1"/>
    <col min="7447" max="7448" width="9" style="15"/>
    <col min="7449" max="7449" width="9" style="15" customWidth="1"/>
    <col min="7450" max="7450" width="9" style="15"/>
    <col min="7451" max="7451" width="7.625" style="15" bestFit="1" customWidth="1"/>
    <col min="7452" max="7504" width="9" style="15"/>
    <col min="7505" max="7505" width="9" style="15" customWidth="1"/>
    <col min="7506" max="7682" width="9" style="15"/>
    <col min="7683" max="7683" width="9.875" style="15" bestFit="1" customWidth="1"/>
    <col min="7684" max="7686" width="9" style="15" customWidth="1"/>
    <col min="7687" max="7688" width="9" style="15"/>
    <col min="7689" max="7689" width="7.625" style="15" bestFit="1" customWidth="1"/>
    <col min="7690" max="7690" width="7.75" style="15" bestFit="1" customWidth="1"/>
    <col min="7691" max="7691" width="8" style="15" bestFit="1" customWidth="1"/>
    <col min="7692" max="7692" width="9.875" style="15" bestFit="1" customWidth="1"/>
    <col min="7693" max="7697" width="9" style="15"/>
    <col min="7698" max="7698" width="7.625" style="15" bestFit="1" customWidth="1"/>
    <col min="7699" max="7699" width="7.75" style="15" bestFit="1" customWidth="1"/>
    <col min="7700" max="7700" width="8" style="15" bestFit="1" customWidth="1"/>
    <col min="7701" max="7701" width="9.875" style="15" bestFit="1" customWidth="1"/>
    <col min="7702" max="7702" width="9" style="15" customWidth="1"/>
    <col min="7703" max="7704" width="9" style="15"/>
    <col min="7705" max="7705" width="9" style="15" customWidth="1"/>
    <col min="7706" max="7706" width="9" style="15"/>
    <col min="7707" max="7707" width="7.625" style="15" bestFit="1" customWidth="1"/>
    <col min="7708" max="7760" width="9" style="15"/>
    <col min="7761" max="7761" width="9" style="15" customWidth="1"/>
    <col min="7762" max="7938" width="9" style="15"/>
    <col min="7939" max="7939" width="9.875" style="15" bestFit="1" customWidth="1"/>
    <col min="7940" max="7942" width="9" style="15" customWidth="1"/>
    <col min="7943" max="7944" width="9" style="15"/>
    <col min="7945" max="7945" width="7.625" style="15" bestFit="1" customWidth="1"/>
    <col min="7946" max="7946" width="7.75" style="15" bestFit="1" customWidth="1"/>
    <col min="7947" max="7947" width="8" style="15" bestFit="1" customWidth="1"/>
    <col min="7948" max="7948" width="9.875" style="15" bestFit="1" customWidth="1"/>
    <col min="7949" max="7953" width="9" style="15"/>
    <col min="7954" max="7954" width="7.625" style="15" bestFit="1" customWidth="1"/>
    <col min="7955" max="7955" width="7.75" style="15" bestFit="1" customWidth="1"/>
    <col min="7956" max="7956" width="8" style="15" bestFit="1" customWidth="1"/>
    <col min="7957" max="7957" width="9.875" style="15" bestFit="1" customWidth="1"/>
    <col min="7958" max="7958" width="9" style="15" customWidth="1"/>
    <col min="7959" max="7960" width="9" style="15"/>
    <col min="7961" max="7961" width="9" style="15" customWidth="1"/>
    <col min="7962" max="7962" width="9" style="15"/>
    <col min="7963" max="7963" width="7.625" style="15" bestFit="1" customWidth="1"/>
    <col min="7964" max="8016" width="9" style="15"/>
    <col min="8017" max="8017" width="9" style="15" customWidth="1"/>
    <col min="8018" max="8194" width="9" style="15"/>
    <col min="8195" max="8195" width="9.875" style="15" bestFit="1" customWidth="1"/>
    <col min="8196" max="8198" width="9" style="15" customWidth="1"/>
    <col min="8199" max="8200" width="9" style="15"/>
    <col min="8201" max="8201" width="7.625" style="15" bestFit="1" customWidth="1"/>
    <col min="8202" max="8202" width="7.75" style="15" bestFit="1" customWidth="1"/>
    <col min="8203" max="8203" width="8" style="15" bestFit="1" customWidth="1"/>
    <col min="8204" max="8204" width="9.875" style="15" bestFit="1" customWidth="1"/>
    <col min="8205" max="8209" width="9" style="15"/>
    <col min="8210" max="8210" width="7.625" style="15" bestFit="1" customWidth="1"/>
    <col min="8211" max="8211" width="7.75" style="15" bestFit="1" customWidth="1"/>
    <col min="8212" max="8212" width="8" style="15" bestFit="1" customWidth="1"/>
    <col min="8213" max="8213" width="9.875" style="15" bestFit="1" customWidth="1"/>
    <col min="8214" max="8214" width="9" style="15" customWidth="1"/>
    <col min="8215" max="8216" width="9" style="15"/>
    <col min="8217" max="8217" width="9" style="15" customWidth="1"/>
    <col min="8218" max="8218" width="9" style="15"/>
    <col min="8219" max="8219" width="7.625" style="15" bestFit="1" customWidth="1"/>
    <col min="8220" max="8272" width="9" style="15"/>
    <col min="8273" max="8273" width="9" style="15" customWidth="1"/>
    <col min="8274" max="8450" width="9" style="15"/>
    <col min="8451" max="8451" width="9.875" style="15" bestFit="1" customWidth="1"/>
    <col min="8452" max="8454" width="9" style="15" customWidth="1"/>
    <col min="8455" max="8456" width="9" style="15"/>
    <col min="8457" max="8457" width="7.625" style="15" bestFit="1" customWidth="1"/>
    <col min="8458" max="8458" width="7.75" style="15" bestFit="1" customWidth="1"/>
    <col min="8459" max="8459" width="8" style="15" bestFit="1" customWidth="1"/>
    <col min="8460" max="8460" width="9.875" style="15" bestFit="1" customWidth="1"/>
    <col min="8461" max="8465" width="9" style="15"/>
    <col min="8466" max="8466" width="7.625" style="15" bestFit="1" customWidth="1"/>
    <col min="8467" max="8467" width="7.75" style="15" bestFit="1" customWidth="1"/>
    <col min="8468" max="8468" width="8" style="15" bestFit="1" customWidth="1"/>
    <col min="8469" max="8469" width="9.875" style="15" bestFit="1" customWidth="1"/>
    <col min="8470" max="8470" width="9" style="15" customWidth="1"/>
    <col min="8471" max="8472" width="9" style="15"/>
    <col min="8473" max="8473" width="9" style="15" customWidth="1"/>
    <col min="8474" max="8474" width="9" style="15"/>
    <col min="8475" max="8475" width="7.625" style="15" bestFit="1" customWidth="1"/>
    <col min="8476" max="8528" width="9" style="15"/>
    <col min="8529" max="8529" width="9" style="15" customWidth="1"/>
    <col min="8530" max="8706" width="9" style="15"/>
    <col min="8707" max="8707" width="9.875" style="15" bestFit="1" customWidth="1"/>
    <col min="8708" max="8710" width="9" style="15" customWidth="1"/>
    <col min="8711" max="8712" width="9" style="15"/>
    <col min="8713" max="8713" width="7.625" style="15" bestFit="1" customWidth="1"/>
    <col min="8714" max="8714" width="7.75" style="15" bestFit="1" customWidth="1"/>
    <col min="8715" max="8715" width="8" style="15" bestFit="1" customWidth="1"/>
    <col min="8716" max="8716" width="9.875" style="15" bestFit="1" customWidth="1"/>
    <col min="8717" max="8721" width="9" style="15"/>
    <col min="8722" max="8722" width="7.625" style="15" bestFit="1" customWidth="1"/>
    <col min="8723" max="8723" width="7.75" style="15" bestFit="1" customWidth="1"/>
    <col min="8724" max="8724" width="8" style="15" bestFit="1" customWidth="1"/>
    <col min="8725" max="8725" width="9.875" style="15" bestFit="1" customWidth="1"/>
    <col min="8726" max="8726" width="9" style="15" customWidth="1"/>
    <col min="8727" max="8728" width="9" style="15"/>
    <col min="8729" max="8729" width="9" style="15" customWidth="1"/>
    <col min="8730" max="8730" width="9" style="15"/>
    <col min="8731" max="8731" width="7.625" style="15" bestFit="1" customWidth="1"/>
    <col min="8732" max="8784" width="9" style="15"/>
    <col min="8785" max="8785" width="9" style="15" customWidth="1"/>
    <col min="8786" max="8962" width="9" style="15"/>
    <col min="8963" max="8963" width="9.875" style="15" bestFit="1" customWidth="1"/>
    <col min="8964" max="8966" width="9" style="15" customWidth="1"/>
    <col min="8967" max="8968" width="9" style="15"/>
    <col min="8969" max="8969" width="7.625" style="15" bestFit="1" customWidth="1"/>
    <col min="8970" max="8970" width="7.75" style="15" bestFit="1" customWidth="1"/>
    <col min="8971" max="8971" width="8" style="15" bestFit="1" customWidth="1"/>
    <col min="8972" max="8972" width="9.875" style="15" bestFit="1" customWidth="1"/>
    <col min="8973" max="8977" width="9" style="15"/>
    <col min="8978" max="8978" width="7.625" style="15" bestFit="1" customWidth="1"/>
    <col min="8979" max="8979" width="7.75" style="15" bestFit="1" customWidth="1"/>
    <col min="8980" max="8980" width="8" style="15" bestFit="1" customWidth="1"/>
    <col min="8981" max="8981" width="9.875" style="15" bestFit="1" customWidth="1"/>
    <col min="8982" max="8982" width="9" style="15" customWidth="1"/>
    <col min="8983" max="8984" width="9" style="15"/>
    <col min="8985" max="8985" width="9" style="15" customWidth="1"/>
    <col min="8986" max="8986" width="9" style="15"/>
    <col min="8987" max="8987" width="7.625" style="15" bestFit="1" customWidth="1"/>
    <col min="8988" max="9040" width="9" style="15"/>
    <col min="9041" max="9041" width="9" style="15" customWidth="1"/>
    <col min="9042" max="9218" width="9" style="15"/>
    <col min="9219" max="9219" width="9.875" style="15" bestFit="1" customWidth="1"/>
    <col min="9220" max="9222" width="9" style="15" customWidth="1"/>
    <col min="9223" max="9224" width="9" style="15"/>
    <col min="9225" max="9225" width="7.625" style="15" bestFit="1" customWidth="1"/>
    <col min="9226" max="9226" width="7.75" style="15" bestFit="1" customWidth="1"/>
    <col min="9227" max="9227" width="8" style="15" bestFit="1" customWidth="1"/>
    <col min="9228" max="9228" width="9.875" style="15" bestFit="1" customWidth="1"/>
    <col min="9229" max="9233" width="9" style="15"/>
    <col min="9234" max="9234" width="7.625" style="15" bestFit="1" customWidth="1"/>
    <col min="9235" max="9235" width="7.75" style="15" bestFit="1" customWidth="1"/>
    <col min="9236" max="9236" width="8" style="15" bestFit="1" customWidth="1"/>
    <col min="9237" max="9237" width="9.875" style="15" bestFit="1" customWidth="1"/>
    <col min="9238" max="9238" width="9" style="15" customWidth="1"/>
    <col min="9239" max="9240" width="9" style="15"/>
    <col min="9241" max="9241" width="9" style="15" customWidth="1"/>
    <col min="9242" max="9242" width="9" style="15"/>
    <col min="9243" max="9243" width="7.625" style="15" bestFit="1" customWidth="1"/>
    <col min="9244" max="9296" width="9" style="15"/>
    <col min="9297" max="9297" width="9" style="15" customWidth="1"/>
    <col min="9298" max="9474" width="9" style="15"/>
    <col min="9475" max="9475" width="9.875" style="15" bestFit="1" customWidth="1"/>
    <col min="9476" max="9478" width="9" style="15" customWidth="1"/>
    <col min="9479" max="9480" width="9" style="15"/>
    <col min="9481" max="9481" width="7.625" style="15" bestFit="1" customWidth="1"/>
    <col min="9482" max="9482" width="7.75" style="15" bestFit="1" customWidth="1"/>
    <col min="9483" max="9483" width="8" style="15" bestFit="1" customWidth="1"/>
    <col min="9484" max="9484" width="9.875" style="15" bestFit="1" customWidth="1"/>
    <col min="9485" max="9489" width="9" style="15"/>
    <col min="9490" max="9490" width="7.625" style="15" bestFit="1" customWidth="1"/>
    <col min="9491" max="9491" width="7.75" style="15" bestFit="1" customWidth="1"/>
    <col min="9492" max="9492" width="8" style="15" bestFit="1" customWidth="1"/>
    <col min="9493" max="9493" width="9.875" style="15" bestFit="1" customWidth="1"/>
    <col min="9494" max="9494" width="9" style="15" customWidth="1"/>
    <col min="9495" max="9496" width="9" style="15"/>
    <col min="9497" max="9497" width="9" style="15" customWidth="1"/>
    <col min="9498" max="9498" width="9" style="15"/>
    <col min="9499" max="9499" width="7.625" style="15" bestFit="1" customWidth="1"/>
    <col min="9500" max="9552" width="9" style="15"/>
    <col min="9553" max="9553" width="9" style="15" customWidth="1"/>
    <col min="9554" max="9730" width="9" style="15"/>
    <col min="9731" max="9731" width="9.875" style="15" bestFit="1" customWidth="1"/>
    <col min="9732" max="9734" width="9" style="15" customWidth="1"/>
    <col min="9735" max="9736" width="9" style="15"/>
    <col min="9737" max="9737" width="7.625" style="15" bestFit="1" customWidth="1"/>
    <col min="9738" max="9738" width="7.75" style="15" bestFit="1" customWidth="1"/>
    <col min="9739" max="9739" width="8" style="15" bestFit="1" customWidth="1"/>
    <col min="9740" max="9740" width="9.875" style="15" bestFit="1" customWidth="1"/>
    <col min="9741" max="9745" width="9" style="15"/>
    <col min="9746" max="9746" width="7.625" style="15" bestFit="1" customWidth="1"/>
    <col min="9747" max="9747" width="7.75" style="15" bestFit="1" customWidth="1"/>
    <col min="9748" max="9748" width="8" style="15" bestFit="1" customWidth="1"/>
    <col min="9749" max="9749" width="9.875" style="15" bestFit="1" customWidth="1"/>
    <col min="9750" max="9750" width="9" style="15" customWidth="1"/>
    <col min="9751" max="9752" width="9" style="15"/>
    <col min="9753" max="9753" width="9" style="15" customWidth="1"/>
    <col min="9754" max="9754" width="9" style="15"/>
    <col min="9755" max="9755" width="7.625" style="15" bestFit="1" customWidth="1"/>
    <col min="9756" max="9808" width="9" style="15"/>
    <col min="9809" max="9809" width="9" style="15" customWidth="1"/>
    <col min="9810" max="9986" width="9" style="15"/>
    <col min="9987" max="9987" width="9.875" style="15" bestFit="1" customWidth="1"/>
    <col min="9988" max="9990" width="9" style="15" customWidth="1"/>
    <col min="9991" max="9992" width="9" style="15"/>
    <col min="9993" max="9993" width="7.625" style="15" bestFit="1" customWidth="1"/>
    <col min="9994" max="9994" width="7.75" style="15" bestFit="1" customWidth="1"/>
    <col min="9995" max="9995" width="8" style="15" bestFit="1" customWidth="1"/>
    <col min="9996" max="9996" width="9.875" style="15" bestFit="1" customWidth="1"/>
    <col min="9997" max="10001" width="9" style="15"/>
    <col min="10002" max="10002" width="7.625" style="15" bestFit="1" customWidth="1"/>
    <col min="10003" max="10003" width="7.75" style="15" bestFit="1" customWidth="1"/>
    <col min="10004" max="10004" width="8" style="15" bestFit="1" customWidth="1"/>
    <col min="10005" max="10005" width="9.875" style="15" bestFit="1" customWidth="1"/>
    <col min="10006" max="10006" width="9" style="15" customWidth="1"/>
    <col min="10007" max="10008" width="9" style="15"/>
    <col min="10009" max="10009" width="9" style="15" customWidth="1"/>
    <col min="10010" max="10010" width="9" style="15"/>
    <col min="10011" max="10011" width="7.625" style="15" bestFit="1" customWidth="1"/>
    <col min="10012" max="10064" width="9" style="15"/>
    <col min="10065" max="10065" width="9" style="15" customWidth="1"/>
    <col min="10066" max="10242" width="9" style="15"/>
    <col min="10243" max="10243" width="9.875" style="15" bestFit="1" customWidth="1"/>
    <col min="10244" max="10246" width="9" style="15" customWidth="1"/>
    <col min="10247" max="10248" width="9" style="15"/>
    <col min="10249" max="10249" width="7.625" style="15" bestFit="1" customWidth="1"/>
    <col min="10250" max="10250" width="7.75" style="15" bestFit="1" customWidth="1"/>
    <col min="10251" max="10251" width="8" style="15" bestFit="1" customWidth="1"/>
    <col min="10252" max="10252" width="9.875" style="15" bestFit="1" customWidth="1"/>
    <col min="10253" max="10257" width="9" style="15"/>
    <col min="10258" max="10258" width="7.625" style="15" bestFit="1" customWidth="1"/>
    <col min="10259" max="10259" width="7.75" style="15" bestFit="1" customWidth="1"/>
    <col min="10260" max="10260" width="8" style="15" bestFit="1" customWidth="1"/>
    <col min="10261" max="10261" width="9.875" style="15" bestFit="1" customWidth="1"/>
    <col min="10262" max="10262" width="9" style="15" customWidth="1"/>
    <col min="10263" max="10264" width="9" style="15"/>
    <col min="10265" max="10265" width="9" style="15" customWidth="1"/>
    <col min="10266" max="10266" width="9" style="15"/>
    <col min="10267" max="10267" width="7.625" style="15" bestFit="1" customWidth="1"/>
    <col min="10268" max="10320" width="9" style="15"/>
    <col min="10321" max="10321" width="9" style="15" customWidth="1"/>
    <col min="10322" max="10498" width="9" style="15"/>
    <col min="10499" max="10499" width="9.875" style="15" bestFit="1" customWidth="1"/>
    <col min="10500" max="10502" width="9" style="15" customWidth="1"/>
    <col min="10503" max="10504" width="9" style="15"/>
    <col min="10505" max="10505" width="7.625" style="15" bestFit="1" customWidth="1"/>
    <col min="10506" max="10506" width="7.75" style="15" bestFit="1" customWidth="1"/>
    <col min="10507" max="10507" width="8" style="15" bestFit="1" customWidth="1"/>
    <col min="10508" max="10508" width="9.875" style="15" bestFit="1" customWidth="1"/>
    <col min="10509" max="10513" width="9" style="15"/>
    <col min="10514" max="10514" width="7.625" style="15" bestFit="1" customWidth="1"/>
    <col min="10515" max="10515" width="7.75" style="15" bestFit="1" customWidth="1"/>
    <col min="10516" max="10516" width="8" style="15" bestFit="1" customWidth="1"/>
    <col min="10517" max="10517" width="9.875" style="15" bestFit="1" customWidth="1"/>
    <col min="10518" max="10518" width="9" style="15" customWidth="1"/>
    <col min="10519" max="10520" width="9" style="15"/>
    <col min="10521" max="10521" width="9" style="15" customWidth="1"/>
    <col min="10522" max="10522" width="9" style="15"/>
    <col min="10523" max="10523" width="7.625" style="15" bestFit="1" customWidth="1"/>
    <col min="10524" max="10576" width="9" style="15"/>
    <col min="10577" max="10577" width="9" style="15" customWidth="1"/>
    <col min="10578" max="10754" width="9" style="15"/>
    <col min="10755" max="10755" width="9.875" style="15" bestFit="1" customWidth="1"/>
    <col min="10756" max="10758" width="9" style="15" customWidth="1"/>
    <col min="10759" max="10760" width="9" style="15"/>
    <col min="10761" max="10761" width="7.625" style="15" bestFit="1" customWidth="1"/>
    <col min="10762" max="10762" width="7.75" style="15" bestFit="1" customWidth="1"/>
    <col min="10763" max="10763" width="8" style="15" bestFit="1" customWidth="1"/>
    <col min="10764" max="10764" width="9.875" style="15" bestFit="1" customWidth="1"/>
    <col min="10765" max="10769" width="9" style="15"/>
    <col min="10770" max="10770" width="7.625" style="15" bestFit="1" customWidth="1"/>
    <col min="10771" max="10771" width="7.75" style="15" bestFit="1" customWidth="1"/>
    <col min="10772" max="10772" width="8" style="15" bestFit="1" customWidth="1"/>
    <col min="10773" max="10773" width="9.875" style="15" bestFit="1" customWidth="1"/>
    <col min="10774" max="10774" width="9" style="15" customWidth="1"/>
    <col min="10775" max="10776" width="9" style="15"/>
    <col min="10777" max="10777" width="9" style="15" customWidth="1"/>
    <col min="10778" max="10778" width="9" style="15"/>
    <col min="10779" max="10779" width="7.625" style="15" bestFit="1" customWidth="1"/>
    <col min="10780" max="10832" width="9" style="15"/>
    <col min="10833" max="10833" width="9" style="15" customWidth="1"/>
    <col min="10834" max="11010" width="9" style="15"/>
    <col min="11011" max="11011" width="9.875" style="15" bestFit="1" customWidth="1"/>
    <col min="11012" max="11014" width="9" style="15" customWidth="1"/>
    <col min="11015" max="11016" width="9" style="15"/>
    <col min="11017" max="11017" width="7.625" style="15" bestFit="1" customWidth="1"/>
    <col min="11018" max="11018" width="7.75" style="15" bestFit="1" customWidth="1"/>
    <col min="11019" max="11019" width="8" style="15" bestFit="1" customWidth="1"/>
    <col min="11020" max="11020" width="9.875" style="15" bestFit="1" customWidth="1"/>
    <col min="11021" max="11025" width="9" style="15"/>
    <col min="11026" max="11026" width="7.625" style="15" bestFit="1" customWidth="1"/>
    <col min="11027" max="11027" width="7.75" style="15" bestFit="1" customWidth="1"/>
    <col min="11028" max="11028" width="8" style="15" bestFit="1" customWidth="1"/>
    <col min="11029" max="11029" width="9.875" style="15" bestFit="1" customWidth="1"/>
    <col min="11030" max="11030" width="9" style="15" customWidth="1"/>
    <col min="11031" max="11032" width="9" style="15"/>
    <col min="11033" max="11033" width="9" style="15" customWidth="1"/>
    <col min="11034" max="11034" width="9" style="15"/>
    <col min="11035" max="11035" width="7.625" style="15" bestFit="1" customWidth="1"/>
    <col min="11036" max="11088" width="9" style="15"/>
    <col min="11089" max="11089" width="9" style="15" customWidth="1"/>
    <col min="11090" max="11266" width="9" style="15"/>
    <col min="11267" max="11267" width="9.875" style="15" bestFit="1" customWidth="1"/>
    <col min="11268" max="11270" width="9" style="15" customWidth="1"/>
    <col min="11271" max="11272" width="9" style="15"/>
    <col min="11273" max="11273" width="7.625" style="15" bestFit="1" customWidth="1"/>
    <col min="11274" max="11274" width="7.75" style="15" bestFit="1" customWidth="1"/>
    <col min="11275" max="11275" width="8" style="15" bestFit="1" customWidth="1"/>
    <col min="11276" max="11276" width="9.875" style="15" bestFit="1" customWidth="1"/>
    <col min="11277" max="11281" width="9" style="15"/>
    <col min="11282" max="11282" width="7.625" style="15" bestFit="1" customWidth="1"/>
    <col min="11283" max="11283" width="7.75" style="15" bestFit="1" customWidth="1"/>
    <col min="11284" max="11284" width="8" style="15" bestFit="1" customWidth="1"/>
    <col min="11285" max="11285" width="9.875" style="15" bestFit="1" customWidth="1"/>
    <col min="11286" max="11286" width="9" style="15" customWidth="1"/>
    <col min="11287" max="11288" width="9" style="15"/>
    <col min="11289" max="11289" width="9" style="15" customWidth="1"/>
    <col min="11290" max="11290" width="9" style="15"/>
    <col min="11291" max="11291" width="7.625" style="15" bestFit="1" customWidth="1"/>
    <col min="11292" max="11344" width="9" style="15"/>
    <col min="11345" max="11345" width="9" style="15" customWidth="1"/>
    <col min="11346" max="11522" width="9" style="15"/>
    <col min="11523" max="11523" width="9.875" style="15" bestFit="1" customWidth="1"/>
    <col min="11524" max="11526" width="9" style="15" customWidth="1"/>
    <col min="11527" max="11528" width="9" style="15"/>
    <col min="11529" max="11529" width="7.625" style="15" bestFit="1" customWidth="1"/>
    <col min="11530" max="11530" width="7.75" style="15" bestFit="1" customWidth="1"/>
    <col min="11531" max="11531" width="8" style="15" bestFit="1" customWidth="1"/>
    <col min="11532" max="11532" width="9.875" style="15" bestFit="1" customWidth="1"/>
    <col min="11533" max="11537" width="9" style="15"/>
    <col min="11538" max="11538" width="7.625" style="15" bestFit="1" customWidth="1"/>
    <col min="11539" max="11539" width="7.75" style="15" bestFit="1" customWidth="1"/>
    <col min="11540" max="11540" width="8" style="15" bestFit="1" customWidth="1"/>
    <col min="11541" max="11541" width="9.875" style="15" bestFit="1" customWidth="1"/>
    <col min="11542" max="11542" width="9" style="15" customWidth="1"/>
    <col min="11543" max="11544" width="9" style="15"/>
    <col min="11545" max="11545" width="9" style="15" customWidth="1"/>
    <col min="11546" max="11546" width="9" style="15"/>
    <col min="11547" max="11547" width="7.625" style="15" bestFit="1" customWidth="1"/>
    <col min="11548" max="11600" width="9" style="15"/>
    <col min="11601" max="11601" width="9" style="15" customWidth="1"/>
    <col min="11602" max="11778" width="9" style="15"/>
    <col min="11779" max="11779" width="9.875" style="15" bestFit="1" customWidth="1"/>
    <col min="11780" max="11782" width="9" style="15" customWidth="1"/>
    <col min="11783" max="11784" width="9" style="15"/>
    <col min="11785" max="11785" width="7.625" style="15" bestFit="1" customWidth="1"/>
    <col min="11786" max="11786" width="7.75" style="15" bestFit="1" customWidth="1"/>
    <col min="11787" max="11787" width="8" style="15" bestFit="1" customWidth="1"/>
    <col min="11788" max="11788" width="9.875" style="15" bestFit="1" customWidth="1"/>
    <col min="11789" max="11793" width="9" style="15"/>
    <col min="11794" max="11794" width="7.625" style="15" bestFit="1" customWidth="1"/>
    <col min="11795" max="11795" width="7.75" style="15" bestFit="1" customWidth="1"/>
    <col min="11796" max="11796" width="8" style="15" bestFit="1" customWidth="1"/>
    <col min="11797" max="11797" width="9.875" style="15" bestFit="1" customWidth="1"/>
    <col min="11798" max="11798" width="9" style="15" customWidth="1"/>
    <col min="11799" max="11800" width="9" style="15"/>
    <col min="11801" max="11801" width="9" style="15" customWidth="1"/>
    <col min="11802" max="11802" width="9" style="15"/>
    <col min="11803" max="11803" width="7.625" style="15" bestFit="1" customWidth="1"/>
    <col min="11804" max="11856" width="9" style="15"/>
    <col min="11857" max="11857" width="9" style="15" customWidth="1"/>
    <col min="11858" max="12034" width="9" style="15"/>
    <col min="12035" max="12035" width="9.875" style="15" bestFit="1" customWidth="1"/>
    <col min="12036" max="12038" width="9" style="15" customWidth="1"/>
    <col min="12039" max="12040" width="9" style="15"/>
    <col min="12041" max="12041" width="7.625" style="15" bestFit="1" customWidth="1"/>
    <col min="12042" max="12042" width="7.75" style="15" bestFit="1" customWidth="1"/>
    <col min="12043" max="12043" width="8" style="15" bestFit="1" customWidth="1"/>
    <col min="12044" max="12044" width="9.875" style="15" bestFit="1" customWidth="1"/>
    <col min="12045" max="12049" width="9" style="15"/>
    <col min="12050" max="12050" width="7.625" style="15" bestFit="1" customWidth="1"/>
    <col min="12051" max="12051" width="7.75" style="15" bestFit="1" customWidth="1"/>
    <col min="12052" max="12052" width="8" style="15" bestFit="1" customWidth="1"/>
    <col min="12053" max="12053" width="9.875" style="15" bestFit="1" customWidth="1"/>
    <col min="12054" max="12054" width="9" style="15" customWidth="1"/>
    <col min="12055" max="12056" width="9" style="15"/>
    <col min="12057" max="12057" width="9" style="15" customWidth="1"/>
    <col min="12058" max="12058" width="9" style="15"/>
    <col min="12059" max="12059" width="7.625" style="15" bestFit="1" customWidth="1"/>
    <col min="12060" max="12112" width="9" style="15"/>
    <col min="12113" max="12113" width="9" style="15" customWidth="1"/>
    <col min="12114" max="12290" width="9" style="15"/>
    <col min="12291" max="12291" width="9.875" style="15" bestFit="1" customWidth="1"/>
    <col min="12292" max="12294" width="9" style="15" customWidth="1"/>
    <col min="12295" max="12296" width="9" style="15"/>
    <col min="12297" max="12297" width="7.625" style="15" bestFit="1" customWidth="1"/>
    <col min="12298" max="12298" width="7.75" style="15" bestFit="1" customWidth="1"/>
    <col min="12299" max="12299" width="8" style="15" bestFit="1" customWidth="1"/>
    <col min="12300" max="12300" width="9.875" style="15" bestFit="1" customWidth="1"/>
    <col min="12301" max="12305" width="9" style="15"/>
    <col min="12306" max="12306" width="7.625" style="15" bestFit="1" customWidth="1"/>
    <col min="12307" max="12307" width="7.75" style="15" bestFit="1" customWidth="1"/>
    <col min="12308" max="12308" width="8" style="15" bestFit="1" customWidth="1"/>
    <col min="12309" max="12309" width="9.875" style="15" bestFit="1" customWidth="1"/>
    <col min="12310" max="12310" width="9" style="15" customWidth="1"/>
    <col min="12311" max="12312" width="9" style="15"/>
    <col min="12313" max="12313" width="9" style="15" customWidth="1"/>
    <col min="12314" max="12314" width="9" style="15"/>
    <col min="12315" max="12315" width="7.625" style="15" bestFit="1" customWidth="1"/>
    <col min="12316" max="12368" width="9" style="15"/>
    <col min="12369" max="12369" width="9" style="15" customWidth="1"/>
    <col min="12370" max="12546" width="9" style="15"/>
    <col min="12547" max="12547" width="9.875" style="15" bestFit="1" customWidth="1"/>
    <col min="12548" max="12550" width="9" style="15" customWidth="1"/>
    <col min="12551" max="12552" width="9" style="15"/>
    <col min="12553" max="12553" width="7.625" style="15" bestFit="1" customWidth="1"/>
    <col min="12554" max="12554" width="7.75" style="15" bestFit="1" customWidth="1"/>
    <col min="12555" max="12555" width="8" style="15" bestFit="1" customWidth="1"/>
    <col min="12556" max="12556" width="9.875" style="15" bestFit="1" customWidth="1"/>
    <col min="12557" max="12561" width="9" style="15"/>
    <col min="12562" max="12562" width="7.625" style="15" bestFit="1" customWidth="1"/>
    <col min="12563" max="12563" width="7.75" style="15" bestFit="1" customWidth="1"/>
    <col min="12564" max="12564" width="8" style="15" bestFit="1" customWidth="1"/>
    <col min="12565" max="12565" width="9.875" style="15" bestFit="1" customWidth="1"/>
    <col min="12566" max="12566" width="9" style="15" customWidth="1"/>
    <col min="12567" max="12568" width="9" style="15"/>
    <col min="12569" max="12569" width="9" style="15" customWidth="1"/>
    <col min="12570" max="12570" width="9" style="15"/>
    <col min="12571" max="12571" width="7.625" style="15" bestFit="1" customWidth="1"/>
    <col min="12572" max="12624" width="9" style="15"/>
    <col min="12625" max="12625" width="9" style="15" customWidth="1"/>
    <col min="12626" max="12802" width="9" style="15"/>
    <col min="12803" max="12803" width="9.875" style="15" bestFit="1" customWidth="1"/>
    <col min="12804" max="12806" width="9" style="15" customWidth="1"/>
    <col min="12807" max="12808" width="9" style="15"/>
    <col min="12809" max="12809" width="7.625" style="15" bestFit="1" customWidth="1"/>
    <col min="12810" max="12810" width="7.75" style="15" bestFit="1" customWidth="1"/>
    <col min="12811" max="12811" width="8" style="15" bestFit="1" customWidth="1"/>
    <col min="12812" max="12812" width="9.875" style="15" bestFit="1" customWidth="1"/>
    <col min="12813" max="12817" width="9" style="15"/>
    <col min="12818" max="12818" width="7.625" style="15" bestFit="1" customWidth="1"/>
    <col min="12819" max="12819" width="7.75" style="15" bestFit="1" customWidth="1"/>
    <col min="12820" max="12820" width="8" style="15" bestFit="1" customWidth="1"/>
    <col min="12821" max="12821" width="9.875" style="15" bestFit="1" customWidth="1"/>
    <col min="12822" max="12822" width="9" style="15" customWidth="1"/>
    <col min="12823" max="12824" width="9" style="15"/>
    <col min="12825" max="12825" width="9" style="15" customWidth="1"/>
    <col min="12826" max="12826" width="9" style="15"/>
    <col min="12827" max="12827" width="7.625" style="15" bestFit="1" customWidth="1"/>
    <col min="12828" max="12880" width="9" style="15"/>
    <col min="12881" max="12881" width="9" style="15" customWidth="1"/>
    <col min="12882" max="13058" width="9" style="15"/>
    <col min="13059" max="13059" width="9.875" style="15" bestFit="1" customWidth="1"/>
    <col min="13060" max="13062" width="9" style="15" customWidth="1"/>
    <col min="13063" max="13064" width="9" style="15"/>
    <col min="13065" max="13065" width="7.625" style="15" bestFit="1" customWidth="1"/>
    <col min="13066" max="13066" width="7.75" style="15" bestFit="1" customWidth="1"/>
    <col min="13067" max="13067" width="8" style="15" bestFit="1" customWidth="1"/>
    <col min="13068" max="13068" width="9.875" style="15" bestFit="1" customWidth="1"/>
    <col min="13069" max="13073" width="9" style="15"/>
    <col min="13074" max="13074" width="7.625" style="15" bestFit="1" customWidth="1"/>
    <col min="13075" max="13075" width="7.75" style="15" bestFit="1" customWidth="1"/>
    <col min="13076" max="13076" width="8" style="15" bestFit="1" customWidth="1"/>
    <col min="13077" max="13077" width="9.875" style="15" bestFit="1" customWidth="1"/>
    <col min="13078" max="13078" width="9" style="15" customWidth="1"/>
    <col min="13079" max="13080" width="9" style="15"/>
    <col min="13081" max="13081" width="9" style="15" customWidth="1"/>
    <col min="13082" max="13082" width="9" style="15"/>
    <col min="13083" max="13083" width="7.625" style="15" bestFit="1" customWidth="1"/>
    <col min="13084" max="13136" width="9" style="15"/>
    <col min="13137" max="13137" width="9" style="15" customWidth="1"/>
    <col min="13138" max="13314" width="9" style="15"/>
    <col min="13315" max="13315" width="9.875" style="15" bestFit="1" customWidth="1"/>
    <col min="13316" max="13318" width="9" style="15" customWidth="1"/>
    <col min="13319" max="13320" width="9" style="15"/>
    <col min="13321" max="13321" width="7.625" style="15" bestFit="1" customWidth="1"/>
    <col min="13322" max="13322" width="7.75" style="15" bestFit="1" customWidth="1"/>
    <col min="13323" max="13323" width="8" style="15" bestFit="1" customWidth="1"/>
    <col min="13324" max="13324" width="9.875" style="15" bestFit="1" customWidth="1"/>
    <col min="13325" max="13329" width="9" style="15"/>
    <col min="13330" max="13330" width="7.625" style="15" bestFit="1" customWidth="1"/>
    <col min="13331" max="13331" width="7.75" style="15" bestFit="1" customWidth="1"/>
    <col min="13332" max="13332" width="8" style="15" bestFit="1" customWidth="1"/>
    <col min="13333" max="13333" width="9.875" style="15" bestFit="1" customWidth="1"/>
    <col min="13334" max="13334" width="9" style="15" customWidth="1"/>
    <col min="13335" max="13336" width="9" style="15"/>
    <col min="13337" max="13337" width="9" style="15" customWidth="1"/>
    <col min="13338" max="13338" width="9" style="15"/>
    <col min="13339" max="13339" width="7.625" style="15" bestFit="1" customWidth="1"/>
    <col min="13340" max="13392" width="9" style="15"/>
    <col min="13393" max="13393" width="9" style="15" customWidth="1"/>
    <col min="13394" max="13570" width="9" style="15"/>
    <col min="13571" max="13571" width="9.875" style="15" bestFit="1" customWidth="1"/>
    <col min="13572" max="13574" width="9" style="15" customWidth="1"/>
    <col min="13575" max="13576" width="9" style="15"/>
    <col min="13577" max="13577" width="7.625" style="15" bestFit="1" customWidth="1"/>
    <col min="13578" max="13578" width="7.75" style="15" bestFit="1" customWidth="1"/>
    <col min="13579" max="13579" width="8" style="15" bestFit="1" customWidth="1"/>
    <col min="13580" max="13580" width="9.875" style="15" bestFit="1" customWidth="1"/>
    <col min="13581" max="13585" width="9" style="15"/>
    <col min="13586" max="13586" width="7.625" style="15" bestFit="1" customWidth="1"/>
    <col min="13587" max="13587" width="7.75" style="15" bestFit="1" customWidth="1"/>
    <col min="13588" max="13588" width="8" style="15" bestFit="1" customWidth="1"/>
    <col min="13589" max="13589" width="9.875" style="15" bestFit="1" customWidth="1"/>
    <col min="13590" max="13590" width="9" style="15" customWidth="1"/>
    <col min="13591" max="13592" width="9" style="15"/>
    <col min="13593" max="13593" width="9" style="15" customWidth="1"/>
    <col min="13594" max="13594" width="9" style="15"/>
    <col min="13595" max="13595" width="7.625" style="15" bestFit="1" customWidth="1"/>
    <col min="13596" max="13648" width="9" style="15"/>
    <col min="13649" max="13649" width="9" style="15" customWidth="1"/>
    <col min="13650" max="13826" width="9" style="15"/>
    <col min="13827" max="13827" width="9.875" style="15" bestFit="1" customWidth="1"/>
    <col min="13828" max="13830" width="9" style="15" customWidth="1"/>
    <col min="13831" max="13832" width="9" style="15"/>
    <col min="13833" max="13833" width="7.625" style="15" bestFit="1" customWidth="1"/>
    <col min="13834" max="13834" width="7.75" style="15" bestFit="1" customWidth="1"/>
    <col min="13835" max="13835" width="8" style="15" bestFit="1" customWidth="1"/>
    <col min="13836" max="13836" width="9.875" style="15" bestFit="1" customWidth="1"/>
    <col min="13837" max="13841" width="9" style="15"/>
    <col min="13842" max="13842" width="7.625" style="15" bestFit="1" customWidth="1"/>
    <col min="13843" max="13843" width="7.75" style="15" bestFit="1" customWidth="1"/>
    <col min="13844" max="13844" width="8" style="15" bestFit="1" customWidth="1"/>
    <col min="13845" max="13845" width="9.875" style="15" bestFit="1" customWidth="1"/>
    <col min="13846" max="13846" width="9" style="15" customWidth="1"/>
    <col min="13847" max="13848" width="9" style="15"/>
    <col min="13849" max="13849" width="9" style="15" customWidth="1"/>
    <col min="13850" max="13850" width="9" style="15"/>
    <col min="13851" max="13851" width="7.625" style="15" bestFit="1" customWidth="1"/>
    <col min="13852" max="13904" width="9" style="15"/>
    <col min="13905" max="13905" width="9" style="15" customWidth="1"/>
    <col min="13906" max="14082" width="9" style="15"/>
    <col min="14083" max="14083" width="9.875" style="15" bestFit="1" customWidth="1"/>
    <col min="14084" max="14086" width="9" style="15" customWidth="1"/>
    <col min="14087" max="14088" width="9" style="15"/>
    <col min="14089" max="14089" width="7.625" style="15" bestFit="1" customWidth="1"/>
    <col min="14090" max="14090" width="7.75" style="15" bestFit="1" customWidth="1"/>
    <col min="14091" max="14091" width="8" style="15" bestFit="1" customWidth="1"/>
    <col min="14092" max="14092" width="9.875" style="15" bestFit="1" customWidth="1"/>
    <col min="14093" max="14097" width="9" style="15"/>
    <col min="14098" max="14098" width="7.625" style="15" bestFit="1" customWidth="1"/>
    <col min="14099" max="14099" width="7.75" style="15" bestFit="1" customWidth="1"/>
    <col min="14100" max="14100" width="8" style="15" bestFit="1" customWidth="1"/>
    <col min="14101" max="14101" width="9.875" style="15" bestFit="1" customWidth="1"/>
    <col min="14102" max="14102" width="9" style="15" customWidth="1"/>
    <col min="14103" max="14104" width="9" style="15"/>
    <col min="14105" max="14105" width="9" style="15" customWidth="1"/>
    <col min="14106" max="14106" width="9" style="15"/>
    <col min="14107" max="14107" width="7.625" style="15" bestFit="1" customWidth="1"/>
    <col min="14108" max="14160" width="9" style="15"/>
    <col min="14161" max="14161" width="9" style="15" customWidth="1"/>
    <col min="14162" max="14338" width="9" style="15"/>
    <col min="14339" max="14339" width="9.875" style="15" bestFit="1" customWidth="1"/>
    <col min="14340" max="14342" width="9" style="15" customWidth="1"/>
    <col min="14343" max="14344" width="9" style="15"/>
    <col min="14345" max="14345" width="7.625" style="15" bestFit="1" customWidth="1"/>
    <col min="14346" max="14346" width="7.75" style="15" bestFit="1" customWidth="1"/>
    <col min="14347" max="14347" width="8" style="15" bestFit="1" customWidth="1"/>
    <col min="14348" max="14348" width="9.875" style="15" bestFit="1" customWidth="1"/>
    <col min="14349" max="14353" width="9" style="15"/>
    <col min="14354" max="14354" width="7.625" style="15" bestFit="1" customWidth="1"/>
    <col min="14355" max="14355" width="7.75" style="15" bestFit="1" customWidth="1"/>
    <col min="14356" max="14356" width="8" style="15" bestFit="1" customWidth="1"/>
    <col min="14357" max="14357" width="9.875" style="15" bestFit="1" customWidth="1"/>
    <col min="14358" max="14358" width="9" style="15" customWidth="1"/>
    <col min="14359" max="14360" width="9" style="15"/>
    <col min="14361" max="14361" width="9" style="15" customWidth="1"/>
    <col min="14362" max="14362" width="9" style="15"/>
    <col min="14363" max="14363" width="7.625" style="15" bestFit="1" customWidth="1"/>
    <col min="14364" max="14416" width="9" style="15"/>
    <col min="14417" max="14417" width="9" style="15" customWidth="1"/>
    <col min="14418" max="14594" width="9" style="15"/>
    <col min="14595" max="14595" width="9.875" style="15" bestFit="1" customWidth="1"/>
    <col min="14596" max="14598" width="9" style="15" customWidth="1"/>
    <col min="14599" max="14600" width="9" style="15"/>
    <col min="14601" max="14601" width="7.625" style="15" bestFit="1" customWidth="1"/>
    <col min="14602" max="14602" width="7.75" style="15" bestFit="1" customWidth="1"/>
    <col min="14603" max="14603" width="8" style="15" bestFit="1" customWidth="1"/>
    <col min="14604" max="14604" width="9.875" style="15" bestFit="1" customWidth="1"/>
    <col min="14605" max="14609" width="9" style="15"/>
    <col min="14610" max="14610" width="7.625" style="15" bestFit="1" customWidth="1"/>
    <col min="14611" max="14611" width="7.75" style="15" bestFit="1" customWidth="1"/>
    <col min="14612" max="14612" width="8" style="15" bestFit="1" customWidth="1"/>
    <col min="14613" max="14613" width="9.875" style="15" bestFit="1" customWidth="1"/>
    <col min="14614" max="14614" width="9" style="15" customWidth="1"/>
    <col min="14615" max="14616" width="9" style="15"/>
    <col min="14617" max="14617" width="9" style="15" customWidth="1"/>
    <col min="14618" max="14618" width="9" style="15"/>
    <col min="14619" max="14619" width="7.625" style="15" bestFit="1" customWidth="1"/>
    <col min="14620" max="14672" width="9" style="15"/>
    <col min="14673" max="14673" width="9" style="15" customWidth="1"/>
    <col min="14674" max="14850" width="9" style="15"/>
    <col min="14851" max="14851" width="9.875" style="15" bestFit="1" customWidth="1"/>
    <col min="14852" max="14854" width="9" style="15" customWidth="1"/>
    <col min="14855" max="14856" width="9" style="15"/>
    <col min="14857" max="14857" width="7.625" style="15" bestFit="1" customWidth="1"/>
    <col min="14858" max="14858" width="7.75" style="15" bestFit="1" customWidth="1"/>
    <col min="14859" max="14859" width="8" style="15" bestFit="1" customWidth="1"/>
    <col min="14860" max="14860" width="9.875" style="15" bestFit="1" customWidth="1"/>
    <col min="14861" max="14865" width="9" style="15"/>
    <col min="14866" max="14866" width="7.625" style="15" bestFit="1" customWidth="1"/>
    <col min="14867" max="14867" width="7.75" style="15" bestFit="1" customWidth="1"/>
    <col min="14868" max="14868" width="8" style="15" bestFit="1" customWidth="1"/>
    <col min="14869" max="14869" width="9.875" style="15" bestFit="1" customWidth="1"/>
    <col min="14870" max="14870" width="9" style="15" customWidth="1"/>
    <col min="14871" max="14872" width="9" style="15"/>
    <col min="14873" max="14873" width="9" style="15" customWidth="1"/>
    <col min="14874" max="14874" width="9" style="15"/>
    <col min="14875" max="14875" width="7.625" style="15" bestFit="1" customWidth="1"/>
    <col min="14876" max="14928" width="9" style="15"/>
    <col min="14929" max="14929" width="9" style="15" customWidth="1"/>
    <col min="14930" max="15106" width="9" style="15"/>
    <col min="15107" max="15107" width="9.875" style="15" bestFit="1" customWidth="1"/>
    <col min="15108" max="15110" width="9" style="15" customWidth="1"/>
    <col min="15111" max="15112" width="9" style="15"/>
    <col min="15113" max="15113" width="7.625" style="15" bestFit="1" customWidth="1"/>
    <col min="15114" max="15114" width="7.75" style="15" bestFit="1" customWidth="1"/>
    <col min="15115" max="15115" width="8" style="15" bestFit="1" customWidth="1"/>
    <col min="15116" max="15116" width="9.875" style="15" bestFit="1" customWidth="1"/>
    <col min="15117" max="15121" width="9" style="15"/>
    <col min="15122" max="15122" width="7.625" style="15" bestFit="1" customWidth="1"/>
    <col min="15123" max="15123" width="7.75" style="15" bestFit="1" customWidth="1"/>
    <col min="15124" max="15124" width="8" style="15" bestFit="1" customWidth="1"/>
    <col min="15125" max="15125" width="9.875" style="15" bestFit="1" customWidth="1"/>
    <col min="15126" max="15126" width="9" style="15" customWidth="1"/>
    <col min="15127" max="15128" width="9" style="15"/>
    <col min="15129" max="15129" width="9" style="15" customWidth="1"/>
    <col min="15130" max="15130" width="9" style="15"/>
    <col min="15131" max="15131" width="7.625" style="15" bestFit="1" customWidth="1"/>
    <col min="15132" max="15184" width="9" style="15"/>
    <col min="15185" max="15185" width="9" style="15" customWidth="1"/>
    <col min="15186" max="15362" width="9" style="15"/>
    <col min="15363" max="15363" width="9.875" style="15" bestFit="1" customWidth="1"/>
    <col min="15364" max="15366" width="9" style="15" customWidth="1"/>
    <col min="15367" max="15368" width="9" style="15"/>
    <col min="15369" max="15369" width="7.625" style="15" bestFit="1" customWidth="1"/>
    <col min="15370" max="15370" width="7.75" style="15" bestFit="1" customWidth="1"/>
    <col min="15371" max="15371" width="8" style="15" bestFit="1" customWidth="1"/>
    <col min="15372" max="15372" width="9.875" style="15" bestFit="1" customWidth="1"/>
    <col min="15373" max="15377" width="9" style="15"/>
    <col min="15378" max="15378" width="7.625" style="15" bestFit="1" customWidth="1"/>
    <col min="15379" max="15379" width="7.75" style="15" bestFit="1" customWidth="1"/>
    <col min="15380" max="15380" width="8" style="15" bestFit="1" customWidth="1"/>
    <col min="15381" max="15381" width="9.875" style="15" bestFit="1" customWidth="1"/>
    <col min="15382" max="15382" width="9" style="15" customWidth="1"/>
    <col min="15383" max="15384" width="9" style="15"/>
    <col min="15385" max="15385" width="9" style="15" customWidth="1"/>
    <col min="15386" max="15386" width="9" style="15"/>
    <col min="15387" max="15387" width="7.625" style="15" bestFit="1" customWidth="1"/>
    <col min="15388" max="15440" width="9" style="15"/>
    <col min="15441" max="15441" width="9" style="15" customWidth="1"/>
    <col min="15442" max="15618" width="9" style="15"/>
    <col min="15619" max="15619" width="9.875" style="15" bestFit="1" customWidth="1"/>
    <col min="15620" max="15622" width="9" style="15" customWidth="1"/>
    <col min="15623" max="15624" width="9" style="15"/>
    <col min="15625" max="15625" width="7.625" style="15" bestFit="1" customWidth="1"/>
    <col min="15626" max="15626" width="7.75" style="15" bestFit="1" customWidth="1"/>
    <col min="15627" max="15627" width="8" style="15" bestFit="1" customWidth="1"/>
    <col min="15628" max="15628" width="9.875" style="15" bestFit="1" customWidth="1"/>
    <col min="15629" max="15633" width="9" style="15"/>
    <col min="15634" max="15634" width="7.625" style="15" bestFit="1" customWidth="1"/>
    <col min="15635" max="15635" width="7.75" style="15" bestFit="1" customWidth="1"/>
    <col min="15636" max="15636" width="8" style="15" bestFit="1" customWidth="1"/>
    <col min="15637" max="15637" width="9.875" style="15" bestFit="1" customWidth="1"/>
    <col min="15638" max="15638" width="9" style="15" customWidth="1"/>
    <col min="15639" max="15640" width="9" style="15"/>
    <col min="15641" max="15641" width="9" style="15" customWidth="1"/>
    <col min="15642" max="15642" width="9" style="15"/>
    <col min="15643" max="15643" width="7.625" style="15" bestFit="1" customWidth="1"/>
    <col min="15644" max="15696" width="9" style="15"/>
    <col min="15697" max="15697" width="9" style="15" customWidth="1"/>
    <col min="15698" max="15874" width="9" style="15"/>
    <col min="15875" max="15875" width="9.875" style="15" bestFit="1" customWidth="1"/>
    <col min="15876" max="15878" width="9" style="15" customWidth="1"/>
    <col min="15879" max="15880" width="9" style="15"/>
    <col min="15881" max="15881" width="7.625" style="15" bestFit="1" customWidth="1"/>
    <col min="15882" max="15882" width="7.75" style="15" bestFit="1" customWidth="1"/>
    <col min="15883" max="15883" width="8" style="15" bestFit="1" customWidth="1"/>
    <col min="15884" max="15884" width="9.875" style="15" bestFit="1" customWidth="1"/>
    <col min="15885" max="15889" width="9" style="15"/>
    <col min="15890" max="15890" width="7.625" style="15" bestFit="1" customWidth="1"/>
    <col min="15891" max="15891" width="7.75" style="15" bestFit="1" customWidth="1"/>
    <col min="15892" max="15892" width="8" style="15" bestFit="1" customWidth="1"/>
    <col min="15893" max="15893" width="9.875" style="15" bestFit="1" customWidth="1"/>
    <col min="15894" max="15894" width="9" style="15" customWidth="1"/>
    <col min="15895" max="15896" width="9" style="15"/>
    <col min="15897" max="15897" width="9" style="15" customWidth="1"/>
    <col min="15898" max="15898" width="9" style="15"/>
    <col min="15899" max="15899" width="7.625" style="15" bestFit="1" customWidth="1"/>
    <col min="15900" max="15952" width="9" style="15"/>
    <col min="15953" max="15953" width="9" style="15" customWidth="1"/>
    <col min="15954" max="16130" width="9" style="15"/>
    <col min="16131" max="16131" width="9.875" style="15" bestFit="1" customWidth="1"/>
    <col min="16132" max="16134" width="9" style="15" customWidth="1"/>
    <col min="16135" max="16136" width="9" style="15"/>
    <col min="16137" max="16137" width="7.625" style="15" bestFit="1" customWidth="1"/>
    <col min="16138" max="16138" width="7.75" style="15" bestFit="1" customWidth="1"/>
    <col min="16139" max="16139" width="8" style="15" bestFit="1" customWidth="1"/>
    <col min="16140" max="16140" width="9.875" style="15" bestFit="1" customWidth="1"/>
    <col min="16141" max="16145" width="9" style="15"/>
    <col min="16146" max="16146" width="7.625" style="15" bestFit="1" customWidth="1"/>
    <col min="16147" max="16147" width="7.75" style="15" bestFit="1" customWidth="1"/>
    <col min="16148" max="16148" width="8" style="15" bestFit="1" customWidth="1"/>
    <col min="16149" max="16149" width="9.875" style="15" bestFit="1" customWidth="1"/>
    <col min="16150" max="16150" width="9" style="15" customWidth="1"/>
    <col min="16151" max="16152" width="9" style="15"/>
    <col min="16153" max="16153" width="9" style="15" customWidth="1"/>
    <col min="16154" max="16154" width="9" style="15"/>
    <col min="16155" max="16155" width="7.625" style="15" bestFit="1" customWidth="1"/>
    <col min="16156" max="16208" width="9" style="15"/>
    <col min="16209" max="16209" width="9" style="15" customWidth="1"/>
    <col min="16210" max="16384" width="9" style="15"/>
  </cols>
  <sheetData>
    <row r="1" spans="1:81" ht="35.25">
      <c r="A1" s="13" t="s">
        <v>53</v>
      </c>
      <c r="B1" s="95" t="s">
        <v>49</v>
      </c>
      <c r="C1" s="95"/>
      <c r="D1" s="95"/>
      <c r="E1" s="95"/>
      <c r="F1" s="95"/>
      <c r="G1" s="95"/>
      <c r="H1" s="95"/>
      <c r="I1" s="95"/>
      <c r="J1" s="95"/>
      <c r="K1" s="95"/>
    </row>
    <row r="2" spans="1:81">
      <c r="A2" s="16" t="s">
        <v>23</v>
      </c>
      <c r="B2" s="96" t="s">
        <v>24</v>
      </c>
      <c r="C2" s="97"/>
      <c r="D2" s="97"/>
      <c r="E2" s="97"/>
      <c r="F2" s="97"/>
      <c r="G2" s="97"/>
      <c r="H2" s="97"/>
      <c r="I2" s="97"/>
      <c r="J2" s="97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</row>
    <row r="3" spans="1:81">
      <c r="A3" s="16" t="s">
        <v>0</v>
      </c>
      <c r="B3" s="96" t="s">
        <v>25</v>
      </c>
      <c r="C3" s="97"/>
      <c r="D3" s="97"/>
      <c r="E3" s="97"/>
      <c r="F3" s="97"/>
      <c r="G3" s="97"/>
      <c r="H3" s="97"/>
      <c r="I3" s="97"/>
      <c r="J3" s="97"/>
      <c r="K3" s="17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</row>
    <row r="4" spans="1:81" customFormat="1" ht="14.25" customHeight="1">
      <c r="A4" s="19" t="s">
        <v>167</v>
      </c>
      <c r="B4" s="5" t="s">
        <v>26</v>
      </c>
      <c r="C4" s="5" t="s">
        <v>27</v>
      </c>
      <c r="D4" s="5" t="s">
        <v>28</v>
      </c>
      <c r="E4" s="5" t="s">
        <v>11</v>
      </c>
      <c r="F4" s="5" t="s">
        <v>12</v>
      </c>
      <c r="G4" s="21" t="s">
        <v>3</v>
      </c>
      <c r="H4" s="38" t="s">
        <v>4</v>
      </c>
      <c r="I4" s="81" t="s">
        <v>29</v>
      </c>
      <c r="J4" s="19" t="s">
        <v>167</v>
      </c>
      <c r="K4" s="20" t="s">
        <v>26</v>
      </c>
      <c r="L4" s="20" t="s">
        <v>27</v>
      </c>
      <c r="M4" s="20" t="s">
        <v>28</v>
      </c>
      <c r="N4" s="20" t="s">
        <v>11</v>
      </c>
      <c r="O4" s="20" t="s">
        <v>12</v>
      </c>
      <c r="P4" s="21" t="s">
        <v>3</v>
      </c>
      <c r="Q4" s="38" t="s">
        <v>4</v>
      </c>
      <c r="R4" s="86" t="s">
        <v>29</v>
      </c>
      <c r="S4" s="19" t="s">
        <v>167</v>
      </c>
      <c r="T4" s="20" t="s">
        <v>26</v>
      </c>
      <c r="U4" s="20" t="s">
        <v>27</v>
      </c>
      <c r="V4" s="20" t="s">
        <v>28</v>
      </c>
      <c r="W4" s="20" t="s">
        <v>11</v>
      </c>
      <c r="X4" s="20" t="s">
        <v>12</v>
      </c>
      <c r="Y4" s="21" t="s">
        <v>3</v>
      </c>
      <c r="Z4" s="38" t="s">
        <v>4</v>
      </c>
      <c r="AA4" s="86" t="s">
        <v>29</v>
      </c>
      <c r="AB4" s="19" t="s">
        <v>167</v>
      </c>
      <c r="AC4" s="20" t="s">
        <v>26</v>
      </c>
      <c r="AD4" s="20" t="s">
        <v>27</v>
      </c>
      <c r="AE4" s="20" t="s">
        <v>28</v>
      </c>
      <c r="AF4" s="20" t="s">
        <v>11</v>
      </c>
      <c r="AG4" s="20" t="s">
        <v>12</v>
      </c>
      <c r="AH4" s="21" t="s">
        <v>3</v>
      </c>
      <c r="AI4" s="38" t="s">
        <v>4</v>
      </c>
      <c r="AJ4" s="81" t="s">
        <v>29</v>
      </c>
      <c r="AK4" s="19" t="s">
        <v>167</v>
      </c>
      <c r="AL4" s="20" t="s">
        <v>26</v>
      </c>
      <c r="AM4" s="20" t="s">
        <v>27</v>
      </c>
      <c r="AN4" s="20" t="s">
        <v>28</v>
      </c>
      <c r="AO4" s="20" t="s">
        <v>11</v>
      </c>
      <c r="AP4" s="20" t="s">
        <v>12</v>
      </c>
      <c r="AQ4" s="21" t="s">
        <v>3</v>
      </c>
      <c r="AR4" s="38" t="s">
        <v>4</v>
      </c>
      <c r="AS4" s="86" t="s">
        <v>29</v>
      </c>
      <c r="AT4" s="19" t="s">
        <v>167</v>
      </c>
      <c r="AU4" s="5" t="s">
        <v>26</v>
      </c>
      <c r="AV4" s="5" t="s">
        <v>27</v>
      </c>
      <c r="AW4" s="5" t="s">
        <v>28</v>
      </c>
      <c r="AX4" s="5" t="s">
        <v>11</v>
      </c>
      <c r="AY4" s="5" t="s">
        <v>12</v>
      </c>
      <c r="AZ4" s="21" t="s">
        <v>3</v>
      </c>
      <c r="BA4" s="38" t="s">
        <v>4</v>
      </c>
      <c r="BB4" s="81" t="s">
        <v>29</v>
      </c>
      <c r="BC4" s="19" t="s">
        <v>167</v>
      </c>
      <c r="BD4" s="20" t="s">
        <v>26</v>
      </c>
      <c r="BE4" s="20" t="s">
        <v>27</v>
      </c>
      <c r="BF4" s="20" t="s">
        <v>28</v>
      </c>
      <c r="BG4" s="20" t="s">
        <v>11</v>
      </c>
      <c r="BH4" s="20" t="s">
        <v>12</v>
      </c>
      <c r="BI4" s="21" t="s">
        <v>3</v>
      </c>
      <c r="BJ4" s="38" t="s">
        <v>4</v>
      </c>
      <c r="BK4" s="81" t="s">
        <v>29</v>
      </c>
      <c r="BL4" s="19" t="s">
        <v>167</v>
      </c>
      <c r="BM4" s="5" t="s">
        <v>26</v>
      </c>
      <c r="BN4" s="5" t="s">
        <v>27</v>
      </c>
      <c r="BO4" s="5" t="s">
        <v>28</v>
      </c>
      <c r="BP4" s="5" t="s">
        <v>11</v>
      </c>
      <c r="BQ4" s="5" t="s">
        <v>12</v>
      </c>
      <c r="BR4" s="21" t="s">
        <v>3</v>
      </c>
      <c r="BS4" s="38" t="s">
        <v>4</v>
      </c>
      <c r="BT4" s="81" t="s">
        <v>29</v>
      </c>
      <c r="BU4" s="19" t="s">
        <v>167</v>
      </c>
      <c r="BV4" s="20" t="s">
        <v>26</v>
      </c>
      <c r="BW4" s="20" t="s">
        <v>27</v>
      </c>
      <c r="BX4" s="20" t="s">
        <v>28</v>
      </c>
      <c r="BY4" s="20" t="s">
        <v>11</v>
      </c>
      <c r="BZ4" s="20" t="s">
        <v>12</v>
      </c>
      <c r="CA4" s="21" t="s">
        <v>3</v>
      </c>
      <c r="CB4" s="38" t="s">
        <v>4</v>
      </c>
      <c r="CC4" s="86" t="s">
        <v>29</v>
      </c>
    </row>
    <row r="5" spans="1:81" customFormat="1">
      <c r="A5" s="7" t="s">
        <v>30</v>
      </c>
      <c r="B5" s="8">
        <v>38675</v>
      </c>
      <c r="C5" s="8">
        <v>2302.5</v>
      </c>
      <c r="D5" s="4">
        <v>5</v>
      </c>
      <c r="E5" s="8" t="s">
        <v>10</v>
      </c>
      <c r="F5" s="50">
        <v>1</v>
      </c>
      <c r="G5" s="24" t="s">
        <v>15</v>
      </c>
      <c r="H5" s="25" t="s">
        <v>6</v>
      </c>
      <c r="I5" s="82"/>
      <c r="J5" s="22" t="s">
        <v>32</v>
      </c>
      <c r="K5" s="28">
        <v>39150</v>
      </c>
      <c r="L5" s="28">
        <v>2350</v>
      </c>
      <c r="M5" s="23">
        <v>5</v>
      </c>
      <c r="N5" s="28" t="s">
        <v>10</v>
      </c>
      <c r="O5" s="29">
        <v>1</v>
      </c>
      <c r="P5" s="24" t="s">
        <v>15</v>
      </c>
      <c r="Q5" s="25" t="s">
        <v>7</v>
      </c>
      <c r="R5" s="86"/>
      <c r="S5" s="27" t="s">
        <v>31</v>
      </c>
      <c r="T5" s="28">
        <v>39625</v>
      </c>
      <c r="U5" s="28">
        <v>2397.5</v>
      </c>
      <c r="V5" s="23">
        <v>5</v>
      </c>
      <c r="W5" s="28" t="s">
        <v>10</v>
      </c>
      <c r="X5" s="29">
        <v>1</v>
      </c>
      <c r="Y5" s="24" t="s">
        <v>31</v>
      </c>
      <c r="Z5" s="25" t="s">
        <v>7</v>
      </c>
      <c r="AA5" s="86"/>
      <c r="AB5" s="27" t="s">
        <v>30</v>
      </c>
      <c r="AC5" s="28">
        <v>38675</v>
      </c>
      <c r="AD5" s="28">
        <v>2302.5</v>
      </c>
      <c r="AE5" s="23">
        <v>5</v>
      </c>
      <c r="AF5" s="28" t="s">
        <v>10</v>
      </c>
      <c r="AG5" s="29">
        <v>25</v>
      </c>
      <c r="AH5" s="24" t="s">
        <v>30</v>
      </c>
      <c r="AI5" s="25" t="s">
        <v>6</v>
      </c>
      <c r="AJ5" s="82"/>
      <c r="AK5" s="27" t="s">
        <v>31</v>
      </c>
      <c r="AL5" s="28">
        <v>39625</v>
      </c>
      <c r="AM5" s="28">
        <v>2397.5</v>
      </c>
      <c r="AN5" s="23">
        <v>5</v>
      </c>
      <c r="AO5" s="28" t="s">
        <v>10</v>
      </c>
      <c r="AP5" s="29">
        <v>25</v>
      </c>
      <c r="AQ5" s="24" t="s">
        <v>31</v>
      </c>
      <c r="AR5" s="25" t="s">
        <v>7</v>
      </c>
      <c r="AS5" s="86"/>
      <c r="AT5" s="7" t="s">
        <v>30</v>
      </c>
      <c r="AU5" s="8">
        <v>38750</v>
      </c>
      <c r="AV5" s="8">
        <v>2310</v>
      </c>
      <c r="AW5" s="4">
        <v>20</v>
      </c>
      <c r="AX5" s="8" t="s">
        <v>10</v>
      </c>
      <c r="AY5" s="50">
        <v>1</v>
      </c>
      <c r="AZ5" s="24" t="s">
        <v>15</v>
      </c>
      <c r="BA5" s="25" t="s">
        <v>6</v>
      </c>
      <c r="BB5" s="82"/>
      <c r="BC5" s="27" t="s">
        <v>31</v>
      </c>
      <c r="BD5" s="28">
        <v>39550</v>
      </c>
      <c r="BE5" s="28">
        <v>2390</v>
      </c>
      <c r="BF5" s="23">
        <v>20</v>
      </c>
      <c r="BG5" s="28" t="s">
        <v>10</v>
      </c>
      <c r="BH5" s="29">
        <v>1</v>
      </c>
      <c r="BI5" s="24" t="s">
        <v>31</v>
      </c>
      <c r="BJ5" s="25" t="s">
        <v>7</v>
      </c>
      <c r="BK5" s="82"/>
      <c r="BL5" s="7" t="s">
        <v>30</v>
      </c>
      <c r="BM5" s="8">
        <v>38750</v>
      </c>
      <c r="BN5" s="8">
        <v>2310</v>
      </c>
      <c r="BO5" s="4">
        <v>20</v>
      </c>
      <c r="BP5" s="8" t="s">
        <v>10</v>
      </c>
      <c r="BQ5" s="50">
        <v>100</v>
      </c>
      <c r="BR5" s="24" t="s">
        <v>15</v>
      </c>
      <c r="BS5" s="25" t="s">
        <v>6</v>
      </c>
      <c r="BT5" s="82"/>
      <c r="BU5" s="27" t="s">
        <v>31</v>
      </c>
      <c r="BV5" s="28">
        <v>39550</v>
      </c>
      <c r="BW5" s="28">
        <v>2390</v>
      </c>
      <c r="BX5" s="23">
        <v>20</v>
      </c>
      <c r="BY5" s="28" t="s">
        <v>10</v>
      </c>
      <c r="BZ5" s="29">
        <v>100</v>
      </c>
      <c r="CA5" s="24" t="s">
        <v>31</v>
      </c>
      <c r="CB5" s="25" t="s">
        <v>7</v>
      </c>
      <c r="CC5" s="86"/>
    </row>
    <row r="6" spans="1:81" customFormat="1" ht="14.25">
      <c r="A6" s="83" t="s">
        <v>16</v>
      </c>
      <c r="B6" s="84"/>
      <c r="C6" s="6" t="s">
        <v>17</v>
      </c>
      <c r="D6" s="6" t="s">
        <v>33</v>
      </c>
      <c r="E6" s="83" t="s">
        <v>34</v>
      </c>
      <c r="F6" s="85"/>
      <c r="G6" s="84"/>
      <c r="H6" s="26" t="s">
        <v>5</v>
      </c>
      <c r="I6" s="2"/>
      <c r="J6" s="83" t="s">
        <v>16</v>
      </c>
      <c r="K6" s="84"/>
      <c r="L6" s="18" t="s">
        <v>17</v>
      </c>
      <c r="M6" s="18" t="s">
        <v>33</v>
      </c>
      <c r="N6" s="83" t="s">
        <v>34</v>
      </c>
      <c r="O6" s="85"/>
      <c r="P6" s="84"/>
      <c r="Q6" s="26" t="s">
        <v>5</v>
      </c>
      <c r="R6" s="19"/>
      <c r="S6" s="83" t="s">
        <v>16</v>
      </c>
      <c r="T6" s="84"/>
      <c r="U6" s="18" t="s">
        <v>17</v>
      </c>
      <c r="V6" s="18" t="s">
        <v>33</v>
      </c>
      <c r="W6" s="83" t="s">
        <v>34</v>
      </c>
      <c r="X6" s="85"/>
      <c r="Y6" s="84"/>
      <c r="Z6" s="26" t="s">
        <v>5</v>
      </c>
      <c r="AA6" s="19"/>
      <c r="AB6" s="83" t="s">
        <v>16</v>
      </c>
      <c r="AC6" s="84"/>
      <c r="AD6" s="18" t="s">
        <v>17</v>
      </c>
      <c r="AE6" s="18" t="s">
        <v>33</v>
      </c>
      <c r="AF6" s="83" t="s">
        <v>34</v>
      </c>
      <c r="AG6" s="85"/>
      <c r="AH6" s="84"/>
      <c r="AI6" s="26" t="s">
        <v>5</v>
      </c>
      <c r="AJ6" s="19"/>
      <c r="AK6" s="83" t="s">
        <v>16</v>
      </c>
      <c r="AL6" s="84"/>
      <c r="AM6" s="18" t="s">
        <v>17</v>
      </c>
      <c r="AN6" s="18" t="s">
        <v>33</v>
      </c>
      <c r="AO6" s="83" t="s">
        <v>34</v>
      </c>
      <c r="AP6" s="85"/>
      <c r="AQ6" s="84"/>
      <c r="AR6" s="26" t="s">
        <v>5</v>
      </c>
      <c r="AS6" s="19"/>
      <c r="AT6" s="83" t="s">
        <v>16</v>
      </c>
      <c r="AU6" s="84"/>
      <c r="AV6" s="6" t="s">
        <v>17</v>
      </c>
      <c r="AW6" s="6" t="s">
        <v>33</v>
      </c>
      <c r="AX6" s="83" t="s">
        <v>34</v>
      </c>
      <c r="AY6" s="85"/>
      <c r="AZ6" s="84"/>
      <c r="BA6" s="26" t="s">
        <v>5</v>
      </c>
      <c r="BB6" s="2"/>
      <c r="BC6" s="83" t="s">
        <v>16</v>
      </c>
      <c r="BD6" s="84"/>
      <c r="BE6" s="18" t="s">
        <v>17</v>
      </c>
      <c r="BF6" s="18" t="s">
        <v>33</v>
      </c>
      <c r="BG6" s="83" t="s">
        <v>34</v>
      </c>
      <c r="BH6" s="85"/>
      <c r="BI6" s="84"/>
      <c r="BJ6" s="26" t="s">
        <v>5</v>
      </c>
      <c r="BK6" s="19"/>
      <c r="BL6" s="83" t="s">
        <v>16</v>
      </c>
      <c r="BM6" s="84"/>
      <c r="BN6" s="6" t="s">
        <v>17</v>
      </c>
      <c r="BO6" s="6" t="s">
        <v>33</v>
      </c>
      <c r="BP6" s="83" t="s">
        <v>34</v>
      </c>
      <c r="BQ6" s="85"/>
      <c r="BR6" s="84"/>
      <c r="BS6" s="26" t="s">
        <v>5</v>
      </c>
      <c r="BT6" s="2"/>
      <c r="BU6" s="83" t="s">
        <v>16</v>
      </c>
      <c r="BV6" s="84"/>
      <c r="BW6" s="18" t="s">
        <v>17</v>
      </c>
      <c r="BX6" s="18" t="s">
        <v>33</v>
      </c>
      <c r="BY6" s="83" t="s">
        <v>34</v>
      </c>
      <c r="BZ6" s="85"/>
      <c r="CA6" s="84"/>
      <c r="CB6" s="26" t="s">
        <v>5</v>
      </c>
      <c r="CC6" s="19"/>
    </row>
    <row r="7" spans="1:81" customFormat="1">
      <c r="A7" s="54">
        <f>((C5-INT((D5*5)/2)*0.18)-0.2)*2</f>
        <v>4600.2800000000007</v>
      </c>
      <c r="B7" s="54">
        <f>((C5-INT((D5*5)/2)*0.18)+0.2)*2</f>
        <v>4601.08</v>
      </c>
      <c r="C7" s="10" t="s">
        <v>9</v>
      </c>
      <c r="D7" s="10" t="s">
        <v>9</v>
      </c>
      <c r="E7" s="87" t="s">
        <v>35</v>
      </c>
      <c r="F7" s="88"/>
      <c r="G7" s="89"/>
      <c r="H7" s="75"/>
      <c r="I7" s="55" t="s">
        <v>36</v>
      </c>
      <c r="J7" s="54">
        <f>((L5-INT((M5*5)/2)*0.18)-0.2)*2</f>
        <v>4695.2800000000007</v>
      </c>
      <c r="K7" s="54">
        <f>((L5-INT((M5*5)/2)*0.18)+0.2)*2</f>
        <v>4696.08</v>
      </c>
      <c r="L7" s="10" t="s">
        <v>9</v>
      </c>
      <c r="M7" s="10" t="s">
        <v>9</v>
      </c>
      <c r="N7" s="87" t="s">
        <v>35</v>
      </c>
      <c r="O7" s="88"/>
      <c r="P7" s="89"/>
      <c r="Q7" s="75"/>
      <c r="R7" s="55" t="s">
        <v>36</v>
      </c>
      <c r="S7" s="54">
        <f>((U5+INT((V5*5)/2)*0.18)-0.2)*2</f>
        <v>4798.92</v>
      </c>
      <c r="T7" s="54">
        <f>((U5+INT((V5*5)/2)*0.18)+0.2)*2</f>
        <v>4799.7199999999993</v>
      </c>
      <c r="U7" s="10" t="s">
        <v>9</v>
      </c>
      <c r="V7" s="10" t="s">
        <v>9</v>
      </c>
      <c r="W7" s="87" t="s">
        <v>35</v>
      </c>
      <c r="X7" s="88"/>
      <c r="Y7" s="89"/>
      <c r="Z7" s="75"/>
      <c r="AA7" s="55" t="s">
        <v>36</v>
      </c>
      <c r="AB7" s="54">
        <f>(AD5-AE5/2)*2</f>
        <v>4600</v>
      </c>
      <c r="AC7" s="54">
        <f>(AD5+AE5/2)*2</f>
        <v>4610</v>
      </c>
      <c r="AD7" s="10" t="s">
        <v>9</v>
      </c>
      <c r="AE7" s="10" t="s">
        <v>9</v>
      </c>
      <c r="AF7" s="87" t="s">
        <v>35</v>
      </c>
      <c r="AG7" s="88"/>
      <c r="AH7" s="89"/>
      <c r="AI7" s="75"/>
      <c r="AJ7" s="55" t="s">
        <v>36</v>
      </c>
      <c r="AK7" s="54">
        <f>(AM5-AN5/2)*2</f>
        <v>4790</v>
      </c>
      <c r="AL7" s="54">
        <f>(AM5+AN5/2)*2</f>
        <v>4800</v>
      </c>
      <c r="AM7" s="10" t="s">
        <v>9</v>
      </c>
      <c r="AN7" s="10" t="s">
        <v>9</v>
      </c>
      <c r="AO7" s="87" t="s">
        <v>35</v>
      </c>
      <c r="AP7" s="88"/>
      <c r="AQ7" s="89"/>
      <c r="AR7" s="75"/>
      <c r="AS7" s="55" t="s">
        <v>36</v>
      </c>
      <c r="AT7" s="54">
        <f>((AV5-(INT((AW5*5)/2)-0.5)*0.18)-0.2)*2</f>
        <v>4601.7800000000007</v>
      </c>
      <c r="AU7" s="54">
        <f>((AV5-(INT((AW5*5)/2)-0.5)*0.18)+0.2)*2</f>
        <v>4602.58</v>
      </c>
      <c r="AV7" s="10" t="s">
        <v>9</v>
      </c>
      <c r="AW7" s="10" t="s">
        <v>9</v>
      </c>
      <c r="AX7" s="87" t="s">
        <v>35</v>
      </c>
      <c r="AY7" s="88"/>
      <c r="AZ7" s="89"/>
      <c r="BA7" s="75"/>
      <c r="BB7" s="55" t="s">
        <v>36</v>
      </c>
      <c r="BC7" s="54">
        <f>((BE5+(INT((BF5*5)/2)-0.5)*0.18)-0.2)*2</f>
        <v>4797.42</v>
      </c>
      <c r="BD7" s="54">
        <f>((BE5+(INT((BF5*5)/2)-0.5)*0.18)+0.2)*2</f>
        <v>4798.2199999999993</v>
      </c>
      <c r="BE7" s="10" t="s">
        <v>9</v>
      </c>
      <c r="BF7" s="10" t="s">
        <v>9</v>
      </c>
      <c r="BG7" s="87" t="s">
        <v>35</v>
      </c>
      <c r="BH7" s="88"/>
      <c r="BI7" s="89"/>
      <c r="BJ7" s="75"/>
      <c r="BK7" s="55" t="s">
        <v>36</v>
      </c>
      <c r="BL7" s="54">
        <f>(BN5-BO5/2)*2</f>
        <v>4600</v>
      </c>
      <c r="BM7" s="54">
        <f>((BN5+BO5/2)*2)</f>
        <v>4640</v>
      </c>
      <c r="BN7" s="10" t="s">
        <v>9</v>
      </c>
      <c r="BO7" s="10" t="s">
        <v>9</v>
      </c>
      <c r="BP7" s="87" t="s">
        <v>35</v>
      </c>
      <c r="BQ7" s="88"/>
      <c r="BR7" s="89"/>
      <c r="BS7" s="75"/>
      <c r="BT7" s="55" t="s">
        <v>36</v>
      </c>
      <c r="BU7" s="54">
        <f>(BW5-BX5/2)*2</f>
        <v>4760</v>
      </c>
      <c r="BV7" s="54">
        <f>((BW5+BX5/2)*2)</f>
        <v>4800</v>
      </c>
      <c r="BW7" s="10" t="s">
        <v>9</v>
      </c>
      <c r="BX7" s="10" t="s">
        <v>9</v>
      </c>
      <c r="BY7" s="87" t="s">
        <v>35</v>
      </c>
      <c r="BZ7" s="88"/>
      <c r="CA7" s="89"/>
      <c r="CB7" s="75"/>
      <c r="CC7" s="55" t="s">
        <v>36</v>
      </c>
    </row>
    <row r="8" spans="1:81" customFormat="1">
      <c r="A8" s="54">
        <f>((C5-INT((D5*5)/2)*0.18)-0.2)*3</f>
        <v>6900.420000000001</v>
      </c>
      <c r="B8" s="54">
        <f>((C5-INT((D5*5)/2)*0.18)+0.2)*3</f>
        <v>6901.62</v>
      </c>
      <c r="C8" s="10" t="s">
        <v>9</v>
      </c>
      <c r="D8" s="10" t="s">
        <v>9</v>
      </c>
      <c r="E8" s="87" t="s">
        <v>35</v>
      </c>
      <c r="F8" s="88"/>
      <c r="G8" s="89"/>
      <c r="H8" s="75"/>
      <c r="I8" s="55" t="s">
        <v>37</v>
      </c>
      <c r="J8" s="54">
        <f>((L5-INT((M5*5)/2)*0.18)-0.2)*3</f>
        <v>7042.920000000001</v>
      </c>
      <c r="K8" s="54">
        <f>((L5-INT((M5*5)/2)*0.18)+0.2)*3</f>
        <v>7044.12</v>
      </c>
      <c r="L8" s="10" t="s">
        <v>9</v>
      </c>
      <c r="M8" s="10" t="s">
        <v>9</v>
      </c>
      <c r="N8" s="87" t="s">
        <v>35</v>
      </c>
      <c r="O8" s="88"/>
      <c r="P8" s="89"/>
      <c r="Q8" s="75"/>
      <c r="R8" s="55" t="s">
        <v>37</v>
      </c>
      <c r="S8" s="54">
        <f>((U5+INT((V5*5)/2)*0.18)-0.2)*3</f>
        <v>7198.38</v>
      </c>
      <c r="T8" s="54">
        <f>((U5+INT((V5*5)/2)*0.18)+0.2)*3</f>
        <v>7199.579999999999</v>
      </c>
      <c r="U8" s="10" t="s">
        <v>9</v>
      </c>
      <c r="V8" s="10" t="s">
        <v>9</v>
      </c>
      <c r="W8" s="87" t="s">
        <v>35</v>
      </c>
      <c r="X8" s="88"/>
      <c r="Y8" s="89"/>
      <c r="Z8" s="75"/>
      <c r="AA8" s="55" t="s">
        <v>37</v>
      </c>
      <c r="AB8" s="54">
        <f>(AD5-AE5/2)*3</f>
        <v>6900</v>
      </c>
      <c r="AC8" s="54">
        <f>(AD5+AE5/2)*3</f>
        <v>6915</v>
      </c>
      <c r="AD8" s="10" t="s">
        <v>9</v>
      </c>
      <c r="AE8" s="10" t="s">
        <v>9</v>
      </c>
      <c r="AF8" s="87" t="s">
        <v>35</v>
      </c>
      <c r="AG8" s="88"/>
      <c r="AH8" s="89"/>
      <c r="AI8" s="75"/>
      <c r="AJ8" s="55" t="s">
        <v>37</v>
      </c>
      <c r="AK8" s="54">
        <f>(AM5-AN5/2)*3</f>
        <v>7185</v>
      </c>
      <c r="AL8" s="54">
        <f>(AM5+AN5/2)*3</f>
        <v>7200</v>
      </c>
      <c r="AM8" s="10" t="s">
        <v>9</v>
      </c>
      <c r="AN8" s="10" t="s">
        <v>9</v>
      </c>
      <c r="AO8" s="87" t="s">
        <v>35</v>
      </c>
      <c r="AP8" s="88"/>
      <c r="AQ8" s="89"/>
      <c r="AR8" s="75"/>
      <c r="AS8" s="55" t="s">
        <v>37</v>
      </c>
      <c r="AT8" s="54">
        <f>((AV5-(INT((AW5*5)/2)-0.5)*0.18)-0.2)*3</f>
        <v>6902.670000000001</v>
      </c>
      <c r="AU8" s="54">
        <f>((AV5-(INT((AW5*5)/2)-0.5)*0.18)+0.2)*3</f>
        <v>6903.87</v>
      </c>
      <c r="AV8" s="10" t="s">
        <v>9</v>
      </c>
      <c r="AW8" s="10" t="s">
        <v>9</v>
      </c>
      <c r="AX8" s="87" t="s">
        <v>35</v>
      </c>
      <c r="AY8" s="88"/>
      <c r="AZ8" s="89"/>
      <c r="BA8" s="75"/>
      <c r="BB8" s="55" t="s">
        <v>37</v>
      </c>
      <c r="BC8" s="54">
        <f>((BE5+(INT((BF5*5)/2)-0.5)*0.18)-0.2)*3</f>
        <v>7196.13</v>
      </c>
      <c r="BD8" s="54">
        <f>((BE5+(INT((BF5*5)/2)-0.5)*0.18)+0.2)*3</f>
        <v>7197.329999999999</v>
      </c>
      <c r="BE8" s="10" t="s">
        <v>9</v>
      </c>
      <c r="BF8" s="10" t="s">
        <v>9</v>
      </c>
      <c r="BG8" s="87" t="s">
        <v>35</v>
      </c>
      <c r="BH8" s="88"/>
      <c r="BI8" s="89"/>
      <c r="BJ8" s="75"/>
      <c r="BK8" s="55" t="s">
        <v>37</v>
      </c>
      <c r="BL8" s="54">
        <f>(BN5-BO5/2)*3</f>
        <v>6900</v>
      </c>
      <c r="BM8" s="54">
        <f>(BN5+BO5/2)*3</f>
        <v>6960</v>
      </c>
      <c r="BN8" s="10" t="s">
        <v>9</v>
      </c>
      <c r="BO8" s="10" t="s">
        <v>9</v>
      </c>
      <c r="BP8" s="87" t="s">
        <v>35</v>
      </c>
      <c r="BQ8" s="88"/>
      <c r="BR8" s="89"/>
      <c r="BS8" s="75"/>
      <c r="BT8" s="55" t="s">
        <v>37</v>
      </c>
      <c r="BU8" s="54">
        <f>(BW5-BX5/2)*3</f>
        <v>7140</v>
      </c>
      <c r="BV8" s="54">
        <f>(BW5+BX5/2)*3</f>
        <v>7200</v>
      </c>
      <c r="BW8" s="10" t="s">
        <v>9</v>
      </c>
      <c r="BX8" s="10" t="s">
        <v>9</v>
      </c>
      <c r="BY8" s="87" t="s">
        <v>35</v>
      </c>
      <c r="BZ8" s="88"/>
      <c r="CA8" s="89"/>
      <c r="CB8" s="75"/>
      <c r="CC8" s="55" t="s">
        <v>37</v>
      </c>
    </row>
    <row r="9" spans="1:81" customFormat="1">
      <c r="A9" s="54">
        <f>((C5-INT((D5*5)/2)*0.18)-0.2)*4</f>
        <v>9200.5600000000013</v>
      </c>
      <c r="B9" s="54">
        <f>((C5-INT((D5*5)/2)*0.18)+0.2)*4</f>
        <v>9202.16</v>
      </c>
      <c r="C9" s="10" t="s">
        <v>9</v>
      </c>
      <c r="D9" s="10" t="s">
        <v>9</v>
      </c>
      <c r="E9" s="90" t="s">
        <v>35</v>
      </c>
      <c r="F9" s="90"/>
      <c r="G9" s="90"/>
      <c r="H9" s="75"/>
      <c r="I9" s="55" t="s">
        <v>38</v>
      </c>
      <c r="J9" s="54">
        <f>((L5-INT((M5*5)/2)*0.18)-0.2)*4</f>
        <v>9390.5600000000013</v>
      </c>
      <c r="K9" s="54">
        <f>((L5-INT((M5*5)/2)*0.18)+0.2)*4</f>
        <v>9392.16</v>
      </c>
      <c r="L9" s="10" t="s">
        <v>9</v>
      </c>
      <c r="M9" s="10" t="s">
        <v>9</v>
      </c>
      <c r="N9" s="90" t="s">
        <v>35</v>
      </c>
      <c r="O9" s="90"/>
      <c r="P9" s="90"/>
      <c r="Q9" s="75"/>
      <c r="R9" s="55" t="s">
        <v>38</v>
      </c>
      <c r="S9" s="54">
        <f>((U5+INT((V5*5)/2)*0.18)-0.2)*4</f>
        <v>9597.84</v>
      </c>
      <c r="T9" s="54">
        <f>((U5+INT((V5*5)/2)*0.18)+0.2)*4</f>
        <v>9599.4399999999987</v>
      </c>
      <c r="U9" s="10" t="s">
        <v>9</v>
      </c>
      <c r="V9" s="10" t="s">
        <v>9</v>
      </c>
      <c r="W9" s="90" t="s">
        <v>35</v>
      </c>
      <c r="X9" s="90"/>
      <c r="Y9" s="90"/>
      <c r="Z9" s="75"/>
      <c r="AA9" s="55" t="s">
        <v>38</v>
      </c>
      <c r="AB9" s="54">
        <f>(AD5-AE5/2)*4</f>
        <v>9200</v>
      </c>
      <c r="AC9" s="54">
        <f>(AD5+AE5/2)*4</f>
        <v>9220</v>
      </c>
      <c r="AD9" s="10" t="s">
        <v>9</v>
      </c>
      <c r="AE9" s="10" t="s">
        <v>9</v>
      </c>
      <c r="AF9" s="90" t="s">
        <v>35</v>
      </c>
      <c r="AG9" s="90"/>
      <c r="AH9" s="90"/>
      <c r="AI9" s="75"/>
      <c r="AJ9" s="55" t="s">
        <v>38</v>
      </c>
      <c r="AK9" s="54">
        <f>(AM5-AN5/2)*4</f>
        <v>9580</v>
      </c>
      <c r="AL9" s="54">
        <f>(AM5+AN5/2)*4</f>
        <v>9600</v>
      </c>
      <c r="AM9" s="10" t="s">
        <v>9</v>
      </c>
      <c r="AN9" s="10" t="s">
        <v>9</v>
      </c>
      <c r="AO9" s="90" t="s">
        <v>35</v>
      </c>
      <c r="AP9" s="90"/>
      <c r="AQ9" s="90"/>
      <c r="AR9" s="75"/>
      <c r="AS9" s="55" t="s">
        <v>38</v>
      </c>
      <c r="AT9" s="54">
        <f>((AV5-(INT((AW5*5)/2)-0.5)*0.18)-0.2)*4</f>
        <v>9203.5600000000013</v>
      </c>
      <c r="AU9" s="54">
        <f>((AV5-(INT((AW5*5)/2)-0.5)*0.18)+0.2)*4</f>
        <v>9205.16</v>
      </c>
      <c r="AV9" s="10" t="s">
        <v>9</v>
      </c>
      <c r="AW9" s="10" t="s">
        <v>9</v>
      </c>
      <c r="AX9" s="90" t="s">
        <v>35</v>
      </c>
      <c r="AY9" s="90"/>
      <c r="AZ9" s="90"/>
      <c r="BA9" s="75"/>
      <c r="BB9" s="55" t="s">
        <v>38</v>
      </c>
      <c r="BC9" s="54">
        <f>((BE5+(INT((BF5*5)/2)-0.5)*0.18)-0.2)*4</f>
        <v>9594.84</v>
      </c>
      <c r="BD9" s="54">
        <f>((BE5+(INT((BF5*5)/2)-0.5)*0.18)+0.2)*4</f>
        <v>9596.4399999999987</v>
      </c>
      <c r="BE9" s="10" t="s">
        <v>9</v>
      </c>
      <c r="BF9" s="10" t="s">
        <v>9</v>
      </c>
      <c r="BG9" s="87" t="s">
        <v>35</v>
      </c>
      <c r="BH9" s="88"/>
      <c r="BI9" s="89"/>
      <c r="BJ9" s="75"/>
      <c r="BK9" s="55" t="s">
        <v>38</v>
      </c>
      <c r="BL9" s="54">
        <f>(BN5-BO5/2)*4</f>
        <v>9200</v>
      </c>
      <c r="BM9" s="54">
        <f>(BN5+BO5/2)*4</f>
        <v>9280</v>
      </c>
      <c r="BN9" s="10" t="s">
        <v>9</v>
      </c>
      <c r="BO9" s="10" t="s">
        <v>9</v>
      </c>
      <c r="BP9" s="90" t="s">
        <v>35</v>
      </c>
      <c r="BQ9" s="90"/>
      <c r="BR9" s="90"/>
      <c r="BS9" s="75"/>
      <c r="BT9" s="55" t="s">
        <v>38</v>
      </c>
      <c r="BU9" s="54">
        <f>(BW5-BX5/2)*4</f>
        <v>9520</v>
      </c>
      <c r="BV9" s="54">
        <f>(BW5+BX5/2)*4</f>
        <v>9600</v>
      </c>
      <c r="BW9" s="10" t="s">
        <v>9</v>
      </c>
      <c r="BX9" s="10" t="s">
        <v>9</v>
      </c>
      <c r="BY9" s="90" t="s">
        <v>35</v>
      </c>
      <c r="BZ9" s="90"/>
      <c r="CA9" s="90"/>
      <c r="CB9" s="75"/>
      <c r="CC9" s="55" t="s">
        <v>38</v>
      </c>
    </row>
    <row r="10" spans="1:81" customFormat="1">
      <c r="A10" s="54">
        <f>((C5-INT((D5*5)/2)*0.18)-0.2)*5</f>
        <v>11500.7</v>
      </c>
      <c r="B10" s="54">
        <f>((C5-INT((D5*5)/2)*0.18)+0.2)*5</f>
        <v>11502.7</v>
      </c>
      <c r="C10" s="10" t="s">
        <v>9</v>
      </c>
      <c r="D10" s="10" t="s">
        <v>9</v>
      </c>
      <c r="E10" s="90" t="s">
        <v>35</v>
      </c>
      <c r="F10" s="90"/>
      <c r="G10" s="90"/>
      <c r="H10" s="75"/>
      <c r="I10" s="55" t="s">
        <v>51</v>
      </c>
      <c r="J10" s="54">
        <f>((L5-INT((M5*5)/2)*0.18)-0.2)*5</f>
        <v>11738.2</v>
      </c>
      <c r="K10" s="54">
        <f>((L5-INT((M5*5)/2)*0.18)+0.2)*5</f>
        <v>11740.2</v>
      </c>
      <c r="L10" s="10" t="s">
        <v>9</v>
      </c>
      <c r="M10" s="10" t="s">
        <v>9</v>
      </c>
      <c r="N10" s="90" t="s">
        <v>35</v>
      </c>
      <c r="O10" s="90"/>
      <c r="P10" s="90"/>
      <c r="Q10" s="75"/>
      <c r="R10" s="55" t="s">
        <v>40</v>
      </c>
      <c r="S10" s="54">
        <f>((U5+INT((V5*5)/2)*0.18)-0.2)*5</f>
        <v>11997.3</v>
      </c>
      <c r="T10" s="54">
        <f>((U5+INT((V5*5)/2)*0.18)+0.2)*5</f>
        <v>11999.3</v>
      </c>
      <c r="U10" s="10" t="s">
        <v>9</v>
      </c>
      <c r="V10" s="10" t="s">
        <v>9</v>
      </c>
      <c r="W10" s="90" t="s">
        <v>35</v>
      </c>
      <c r="X10" s="90"/>
      <c r="Y10" s="90"/>
      <c r="Z10" s="75"/>
      <c r="AA10" s="55" t="s">
        <v>40</v>
      </c>
      <c r="AB10" s="54">
        <f>(AD5-AE5/2)*5</f>
        <v>11500</v>
      </c>
      <c r="AC10" s="54">
        <f>(AD5+AE5/2)*5</f>
        <v>11525</v>
      </c>
      <c r="AD10" s="10" t="s">
        <v>9</v>
      </c>
      <c r="AE10" s="10" t="s">
        <v>9</v>
      </c>
      <c r="AF10" s="90" t="s">
        <v>35</v>
      </c>
      <c r="AG10" s="90"/>
      <c r="AH10" s="90"/>
      <c r="AI10" s="75"/>
      <c r="AJ10" s="55" t="s">
        <v>40</v>
      </c>
      <c r="AK10" s="54">
        <f>(AM5-AN5/2)*5</f>
        <v>11975</v>
      </c>
      <c r="AL10" s="54">
        <f>(AM5+AN5/2)*5</f>
        <v>12000</v>
      </c>
      <c r="AM10" s="10" t="s">
        <v>9</v>
      </c>
      <c r="AN10" s="10" t="s">
        <v>9</v>
      </c>
      <c r="AO10" s="90" t="s">
        <v>35</v>
      </c>
      <c r="AP10" s="90"/>
      <c r="AQ10" s="90"/>
      <c r="AR10" s="75"/>
      <c r="AS10" s="55" t="s">
        <v>40</v>
      </c>
      <c r="AT10" s="54">
        <f>((AV5-(INT((AW5*5)/2)-0.5)*0.18)-0.2)*5</f>
        <v>11504.45</v>
      </c>
      <c r="AU10" s="54">
        <f>((AV5-(INT((AW5*5)/2)-0.5)*0.18)+0.2)*5</f>
        <v>11506.45</v>
      </c>
      <c r="AV10" s="10" t="s">
        <v>9</v>
      </c>
      <c r="AW10" s="10" t="s">
        <v>9</v>
      </c>
      <c r="AX10" s="90" t="s">
        <v>35</v>
      </c>
      <c r="AY10" s="90"/>
      <c r="AZ10" s="90"/>
      <c r="BA10" s="75"/>
      <c r="BB10" s="55" t="s">
        <v>40</v>
      </c>
      <c r="BC10" s="54">
        <f>((BE5+(INT((BF5*5)/2)-0.5)*0.18)-0.2)*5</f>
        <v>11993.55</v>
      </c>
      <c r="BD10" s="54">
        <f>((BE5+(INT((BF5*5)/2)-0.5)*0.18)+0.2)*5</f>
        <v>11995.55</v>
      </c>
      <c r="BE10" s="10" t="s">
        <v>9</v>
      </c>
      <c r="BF10" s="10" t="s">
        <v>9</v>
      </c>
      <c r="BG10" s="87" t="s">
        <v>35</v>
      </c>
      <c r="BH10" s="88"/>
      <c r="BI10" s="89"/>
      <c r="BJ10" s="75"/>
      <c r="BK10" s="55" t="s">
        <v>40</v>
      </c>
      <c r="BL10" s="54">
        <f>(BN5-BO5/2)*5</f>
        <v>11500</v>
      </c>
      <c r="BM10" s="54">
        <f>(BN5+BO5/2)*5</f>
        <v>11600</v>
      </c>
      <c r="BN10" s="10" t="s">
        <v>9</v>
      </c>
      <c r="BO10" s="10" t="s">
        <v>9</v>
      </c>
      <c r="BP10" s="90" t="s">
        <v>35</v>
      </c>
      <c r="BQ10" s="90"/>
      <c r="BR10" s="90"/>
      <c r="BS10" s="75"/>
      <c r="BT10" s="55" t="s">
        <v>40</v>
      </c>
      <c r="BU10" s="54">
        <f>(BW5-BX5/2)*5</f>
        <v>11900</v>
      </c>
      <c r="BV10" s="54">
        <f>(BW5+BX5/2)*5</f>
        <v>12000</v>
      </c>
      <c r="BW10" s="10" t="s">
        <v>9</v>
      </c>
      <c r="BX10" s="10" t="s">
        <v>9</v>
      </c>
      <c r="BY10" s="90" t="s">
        <v>35</v>
      </c>
      <c r="BZ10" s="90"/>
      <c r="CA10" s="90"/>
      <c r="CB10" s="75"/>
      <c r="CC10" s="55" t="s">
        <v>40</v>
      </c>
    </row>
    <row r="48" spans="2:8">
      <c r="B48" s="15" t="s">
        <v>161</v>
      </c>
      <c r="E48" s="15" t="s">
        <v>162</v>
      </c>
      <c r="H48" s="15" t="s">
        <v>163</v>
      </c>
    </row>
    <row r="49" spans="1:8">
      <c r="A49" s="15">
        <v>6900420000</v>
      </c>
      <c r="B49" s="74">
        <v>-38.498348239999999</v>
      </c>
      <c r="D49" s="15">
        <v>4695280000</v>
      </c>
      <c r="E49" s="74">
        <v>-35.381420140000003</v>
      </c>
      <c r="G49" s="15">
        <v>4798920000</v>
      </c>
      <c r="H49" s="74">
        <v>-34.748111719999997</v>
      </c>
    </row>
    <row r="50" spans="1:8">
      <c r="A50" s="15">
        <v>6900422404.8096189</v>
      </c>
      <c r="B50" s="74">
        <v>-39.28399658</v>
      </c>
      <c r="D50" s="15">
        <v>4695281603.2064133</v>
      </c>
      <c r="E50" s="74">
        <v>-35.787540440000001</v>
      </c>
      <c r="G50" s="15">
        <v>4798921603.2064133</v>
      </c>
      <c r="H50" s="74">
        <v>-35.07930374</v>
      </c>
    </row>
    <row r="51" spans="1:8">
      <c r="A51" s="15">
        <v>6900424809.6192379</v>
      </c>
      <c r="B51" s="74">
        <v>-37.668422700000001</v>
      </c>
      <c r="D51" s="15">
        <v>4695283206.4128265</v>
      </c>
      <c r="E51" s="74">
        <v>-34.693698879999999</v>
      </c>
      <c r="G51" s="15">
        <v>4798923206.4128265</v>
      </c>
      <c r="H51" s="74">
        <v>-34.051174160000002</v>
      </c>
    </row>
    <row r="52" spans="1:8">
      <c r="A52" s="15">
        <v>6900427214.4288568</v>
      </c>
      <c r="B52" s="74">
        <v>-38.011196140000003</v>
      </c>
      <c r="D52" s="15">
        <v>4695284809.6192398</v>
      </c>
      <c r="E52" s="74">
        <v>-34.831230159999997</v>
      </c>
      <c r="G52" s="15">
        <v>4798924809.6192398</v>
      </c>
      <c r="H52" s="74">
        <v>-34.197624210000001</v>
      </c>
    </row>
    <row r="53" spans="1:8">
      <c r="A53" s="15">
        <v>6900429619.2384758</v>
      </c>
      <c r="B53" s="74">
        <v>-38.078418730000003</v>
      </c>
      <c r="D53" s="15">
        <v>4695286412.8256531</v>
      </c>
      <c r="E53" s="74">
        <v>-35.351985929999998</v>
      </c>
      <c r="G53" s="15">
        <v>4798926412.8256531</v>
      </c>
      <c r="H53" s="74">
        <v>-34.521842960000001</v>
      </c>
    </row>
    <row r="54" spans="1:8">
      <c r="A54" s="15">
        <v>6900432024.0480947</v>
      </c>
      <c r="B54" s="74">
        <v>-38.480796810000001</v>
      </c>
      <c r="D54" s="15">
        <v>4695288016.0320663</v>
      </c>
      <c r="E54" s="74">
        <v>-35.403564449999998</v>
      </c>
      <c r="G54" s="15">
        <v>4798928016.0320663</v>
      </c>
      <c r="H54" s="74">
        <v>-34.798397059999999</v>
      </c>
    </row>
    <row r="55" spans="1:8">
      <c r="A55" s="15">
        <v>6900434428.8577137</v>
      </c>
      <c r="B55" s="74">
        <v>-38.539024349999998</v>
      </c>
      <c r="D55" s="15">
        <v>4695289619.2384796</v>
      </c>
      <c r="E55" s="74">
        <v>-35.24616623</v>
      </c>
      <c r="G55" s="15">
        <v>4798929619.2384796</v>
      </c>
      <c r="H55" s="74">
        <v>-34.657447810000001</v>
      </c>
    </row>
    <row r="56" spans="1:8">
      <c r="A56" s="15">
        <v>6900436833.6673326</v>
      </c>
      <c r="B56" s="74">
        <v>-39.132026670000002</v>
      </c>
      <c r="D56" s="15">
        <v>4695291222.4448929</v>
      </c>
      <c r="E56" s="74">
        <v>-35.604858399999998</v>
      </c>
      <c r="G56" s="15">
        <v>4798931222.4448929</v>
      </c>
      <c r="H56" s="74">
        <v>-34.86239243</v>
      </c>
    </row>
    <row r="57" spans="1:8">
      <c r="A57" s="15">
        <v>6900439238.4769516</v>
      </c>
      <c r="B57" s="74">
        <v>-38.310878750000001</v>
      </c>
      <c r="D57" s="15">
        <v>4695292825.6513062</v>
      </c>
      <c r="E57" s="74">
        <v>-35.33320999</v>
      </c>
      <c r="G57" s="15">
        <v>4798932825.6513062</v>
      </c>
      <c r="H57" s="74">
        <v>-34.4249115</v>
      </c>
    </row>
    <row r="58" spans="1:8">
      <c r="A58" s="15">
        <v>6900441643.2865705</v>
      </c>
      <c r="B58" s="74">
        <v>-38.114627839999997</v>
      </c>
      <c r="D58" s="15">
        <v>4695294428.8577194</v>
      </c>
      <c r="E58" s="74">
        <v>-35.097106930000002</v>
      </c>
      <c r="G58" s="15">
        <v>4798934428.8577194</v>
      </c>
      <c r="H58" s="74">
        <v>-34.290443420000003</v>
      </c>
    </row>
    <row r="59" spans="1:8">
      <c r="A59" s="15">
        <v>6900444048.0961895</v>
      </c>
      <c r="B59" s="74">
        <v>-38.57769012</v>
      </c>
      <c r="D59" s="15">
        <v>4695296032.0641327</v>
      </c>
      <c r="E59" s="74">
        <v>-35.512073520000001</v>
      </c>
      <c r="G59" s="15">
        <v>4798936032.0641327</v>
      </c>
      <c r="H59" s="74">
        <v>-34.909339899999999</v>
      </c>
    </row>
    <row r="60" spans="1:8">
      <c r="A60" s="15">
        <v>6900446452.9058084</v>
      </c>
      <c r="B60" s="74">
        <v>-38.43250656</v>
      </c>
      <c r="D60" s="15">
        <v>4695297635.270546</v>
      </c>
      <c r="E60" s="74">
        <v>-35.259807590000001</v>
      </c>
      <c r="G60" s="15">
        <v>4798937635.270546</v>
      </c>
      <c r="H60" s="74">
        <v>-34.515022279999997</v>
      </c>
    </row>
    <row r="61" spans="1:8">
      <c r="A61" s="15">
        <v>6900448857.7154274</v>
      </c>
      <c r="B61" s="74">
        <v>-37.138229369999998</v>
      </c>
      <c r="D61" s="15">
        <v>4695299238.4769592</v>
      </c>
      <c r="E61" s="74">
        <v>-34.498336790000003</v>
      </c>
      <c r="G61" s="15">
        <v>4798939238.4769592</v>
      </c>
      <c r="H61" s="74">
        <v>-33.802844999999998</v>
      </c>
    </row>
    <row r="62" spans="1:8">
      <c r="A62" s="15">
        <v>6900451262.5250463</v>
      </c>
      <c r="B62" s="74">
        <v>-38.636745449999999</v>
      </c>
      <c r="D62" s="15">
        <v>4695300841.6833725</v>
      </c>
      <c r="E62" s="74">
        <v>-34.98765564</v>
      </c>
      <c r="G62" s="15">
        <v>4798940841.6833725</v>
      </c>
      <c r="H62" s="74">
        <v>-34.157569889999998</v>
      </c>
    </row>
    <row r="63" spans="1:8">
      <c r="A63" s="15">
        <v>6900453667.3346653</v>
      </c>
      <c r="B63" s="74">
        <v>-39.38946533</v>
      </c>
      <c r="D63" s="15">
        <v>4695302444.8897858</v>
      </c>
      <c r="E63" s="74">
        <v>-35.657688139999998</v>
      </c>
      <c r="G63" s="15">
        <v>4798942444.8897858</v>
      </c>
      <c r="H63" s="74">
        <v>-34.911746979999997</v>
      </c>
    </row>
    <row r="64" spans="1:8">
      <c r="A64" s="15">
        <v>6900456072.1442842</v>
      </c>
      <c r="B64" s="74">
        <v>-39.24679184</v>
      </c>
      <c r="D64" s="15">
        <v>4695304048.096199</v>
      </c>
      <c r="E64" s="74">
        <v>-35.619098659999999</v>
      </c>
      <c r="G64" s="15">
        <v>4798944048.096199</v>
      </c>
      <c r="H64" s="74">
        <v>-35.059192660000001</v>
      </c>
    </row>
    <row r="65" spans="1:8">
      <c r="A65" s="15">
        <v>6900458476.9539032</v>
      </c>
      <c r="B65" s="74">
        <v>-36.472473139999998</v>
      </c>
      <c r="D65" s="15">
        <v>4695305651.3026123</v>
      </c>
      <c r="E65" s="74">
        <v>-33.876914980000002</v>
      </c>
      <c r="G65" s="15">
        <v>4798945651.3026123</v>
      </c>
      <c r="H65" s="74">
        <v>-33.217136379999999</v>
      </c>
    </row>
    <row r="66" spans="1:8">
      <c r="A66" s="15">
        <v>6900460881.7635221</v>
      </c>
      <c r="B66" s="74">
        <v>-37.29880524</v>
      </c>
      <c r="D66" s="15">
        <v>4695307254.5090256</v>
      </c>
      <c r="E66" s="74">
        <v>-34.220153809999999</v>
      </c>
      <c r="G66" s="15">
        <v>4798947254.5090256</v>
      </c>
      <c r="H66" s="74">
        <v>-33.555175779999999</v>
      </c>
    </row>
    <row r="67" spans="1:8">
      <c r="A67" s="15">
        <v>6900463286.5731411</v>
      </c>
      <c r="B67" s="74">
        <v>-37.765026089999999</v>
      </c>
      <c r="D67" s="15">
        <v>4695308857.7154388</v>
      </c>
      <c r="E67" s="74">
        <v>-34.486312869999999</v>
      </c>
      <c r="G67" s="15">
        <v>4798948857.7154388</v>
      </c>
      <c r="H67" s="74">
        <v>-33.926048280000003</v>
      </c>
    </row>
    <row r="68" spans="1:8">
      <c r="A68" s="15">
        <v>6900465691.38276</v>
      </c>
      <c r="B68" s="74">
        <v>-38.579662319999997</v>
      </c>
      <c r="D68" s="15">
        <v>4695310460.9218521</v>
      </c>
      <c r="E68" s="74">
        <v>-35.140911099999997</v>
      </c>
      <c r="G68" s="15">
        <v>4798950460.9218521</v>
      </c>
      <c r="H68" s="74">
        <v>-34.421955109999999</v>
      </c>
    </row>
    <row r="69" spans="1:8">
      <c r="A69" s="15">
        <v>6900468096.192379</v>
      </c>
      <c r="B69" s="74">
        <v>-38.146751399999999</v>
      </c>
      <c r="D69" s="15">
        <v>4695312064.1282654</v>
      </c>
      <c r="E69" s="74">
        <v>-34.880775450000002</v>
      </c>
      <c r="G69" s="15">
        <v>4798952064.1282654</v>
      </c>
      <c r="H69" s="74">
        <v>-34.099567409999999</v>
      </c>
    </row>
    <row r="70" spans="1:8">
      <c r="A70" s="15">
        <v>6900470501.0019979</v>
      </c>
      <c r="B70" s="74">
        <v>-37.603534699999997</v>
      </c>
      <c r="D70" s="15">
        <v>4695313667.3346786</v>
      </c>
      <c r="E70" s="74">
        <v>-34.586704249999997</v>
      </c>
      <c r="G70" s="15">
        <v>4798953667.3346786</v>
      </c>
      <c r="H70" s="74">
        <v>-33.837818149999997</v>
      </c>
    </row>
    <row r="71" spans="1:8">
      <c r="A71" s="15">
        <v>6900472905.8116169</v>
      </c>
      <c r="B71" s="74">
        <v>-40.865058900000001</v>
      </c>
      <c r="D71" s="15">
        <v>4695315270.5410919</v>
      </c>
      <c r="E71" s="74">
        <v>-36.668418879999997</v>
      </c>
      <c r="G71" s="15">
        <v>4798955270.5410919</v>
      </c>
      <c r="H71" s="74">
        <v>-36.071411130000001</v>
      </c>
    </row>
    <row r="72" spans="1:8">
      <c r="A72" s="15">
        <v>6900475310.6212358</v>
      </c>
      <c r="B72" s="74">
        <v>-36.874271389999997</v>
      </c>
      <c r="D72" s="15">
        <v>4695316873.7475052</v>
      </c>
      <c r="E72" s="74">
        <v>-33.993335719999997</v>
      </c>
      <c r="G72" s="15">
        <v>4798956873.7475052</v>
      </c>
      <c r="H72" s="74">
        <v>-33.353603360000001</v>
      </c>
    </row>
    <row r="73" spans="1:8">
      <c r="A73" s="15">
        <v>6900477715.4308548</v>
      </c>
      <c r="B73" s="74">
        <v>-37.967014310000003</v>
      </c>
      <c r="D73" s="15">
        <v>4695318476.9539185</v>
      </c>
      <c r="E73" s="74">
        <v>-34.975437159999998</v>
      </c>
      <c r="G73" s="15">
        <v>4798958476.9539185</v>
      </c>
      <c r="H73" s="74">
        <v>-34.137260439999999</v>
      </c>
    </row>
    <row r="74" spans="1:8">
      <c r="A74" s="15">
        <v>6900480120.2404737</v>
      </c>
      <c r="B74" s="74">
        <v>-37.905227660000001</v>
      </c>
      <c r="D74" s="15">
        <v>4695320080.1603317</v>
      </c>
      <c r="E74" s="74">
        <v>-35.155212400000003</v>
      </c>
      <c r="G74" s="15">
        <v>4798960080.1603317</v>
      </c>
      <c r="H74" s="74">
        <v>-34.381088259999999</v>
      </c>
    </row>
    <row r="75" spans="1:8">
      <c r="A75" s="15">
        <v>6900482525.0500927</v>
      </c>
      <c r="B75" s="74">
        <v>-38.459609989999997</v>
      </c>
      <c r="D75" s="15">
        <v>4695321683.366745</v>
      </c>
      <c r="E75" s="74">
        <v>-35.03879929</v>
      </c>
      <c r="G75" s="15">
        <v>4798961683.366745</v>
      </c>
      <c r="H75" s="74">
        <v>-34.461540220000003</v>
      </c>
    </row>
    <row r="76" spans="1:8">
      <c r="A76" s="15">
        <v>6900484929.8597116</v>
      </c>
      <c r="B76" s="74">
        <v>-40.358146669999996</v>
      </c>
      <c r="D76" s="15">
        <v>4695323286.5731583</v>
      </c>
      <c r="E76" s="74">
        <v>-36.65138245</v>
      </c>
      <c r="G76" s="15">
        <v>4798963286.5731583</v>
      </c>
      <c r="H76" s="74">
        <v>-36.190658569999997</v>
      </c>
    </row>
    <row r="77" spans="1:8">
      <c r="A77" s="15">
        <v>6900487334.6693306</v>
      </c>
      <c r="B77" s="74">
        <v>-36.816127780000002</v>
      </c>
      <c r="D77" s="15">
        <v>4695324889.7795715</v>
      </c>
      <c r="E77" s="74">
        <v>-33.935462950000002</v>
      </c>
      <c r="G77" s="15">
        <v>4798964889.7795715</v>
      </c>
      <c r="H77" s="74">
        <v>-33.321147920000001</v>
      </c>
    </row>
    <row r="78" spans="1:8">
      <c r="A78" s="15">
        <v>6900489739.4789495</v>
      </c>
      <c r="B78" s="74">
        <v>-38.949352259999998</v>
      </c>
      <c r="D78" s="15">
        <v>4695326492.9859848</v>
      </c>
      <c r="E78" s="74">
        <v>-35.886577610000003</v>
      </c>
      <c r="G78" s="15">
        <v>4798966492.9859848</v>
      </c>
      <c r="H78" s="74">
        <v>-35.123897550000002</v>
      </c>
    </row>
    <row r="79" spans="1:8">
      <c r="A79" s="15">
        <v>6900492144.2885685</v>
      </c>
      <c r="B79" s="74">
        <v>-37.119182590000001</v>
      </c>
      <c r="D79" s="15">
        <v>4695328096.1923981</v>
      </c>
      <c r="E79" s="74">
        <v>-34.252506259999997</v>
      </c>
      <c r="G79" s="15">
        <v>4798968096.1923981</v>
      </c>
      <c r="H79" s="74">
        <v>-33.552001949999998</v>
      </c>
    </row>
    <row r="80" spans="1:8">
      <c r="A80" s="15">
        <v>6900494549.0981874</v>
      </c>
      <c r="B80" s="74">
        <v>-37.984413150000002</v>
      </c>
      <c r="D80" s="15">
        <v>4695329699.3988113</v>
      </c>
      <c r="E80" s="74">
        <v>-34.727100370000002</v>
      </c>
      <c r="G80" s="15">
        <v>4798969699.3988113</v>
      </c>
      <c r="H80" s="74">
        <v>-33.959579470000001</v>
      </c>
    </row>
    <row r="81" spans="1:8">
      <c r="A81" s="15">
        <v>6900496953.9078064</v>
      </c>
      <c r="B81" s="74">
        <v>-40.37382126</v>
      </c>
      <c r="D81" s="15">
        <v>4695331302.6052246</v>
      </c>
      <c r="E81" s="74">
        <v>-36.263584139999999</v>
      </c>
      <c r="G81" s="15">
        <v>4798971302.6052246</v>
      </c>
      <c r="H81" s="74">
        <v>-35.64458466</v>
      </c>
    </row>
    <row r="82" spans="1:8">
      <c r="A82" s="15">
        <v>6900499358.7174253</v>
      </c>
      <c r="B82" s="74">
        <v>-38.387687679999999</v>
      </c>
      <c r="D82" s="15">
        <v>4695332905.8116379</v>
      </c>
      <c r="E82" s="74">
        <v>-34.888469700000002</v>
      </c>
      <c r="G82" s="15">
        <v>4798972905.8116379</v>
      </c>
      <c r="H82" s="74">
        <v>-34.296443940000003</v>
      </c>
    </row>
    <row r="83" spans="1:8">
      <c r="A83" s="15">
        <v>6900501763.5270443</v>
      </c>
      <c r="B83" s="74">
        <v>-39.36624527</v>
      </c>
      <c r="D83" s="15">
        <v>4695334509.0180511</v>
      </c>
      <c r="E83" s="74">
        <v>-35.594463349999998</v>
      </c>
      <c r="G83" s="15">
        <v>4798974509.0180511</v>
      </c>
      <c r="H83" s="74">
        <v>-35.003555300000002</v>
      </c>
    </row>
    <row r="84" spans="1:8">
      <c r="A84" s="15">
        <v>6900504168.3366632</v>
      </c>
      <c r="B84" s="74">
        <v>-38.222835539999998</v>
      </c>
      <c r="D84" s="15">
        <v>4695336112.2244644</v>
      </c>
      <c r="E84" s="74">
        <v>-34.959640499999999</v>
      </c>
      <c r="G84" s="15">
        <v>4798976112.2244644</v>
      </c>
      <c r="H84" s="74">
        <v>-34.299919129999999</v>
      </c>
    </row>
    <row r="85" spans="1:8">
      <c r="A85" s="15">
        <v>6900506573.1462822</v>
      </c>
      <c r="B85" s="74">
        <v>-38.698570250000003</v>
      </c>
      <c r="D85" s="15">
        <v>4695337715.4308777</v>
      </c>
      <c r="E85" s="74">
        <v>-35.530567169999998</v>
      </c>
      <c r="G85" s="15">
        <v>4798977715.4308777</v>
      </c>
      <c r="H85" s="74">
        <v>-34.704483029999999</v>
      </c>
    </row>
    <row r="86" spans="1:8">
      <c r="A86" s="15">
        <v>6900508977.9559011</v>
      </c>
      <c r="B86" s="74">
        <v>-39.363338470000002</v>
      </c>
      <c r="D86" s="15">
        <v>4695339318.637291</v>
      </c>
      <c r="E86" s="74">
        <v>-35.43728256</v>
      </c>
      <c r="G86" s="15">
        <v>4798979318.637291</v>
      </c>
      <c r="H86" s="74">
        <v>-34.844333650000003</v>
      </c>
    </row>
    <row r="87" spans="1:8">
      <c r="A87" s="15">
        <v>6900511382.7655201</v>
      </c>
      <c r="B87" s="74">
        <v>-39.718441009999999</v>
      </c>
      <c r="D87" s="15">
        <v>4695340921.8437042</v>
      </c>
      <c r="E87" s="74">
        <v>-35.883968350000004</v>
      </c>
      <c r="G87" s="15">
        <v>4798980921.8437042</v>
      </c>
      <c r="H87" s="74">
        <v>-35.390460969999999</v>
      </c>
    </row>
    <row r="88" spans="1:8">
      <c r="A88" s="15">
        <v>6900513787.575139</v>
      </c>
      <c r="B88" s="74">
        <v>-36.7136116</v>
      </c>
      <c r="D88" s="15">
        <v>4695342525.0501175</v>
      </c>
      <c r="E88" s="74">
        <v>-34.134414669999998</v>
      </c>
      <c r="G88" s="15">
        <v>4798982525.0501175</v>
      </c>
      <c r="H88" s="74">
        <v>-33.402019500000002</v>
      </c>
    </row>
    <row r="89" spans="1:8">
      <c r="A89" s="15">
        <v>6900516192.384758</v>
      </c>
      <c r="B89" s="74">
        <v>-36.530029300000002</v>
      </c>
      <c r="D89" s="15">
        <v>4695344128.2565308</v>
      </c>
      <c r="E89" s="74">
        <v>-33.880653379999998</v>
      </c>
      <c r="G89" s="15">
        <v>4798984128.2565308</v>
      </c>
      <c r="H89" s="74">
        <v>-33.336555480000001</v>
      </c>
    </row>
    <row r="90" spans="1:8">
      <c r="A90" s="15">
        <v>6900518597.1943769</v>
      </c>
      <c r="B90" s="74">
        <v>-38.358257289999997</v>
      </c>
      <c r="D90" s="15">
        <v>4695345731.462944</v>
      </c>
      <c r="E90" s="74">
        <v>-35.1341362</v>
      </c>
      <c r="G90" s="15">
        <v>4798985731.462944</v>
      </c>
      <c r="H90" s="74">
        <v>-34.543697360000003</v>
      </c>
    </row>
    <row r="91" spans="1:8">
      <c r="A91" s="15">
        <v>6900521002.0039959</v>
      </c>
      <c r="B91" s="74">
        <v>-37.222766880000002</v>
      </c>
      <c r="D91" s="15">
        <v>4695347334.6693573</v>
      </c>
      <c r="E91" s="74">
        <v>-34.242397310000001</v>
      </c>
      <c r="G91" s="15">
        <v>4798987334.6693573</v>
      </c>
      <c r="H91" s="74">
        <v>-33.284717559999997</v>
      </c>
    </row>
    <row r="92" spans="1:8">
      <c r="A92" s="15">
        <v>6900523406.8136148</v>
      </c>
      <c r="B92" s="74">
        <v>-37.746425629999997</v>
      </c>
      <c r="D92" s="15">
        <v>4695348937.8757706</v>
      </c>
      <c r="E92" s="74">
        <v>-34.343448639999998</v>
      </c>
      <c r="G92" s="15">
        <v>4798988937.8757706</v>
      </c>
      <c r="H92" s="74">
        <v>-33.631801609999997</v>
      </c>
    </row>
    <row r="93" spans="1:8">
      <c r="A93" s="15">
        <v>6900525811.6232338</v>
      </c>
      <c r="B93" s="74">
        <v>-38.042594909999998</v>
      </c>
      <c r="D93" s="15">
        <v>4695350541.0821838</v>
      </c>
      <c r="E93" s="74">
        <v>-34.647266389999999</v>
      </c>
      <c r="G93" s="15">
        <v>4798990541.0821838</v>
      </c>
      <c r="H93" s="74">
        <v>-34.029930110000002</v>
      </c>
    </row>
    <row r="94" spans="1:8">
      <c r="A94" s="15">
        <v>6900528216.4328527</v>
      </c>
      <c r="B94" s="74">
        <v>-37.703296659999999</v>
      </c>
      <c r="D94" s="15">
        <v>4695352144.2885971</v>
      </c>
      <c r="E94" s="74">
        <v>-34.950756069999997</v>
      </c>
      <c r="G94" s="15">
        <v>4798992144.2885971</v>
      </c>
      <c r="H94" s="74">
        <v>-34.270141600000002</v>
      </c>
    </row>
    <row r="95" spans="1:8">
      <c r="A95" s="15">
        <v>6900530621.2424717</v>
      </c>
      <c r="B95" s="74">
        <v>-37.209926609999997</v>
      </c>
      <c r="D95" s="15">
        <v>4695353747.4950104</v>
      </c>
      <c r="E95" s="74">
        <v>-34.669704439999997</v>
      </c>
      <c r="G95" s="15">
        <v>4798993747.4950104</v>
      </c>
      <c r="H95" s="74">
        <v>-33.993301389999999</v>
      </c>
    </row>
    <row r="96" spans="1:8">
      <c r="A96" s="15">
        <v>6900533026.0520906</v>
      </c>
      <c r="B96" s="74">
        <v>-37.377906799999998</v>
      </c>
      <c r="D96" s="15">
        <v>4695355350.7014236</v>
      </c>
      <c r="E96" s="74">
        <v>-34.590465549999998</v>
      </c>
      <c r="G96" s="15">
        <v>4798995350.7014236</v>
      </c>
      <c r="H96" s="74">
        <v>-33.95797348</v>
      </c>
    </row>
    <row r="97" spans="1:8">
      <c r="A97" s="15">
        <v>6900535430.8617096</v>
      </c>
      <c r="B97" s="74">
        <v>-35.934833529999999</v>
      </c>
      <c r="D97" s="15">
        <v>4695356953.9078369</v>
      </c>
      <c r="E97" s="74">
        <v>-33.565170289999998</v>
      </c>
      <c r="G97" s="15">
        <v>4798996953.9078369</v>
      </c>
      <c r="H97" s="74">
        <v>-32.949352259999998</v>
      </c>
    </row>
    <row r="98" spans="1:8">
      <c r="A98" s="15">
        <v>6900537835.6713285</v>
      </c>
      <c r="B98" s="74">
        <v>-37.11600876</v>
      </c>
      <c r="D98" s="15">
        <v>4695358557.1142502</v>
      </c>
      <c r="E98" s="74">
        <v>-34.782386780000003</v>
      </c>
      <c r="G98" s="15">
        <v>4798998557.1142502</v>
      </c>
      <c r="H98" s="74">
        <v>-33.930152890000002</v>
      </c>
    </row>
    <row r="99" spans="1:8">
      <c r="A99" s="15">
        <v>6900540240.4809475</v>
      </c>
      <c r="B99" s="74">
        <v>-37.744621279999997</v>
      </c>
      <c r="D99" s="15">
        <v>4695360160.3206635</v>
      </c>
      <c r="E99" s="74">
        <v>-35.154243469999997</v>
      </c>
      <c r="G99" s="15">
        <v>4799000160.3206635</v>
      </c>
      <c r="H99" s="74">
        <v>-34.584533690000001</v>
      </c>
    </row>
    <row r="100" spans="1:8">
      <c r="A100" s="15">
        <v>6900542645.2905664</v>
      </c>
      <c r="B100" s="74">
        <v>-38.490291599999999</v>
      </c>
      <c r="D100" s="15">
        <v>4695361763.5270767</v>
      </c>
      <c r="E100" s="74">
        <v>-35.288589479999999</v>
      </c>
      <c r="G100" s="15">
        <v>4799001763.5270767</v>
      </c>
      <c r="H100" s="74">
        <v>-34.570617679999998</v>
      </c>
    </row>
    <row r="101" spans="1:8">
      <c r="A101" s="15">
        <v>6900545050.1001854</v>
      </c>
      <c r="B101" s="74">
        <v>-36.89190292</v>
      </c>
      <c r="D101" s="15">
        <v>4695363366.73349</v>
      </c>
      <c r="E101" s="74">
        <v>-34.262737270000002</v>
      </c>
      <c r="G101" s="15">
        <v>4799003366.73349</v>
      </c>
      <c r="H101" s="74">
        <v>-33.707950590000003</v>
      </c>
    </row>
    <row r="102" spans="1:8">
      <c r="A102" s="15">
        <v>6900547454.9098043</v>
      </c>
      <c r="B102" s="74">
        <v>-37.704116820000003</v>
      </c>
      <c r="D102" s="15">
        <v>4695364969.9399033</v>
      </c>
      <c r="E102" s="74">
        <v>-34.918903350000001</v>
      </c>
      <c r="G102" s="15">
        <v>4799004969.9399033</v>
      </c>
      <c r="H102" s="74">
        <v>-33.92259979</v>
      </c>
    </row>
    <row r="103" spans="1:8">
      <c r="A103" s="15">
        <v>6900549859.7194233</v>
      </c>
      <c r="B103" s="74">
        <v>-36.464855190000002</v>
      </c>
      <c r="D103" s="15">
        <v>4695366573.1463165</v>
      </c>
      <c r="E103" s="74">
        <v>-34.156295780000001</v>
      </c>
      <c r="G103" s="15">
        <v>4799006573.1463165</v>
      </c>
      <c r="H103" s="74">
        <v>-33.606262209999997</v>
      </c>
    </row>
    <row r="104" spans="1:8">
      <c r="A104" s="15">
        <v>6900552264.5290422</v>
      </c>
      <c r="B104" s="74">
        <v>-39.646133419999998</v>
      </c>
      <c r="D104" s="15">
        <v>4695368176.3527298</v>
      </c>
      <c r="E104" s="74">
        <v>-36.166370389999997</v>
      </c>
      <c r="G104" s="15">
        <v>4799008176.3527298</v>
      </c>
      <c r="H104" s="74">
        <v>-35.349845889999997</v>
      </c>
    </row>
    <row r="105" spans="1:8">
      <c r="A105" s="15">
        <v>6900554669.3386612</v>
      </c>
      <c r="B105" s="74">
        <v>-36.580955510000003</v>
      </c>
      <c r="D105" s="15">
        <v>4695369779.5591431</v>
      </c>
      <c r="E105" s="74">
        <v>-34.199913019999997</v>
      </c>
      <c r="G105" s="15">
        <v>4799009779.5591431</v>
      </c>
      <c r="H105" s="74">
        <v>-33.657443999999998</v>
      </c>
    </row>
    <row r="106" spans="1:8">
      <c r="A106" s="15">
        <v>6900557074.1482801</v>
      </c>
      <c r="B106" s="74">
        <v>-35.889385220000001</v>
      </c>
      <c r="D106" s="15">
        <v>4695371382.7655563</v>
      </c>
      <c r="E106" s="74">
        <v>-33.768936160000003</v>
      </c>
      <c r="G106" s="15">
        <v>4799011382.7655563</v>
      </c>
      <c r="H106" s="74">
        <v>-32.988265990000002</v>
      </c>
    </row>
    <row r="107" spans="1:8">
      <c r="A107" s="15">
        <v>6900559478.9578991</v>
      </c>
      <c r="B107" s="74">
        <v>-38.137619020000002</v>
      </c>
      <c r="D107" s="15">
        <v>4695372985.9719696</v>
      </c>
      <c r="E107" s="74">
        <v>-34.746417999999998</v>
      </c>
      <c r="G107" s="15">
        <v>4799012985.9719696</v>
      </c>
      <c r="H107" s="74">
        <v>-33.989543910000002</v>
      </c>
    </row>
    <row r="108" spans="1:8">
      <c r="A108" s="15">
        <v>6900561883.767518</v>
      </c>
      <c r="B108" s="74">
        <v>-37.216697689999997</v>
      </c>
      <c r="D108" s="15">
        <v>4695374589.1783829</v>
      </c>
      <c r="E108" s="74">
        <v>-34.172199249999998</v>
      </c>
      <c r="G108" s="15">
        <v>4799014589.1783829</v>
      </c>
      <c r="H108" s="74">
        <v>-33.454418179999998</v>
      </c>
    </row>
    <row r="109" spans="1:8">
      <c r="A109" s="15">
        <v>6900564288.577137</v>
      </c>
      <c r="B109" s="74">
        <v>-37.986373899999997</v>
      </c>
      <c r="D109" s="15">
        <v>4695376192.3847961</v>
      </c>
      <c r="E109" s="74">
        <v>-34.866504669999998</v>
      </c>
      <c r="G109" s="15">
        <v>4799016192.3847961</v>
      </c>
      <c r="H109" s="74">
        <v>-34.383228299999999</v>
      </c>
    </row>
    <row r="110" spans="1:8">
      <c r="A110" s="15">
        <v>6900566693.3867559</v>
      </c>
      <c r="B110" s="74">
        <v>-36.206645969999997</v>
      </c>
      <c r="D110" s="15">
        <v>4695377795.5912094</v>
      </c>
      <c r="E110" s="74">
        <v>-34.039108280000001</v>
      </c>
      <c r="G110" s="15">
        <v>4799017795.5912094</v>
      </c>
      <c r="H110" s="74">
        <v>-33.396049499999997</v>
      </c>
    </row>
    <row r="111" spans="1:8">
      <c r="A111" s="15">
        <v>6900569098.1963749</v>
      </c>
      <c r="B111" s="74">
        <v>-36.356788639999998</v>
      </c>
      <c r="D111" s="15">
        <v>4695379398.7976227</v>
      </c>
      <c r="E111" s="74">
        <v>-33.729377749999998</v>
      </c>
      <c r="G111" s="15">
        <v>4799019398.7976227</v>
      </c>
      <c r="H111" s="74">
        <v>-33.154396060000003</v>
      </c>
    </row>
    <row r="112" spans="1:8">
      <c r="A112" s="15">
        <v>6900571503.0059938</v>
      </c>
      <c r="B112" s="74">
        <v>-36.881374360000002</v>
      </c>
      <c r="D112" s="15">
        <v>4695381002.0040359</v>
      </c>
      <c r="E112" s="74">
        <v>-33.864479060000001</v>
      </c>
      <c r="G112" s="15">
        <v>4799021002.0040359</v>
      </c>
      <c r="H112" s="74">
        <v>-33.37586975</v>
      </c>
    </row>
    <row r="113" spans="1:8">
      <c r="A113" s="15">
        <v>6900573907.8156128</v>
      </c>
      <c r="B113" s="74">
        <v>-37.015319820000002</v>
      </c>
      <c r="D113" s="15">
        <v>4695382605.2104492</v>
      </c>
      <c r="E113" s="74">
        <v>-34.202556610000002</v>
      </c>
      <c r="G113" s="15">
        <v>4799022605.2104492</v>
      </c>
      <c r="H113" s="74">
        <v>-33.578998570000003</v>
      </c>
    </row>
    <row r="114" spans="1:8">
      <c r="A114" s="15">
        <v>6900576312.6252317</v>
      </c>
      <c r="B114" s="74">
        <v>-36.853767400000002</v>
      </c>
      <c r="D114" s="15">
        <v>4695384208.4168625</v>
      </c>
      <c r="E114" s="74">
        <v>-34.23712158</v>
      </c>
      <c r="G114" s="15">
        <v>4799024208.4168625</v>
      </c>
      <c r="H114" s="74">
        <v>-33.411026</v>
      </c>
    </row>
    <row r="115" spans="1:8">
      <c r="A115" s="15">
        <v>6900578717.4348507</v>
      </c>
      <c r="B115" s="74">
        <v>-36.750392910000002</v>
      </c>
      <c r="D115" s="15">
        <v>4695385811.6232758</v>
      </c>
      <c r="E115" s="74">
        <v>-34.054988860000002</v>
      </c>
      <c r="G115" s="15">
        <v>4799025811.6232758</v>
      </c>
      <c r="H115" s="74">
        <v>-33.324542999999998</v>
      </c>
    </row>
    <row r="116" spans="1:8">
      <c r="A116" s="15">
        <v>6900581122.2444696</v>
      </c>
      <c r="B116" s="74">
        <v>-39.81493759</v>
      </c>
      <c r="D116" s="15">
        <v>4695387414.829689</v>
      </c>
      <c r="E116" s="74">
        <v>-35.992942810000002</v>
      </c>
      <c r="G116" s="15">
        <v>4799027414.829689</v>
      </c>
      <c r="H116" s="74">
        <v>-35.334037780000003</v>
      </c>
    </row>
    <row r="117" spans="1:8">
      <c r="A117" s="15">
        <v>6900583527.0540886</v>
      </c>
      <c r="B117" s="74">
        <v>-36.406917569999997</v>
      </c>
      <c r="D117" s="15">
        <v>4695389018.0361023</v>
      </c>
      <c r="E117" s="74">
        <v>-33.860862730000001</v>
      </c>
      <c r="G117" s="15">
        <v>4799029018.0361023</v>
      </c>
      <c r="H117" s="74">
        <v>-33.347476960000002</v>
      </c>
    </row>
    <row r="118" spans="1:8">
      <c r="A118" s="15">
        <v>6900585931.8637075</v>
      </c>
      <c r="B118" s="74">
        <v>-36.574020390000001</v>
      </c>
      <c r="D118" s="15">
        <v>4695390621.2425156</v>
      </c>
      <c r="E118" s="74">
        <v>-34.082939150000001</v>
      </c>
      <c r="G118" s="15">
        <v>4799030621.2425156</v>
      </c>
      <c r="H118" s="74">
        <v>-33.287834169999996</v>
      </c>
    </row>
    <row r="119" spans="1:8">
      <c r="A119" s="15">
        <v>6900588336.6733265</v>
      </c>
      <c r="B119" s="74">
        <v>-36.852428439999997</v>
      </c>
      <c r="D119" s="15">
        <v>4695392224.4489288</v>
      </c>
      <c r="E119" s="74">
        <v>-34.441997530000002</v>
      </c>
      <c r="G119" s="15">
        <v>4799032224.4489288</v>
      </c>
      <c r="H119" s="74">
        <v>-33.682689670000002</v>
      </c>
    </row>
    <row r="120" spans="1:8">
      <c r="A120" s="15">
        <v>6900590741.4829454</v>
      </c>
      <c r="B120" s="74">
        <v>-37.815719600000001</v>
      </c>
      <c r="D120" s="15">
        <v>4695393827.6553421</v>
      </c>
      <c r="E120" s="74">
        <v>-34.756324769999999</v>
      </c>
      <c r="G120" s="15">
        <v>4799033827.6553421</v>
      </c>
      <c r="H120" s="74">
        <v>-34.270744319999999</v>
      </c>
    </row>
    <row r="121" spans="1:8">
      <c r="A121" s="15">
        <v>6900593146.2925644</v>
      </c>
      <c r="B121" s="74">
        <v>-38.671623230000002</v>
      </c>
      <c r="D121" s="15">
        <v>4695395430.8617554</v>
      </c>
      <c r="E121" s="74">
        <v>-35.596561430000001</v>
      </c>
      <c r="G121" s="15">
        <v>4799035430.8617554</v>
      </c>
      <c r="H121" s="74">
        <v>-35.030315399999999</v>
      </c>
    </row>
    <row r="122" spans="1:8">
      <c r="A122" s="15">
        <v>6900595551.1021833</v>
      </c>
      <c r="B122" s="74">
        <v>-35.947582240000003</v>
      </c>
      <c r="D122" s="15">
        <v>4695397034.0681686</v>
      </c>
      <c r="E122" s="74">
        <v>-33.544986719999997</v>
      </c>
      <c r="G122" s="15">
        <v>4799037034.0681686</v>
      </c>
      <c r="H122" s="74">
        <v>-32.964115139999997</v>
      </c>
    </row>
    <row r="123" spans="1:8">
      <c r="A123" s="15">
        <v>6900597955.9118023</v>
      </c>
      <c r="B123" s="74">
        <v>-37.863330840000003</v>
      </c>
      <c r="D123" s="15">
        <v>4695398637.2745819</v>
      </c>
      <c r="E123" s="74">
        <v>-35.091186520000001</v>
      </c>
      <c r="G123" s="15">
        <v>4799038637.2745819</v>
      </c>
      <c r="H123" s="74">
        <v>-34.370548249999999</v>
      </c>
    </row>
    <row r="124" spans="1:8">
      <c r="A124" s="15">
        <v>6900600360.7214212</v>
      </c>
      <c r="B124" s="74">
        <v>-36.389762879999999</v>
      </c>
      <c r="D124" s="15">
        <v>4695400240.4809952</v>
      </c>
      <c r="E124" s="74">
        <v>-33.929920199999998</v>
      </c>
      <c r="G124" s="15">
        <v>4799040240.4809952</v>
      </c>
      <c r="H124" s="74">
        <v>-33.292087549999998</v>
      </c>
    </row>
    <row r="125" spans="1:8">
      <c r="A125" s="15">
        <v>6900602765.5310402</v>
      </c>
      <c r="B125" s="74">
        <v>-38.199813839999997</v>
      </c>
      <c r="D125" s="15">
        <v>4695401843.6874084</v>
      </c>
      <c r="E125" s="74">
        <v>-34.923816680000002</v>
      </c>
      <c r="G125" s="15">
        <v>4799041843.6874084</v>
      </c>
      <c r="H125" s="74">
        <v>-34.068862920000001</v>
      </c>
    </row>
    <row r="126" spans="1:8">
      <c r="A126" s="15">
        <v>6900605170.3406591</v>
      </c>
      <c r="B126" s="74">
        <v>-37.399662020000001</v>
      </c>
      <c r="D126" s="15">
        <v>4695403446.8938217</v>
      </c>
      <c r="E126" s="74">
        <v>-34.387931819999999</v>
      </c>
      <c r="G126" s="15">
        <v>4799043446.8938217</v>
      </c>
      <c r="H126" s="74">
        <v>-33.823352810000003</v>
      </c>
    </row>
    <row r="127" spans="1:8">
      <c r="A127" s="15">
        <v>6900607575.1502781</v>
      </c>
      <c r="B127" s="74">
        <v>-37.491687769999999</v>
      </c>
      <c r="D127" s="15">
        <v>4695405050.100235</v>
      </c>
      <c r="E127" s="74">
        <v>-34.446102140000001</v>
      </c>
      <c r="G127" s="15">
        <v>4799045050.100235</v>
      </c>
      <c r="H127" s="74">
        <v>-33.884906770000001</v>
      </c>
    </row>
    <row r="128" spans="1:8">
      <c r="A128" s="15">
        <v>6900609979.959897</v>
      </c>
      <c r="B128" s="74">
        <v>-38.101940159999998</v>
      </c>
      <c r="D128" s="15">
        <v>4695406653.3066483</v>
      </c>
      <c r="E128" s="74">
        <v>-34.748817440000003</v>
      </c>
      <c r="G128" s="15">
        <v>4799046653.3066483</v>
      </c>
      <c r="H128" s="74">
        <v>-34.216274259999999</v>
      </c>
    </row>
    <row r="129" spans="1:8">
      <c r="A129" s="15">
        <v>6900612384.769516</v>
      </c>
      <c r="B129" s="74">
        <v>-37.548019410000002</v>
      </c>
      <c r="D129" s="15">
        <v>4695408256.5130615</v>
      </c>
      <c r="E129" s="74">
        <v>-34.740406040000003</v>
      </c>
      <c r="G129" s="15">
        <v>4799048256.5130615</v>
      </c>
      <c r="H129" s="74">
        <v>-34.080196379999997</v>
      </c>
    </row>
    <row r="130" spans="1:8">
      <c r="A130" s="15">
        <v>6900614789.5791349</v>
      </c>
      <c r="B130" s="74">
        <v>-37.748226170000002</v>
      </c>
      <c r="D130" s="15">
        <v>4695409859.7194748</v>
      </c>
      <c r="E130" s="74">
        <v>-35.031284329999998</v>
      </c>
      <c r="G130" s="15">
        <v>4799049859.7194748</v>
      </c>
      <c r="H130" s="74">
        <v>-34.198940280000002</v>
      </c>
    </row>
    <row r="131" spans="1:8">
      <c r="A131" s="15">
        <v>6900617194.3887539</v>
      </c>
      <c r="B131" s="74">
        <v>-38.170619960000003</v>
      </c>
      <c r="D131" s="15">
        <v>4695411462.9258881</v>
      </c>
      <c r="E131" s="74">
        <v>-34.677406310000002</v>
      </c>
      <c r="G131" s="15">
        <v>4799051462.9258881</v>
      </c>
      <c r="H131" s="74">
        <v>-34.127197270000003</v>
      </c>
    </row>
    <row r="132" spans="1:8">
      <c r="A132" s="15">
        <v>6900619599.1983728</v>
      </c>
      <c r="B132" s="74">
        <v>-38.670692440000003</v>
      </c>
      <c r="D132" s="15">
        <v>4695413066.1323013</v>
      </c>
      <c r="E132" s="74">
        <v>-35.357280729999999</v>
      </c>
      <c r="G132" s="15">
        <v>4799053066.1323013</v>
      </c>
      <c r="H132" s="74">
        <v>-34.825782779999997</v>
      </c>
    </row>
    <row r="133" spans="1:8">
      <c r="A133" s="15">
        <v>6900622004.0079918</v>
      </c>
      <c r="B133" s="74">
        <v>-37.445869450000004</v>
      </c>
      <c r="D133" s="15">
        <v>4695414669.3387146</v>
      </c>
      <c r="E133" s="74">
        <v>-34.61038971</v>
      </c>
      <c r="G133" s="15">
        <v>4799054669.3387146</v>
      </c>
      <c r="H133" s="74">
        <v>-33.907470699999998</v>
      </c>
    </row>
    <row r="134" spans="1:8">
      <c r="A134" s="15">
        <v>6900624408.8176107</v>
      </c>
      <c r="B134" s="74">
        <v>-35.318195340000003</v>
      </c>
      <c r="D134" s="15">
        <v>4695416272.5451279</v>
      </c>
      <c r="E134" s="74">
        <v>-33.212291720000003</v>
      </c>
      <c r="G134" s="15">
        <v>4799056272.5451279</v>
      </c>
      <c r="H134" s="74">
        <v>-32.62492752</v>
      </c>
    </row>
    <row r="135" spans="1:8">
      <c r="A135" s="15">
        <v>6900626813.6272297</v>
      </c>
      <c r="B135" s="74">
        <v>-36.549331670000001</v>
      </c>
      <c r="D135" s="15">
        <v>4695417875.7515411</v>
      </c>
      <c r="E135" s="74">
        <v>-33.946537020000001</v>
      </c>
      <c r="G135" s="15">
        <v>4799057875.7515411</v>
      </c>
      <c r="H135" s="74">
        <v>-33.301757809999998</v>
      </c>
    </row>
    <row r="136" spans="1:8">
      <c r="A136" s="15">
        <v>6900629218.4368486</v>
      </c>
      <c r="B136" s="74">
        <v>-36.05249405</v>
      </c>
      <c r="D136" s="15">
        <v>4695419478.9579544</v>
      </c>
      <c r="E136" s="74">
        <v>-33.513854979999998</v>
      </c>
      <c r="G136" s="15">
        <v>4799059478.9579544</v>
      </c>
      <c r="H136" s="74">
        <v>-32.654430390000002</v>
      </c>
    </row>
    <row r="137" spans="1:8">
      <c r="A137" s="15">
        <v>6900631623.2464676</v>
      </c>
      <c r="B137" s="74">
        <v>-37.462711329999998</v>
      </c>
      <c r="D137" s="15">
        <v>4695421082.1643677</v>
      </c>
      <c r="E137" s="74">
        <v>-34.282619480000001</v>
      </c>
      <c r="G137" s="15">
        <v>4799061082.1643677</v>
      </c>
      <c r="H137" s="74">
        <v>-33.667850489999999</v>
      </c>
    </row>
    <row r="138" spans="1:8">
      <c r="A138" s="15">
        <v>6900634028.0560865</v>
      </c>
      <c r="B138" s="74">
        <v>-37.375297549999999</v>
      </c>
      <c r="D138" s="15">
        <v>4695422685.3707809</v>
      </c>
      <c r="E138" s="74">
        <v>-34.244884489999997</v>
      </c>
      <c r="G138" s="15">
        <v>4799062685.3707809</v>
      </c>
      <c r="H138" s="74">
        <v>-33.466526029999997</v>
      </c>
    </row>
    <row r="139" spans="1:8">
      <c r="A139" s="15">
        <v>6900636432.8657055</v>
      </c>
      <c r="B139" s="74">
        <v>-35.418056489999998</v>
      </c>
      <c r="D139" s="15">
        <v>4695424288.5771942</v>
      </c>
      <c r="E139" s="74">
        <v>-33.902484889999997</v>
      </c>
      <c r="G139" s="15">
        <v>4799064288.5771942</v>
      </c>
      <c r="H139" s="74">
        <v>-33.387393950000003</v>
      </c>
    </row>
    <row r="140" spans="1:8">
      <c r="A140" s="15">
        <v>6900638837.6753244</v>
      </c>
      <c r="B140" s="74">
        <v>-35.521858219999999</v>
      </c>
      <c r="D140" s="15">
        <v>4695425891.7836075</v>
      </c>
      <c r="E140" s="74">
        <v>-34.385616300000002</v>
      </c>
      <c r="G140" s="15">
        <v>4799065891.7836075</v>
      </c>
      <c r="H140" s="74">
        <v>-33.906425480000003</v>
      </c>
    </row>
    <row r="141" spans="1:8">
      <c r="A141" s="15">
        <v>6900641242.4849434</v>
      </c>
      <c r="B141" s="74">
        <v>-35.3441391</v>
      </c>
      <c r="D141" s="15">
        <v>4695427494.9900208</v>
      </c>
      <c r="E141" s="74">
        <v>-33.958679199999999</v>
      </c>
      <c r="G141" s="15">
        <v>4799067494.9900208</v>
      </c>
      <c r="H141" s="74">
        <v>-33.481590269999998</v>
      </c>
    </row>
    <row r="142" spans="1:8">
      <c r="A142" s="15">
        <v>6900643647.2945623</v>
      </c>
      <c r="B142" s="74">
        <v>-34.147682189999998</v>
      </c>
      <c r="D142" s="15">
        <v>4695429098.196434</v>
      </c>
      <c r="E142" s="74">
        <v>-33.165176389999999</v>
      </c>
      <c r="G142" s="15">
        <v>4799069098.196434</v>
      </c>
      <c r="H142" s="74">
        <v>-32.736911769999999</v>
      </c>
    </row>
    <row r="143" spans="1:8">
      <c r="A143" s="15">
        <v>6900646052.1041813</v>
      </c>
      <c r="B143" s="74">
        <v>-35.624179839999996</v>
      </c>
      <c r="D143" s="15">
        <v>4695430701.4028473</v>
      </c>
      <c r="E143" s="74">
        <v>-34.401771549999999</v>
      </c>
      <c r="G143" s="15">
        <v>4799070701.4028473</v>
      </c>
      <c r="H143" s="74">
        <v>-33.834556579999997</v>
      </c>
    </row>
    <row r="144" spans="1:8">
      <c r="A144" s="15">
        <v>6900648456.9138002</v>
      </c>
      <c r="B144" s="74">
        <v>-36.468608860000003</v>
      </c>
      <c r="D144" s="15">
        <v>4695432304.6092606</v>
      </c>
      <c r="E144" s="74">
        <v>-35.087619779999997</v>
      </c>
      <c r="G144" s="15">
        <v>4799072304.6092606</v>
      </c>
      <c r="H144" s="74">
        <v>-34.482173920000001</v>
      </c>
    </row>
    <row r="145" spans="1:8">
      <c r="A145" s="15">
        <v>6900650861.7234192</v>
      </c>
      <c r="B145" s="74">
        <v>-35.32981873</v>
      </c>
      <c r="D145" s="15">
        <v>4695433907.8156738</v>
      </c>
      <c r="E145" s="74">
        <v>-33.900207520000002</v>
      </c>
      <c r="G145" s="15">
        <v>4799073907.8156738</v>
      </c>
      <c r="H145" s="74">
        <v>-33.494411470000003</v>
      </c>
    </row>
    <row r="146" spans="1:8">
      <c r="A146" s="15">
        <v>6900653266.5330381</v>
      </c>
      <c r="B146" s="74">
        <v>-35.213546749999999</v>
      </c>
      <c r="D146" s="15">
        <v>4695435511.0220871</v>
      </c>
      <c r="E146" s="74">
        <v>-34.074928280000002</v>
      </c>
      <c r="G146" s="15">
        <v>4799075511.0220871</v>
      </c>
      <c r="H146" s="74">
        <v>-33.709091190000002</v>
      </c>
    </row>
    <row r="147" spans="1:8">
      <c r="A147" s="15">
        <v>6900655671.3426571</v>
      </c>
      <c r="B147" s="74">
        <v>-35.676635740000002</v>
      </c>
      <c r="D147" s="15">
        <v>4695437114.2285004</v>
      </c>
      <c r="E147" s="74">
        <v>-34.165771479999997</v>
      </c>
      <c r="G147" s="15">
        <v>4799077114.2285004</v>
      </c>
      <c r="H147" s="74">
        <v>-33.34758377</v>
      </c>
    </row>
    <row r="148" spans="1:8">
      <c r="A148" s="15">
        <v>6900658076.152276</v>
      </c>
      <c r="B148" s="74">
        <v>-35.744663240000001</v>
      </c>
      <c r="D148" s="15">
        <v>4695438717.4349136</v>
      </c>
      <c r="E148" s="74">
        <v>-34.494823459999999</v>
      </c>
      <c r="G148" s="15">
        <v>4799078717.4349136</v>
      </c>
      <c r="H148" s="74">
        <v>-33.998714450000001</v>
      </c>
    </row>
    <row r="149" spans="1:8">
      <c r="A149" s="15">
        <v>6900660480.961895</v>
      </c>
      <c r="B149" s="74">
        <v>-37.190895079999997</v>
      </c>
      <c r="D149" s="15">
        <v>4695440320.6413269</v>
      </c>
      <c r="E149" s="74">
        <v>-34.471492769999998</v>
      </c>
      <c r="G149" s="15">
        <v>4799080320.6413269</v>
      </c>
      <c r="H149" s="74">
        <v>-34.619014739999997</v>
      </c>
    </row>
    <row r="150" spans="1:8">
      <c r="A150" s="15">
        <v>6900662885.7715139</v>
      </c>
      <c r="B150" s="74">
        <v>-35.655200960000002</v>
      </c>
      <c r="D150" s="15">
        <v>4695441923.8477402</v>
      </c>
      <c r="E150" s="74">
        <v>-33.913513180000002</v>
      </c>
      <c r="G150" s="15">
        <v>4799081923.8477402</v>
      </c>
      <c r="H150" s="74">
        <v>-33.582538599999999</v>
      </c>
    </row>
    <row r="151" spans="1:8">
      <c r="A151" s="15">
        <v>6900665290.5811329</v>
      </c>
      <c r="B151" s="74">
        <v>-35.027297969999999</v>
      </c>
      <c r="D151" s="15">
        <v>4695443527.0541534</v>
      </c>
      <c r="E151" s="74">
        <v>-34.21028519</v>
      </c>
      <c r="G151" s="15">
        <v>4799083527.0541534</v>
      </c>
      <c r="H151" s="74">
        <v>-33.110103610000003</v>
      </c>
    </row>
    <row r="152" spans="1:8">
      <c r="A152" s="15">
        <v>6900667695.3907518</v>
      </c>
      <c r="B152" s="74">
        <v>-34.755455019999999</v>
      </c>
      <c r="D152" s="15">
        <v>4695445130.2605667</v>
      </c>
      <c r="E152" s="74">
        <v>-33.160320280000001</v>
      </c>
      <c r="G152" s="15">
        <v>4799085130.2605667</v>
      </c>
      <c r="H152" s="74">
        <v>-33.193325039999998</v>
      </c>
    </row>
    <row r="153" spans="1:8">
      <c r="A153" s="15">
        <v>6900670100.2003708</v>
      </c>
      <c r="B153" s="74">
        <v>-36.312992100000002</v>
      </c>
      <c r="D153" s="15">
        <v>4695446733.46698</v>
      </c>
      <c r="E153" s="74">
        <v>-34.884750369999999</v>
      </c>
      <c r="G153" s="15">
        <v>4799086733.46698</v>
      </c>
      <c r="H153" s="74">
        <v>-34.080989840000001</v>
      </c>
    </row>
    <row r="154" spans="1:8">
      <c r="A154" s="15">
        <v>6900672505.0099897</v>
      </c>
      <c r="B154" s="74">
        <v>-36.905281070000001</v>
      </c>
      <c r="D154" s="15">
        <v>4695448336.6733932</v>
      </c>
      <c r="E154" s="74">
        <v>-34.767929080000002</v>
      </c>
      <c r="G154" s="15">
        <v>4799088336.6733932</v>
      </c>
      <c r="H154" s="74">
        <v>-34.670875549999998</v>
      </c>
    </row>
    <row r="155" spans="1:8">
      <c r="A155" s="15">
        <v>6900674909.8196087</v>
      </c>
      <c r="B155" s="74">
        <v>-34.817848210000001</v>
      </c>
      <c r="D155" s="15">
        <v>4695449939.8798065</v>
      </c>
      <c r="E155" s="74">
        <v>-33.646808620000002</v>
      </c>
      <c r="G155" s="15">
        <v>4799089939.8798065</v>
      </c>
      <c r="H155" s="74">
        <v>-33.051113129999997</v>
      </c>
    </row>
    <row r="156" spans="1:8">
      <c r="A156" s="15">
        <v>6900677314.6292276</v>
      </c>
      <c r="B156" s="74">
        <v>-35.732563020000001</v>
      </c>
      <c r="D156" s="15">
        <v>4695451543.0862198</v>
      </c>
      <c r="E156" s="74">
        <v>-34.070655819999999</v>
      </c>
      <c r="G156" s="15">
        <v>4799091543.0862198</v>
      </c>
      <c r="H156" s="74">
        <v>-33.774391170000001</v>
      </c>
    </row>
    <row r="157" spans="1:8">
      <c r="A157" s="15">
        <v>6900679719.4388466</v>
      </c>
      <c r="B157" s="74">
        <v>-35.078430179999998</v>
      </c>
      <c r="D157" s="15">
        <v>4695453146.2926331</v>
      </c>
      <c r="E157" s="74">
        <v>-33.814807889999997</v>
      </c>
      <c r="G157" s="15">
        <v>4799093146.2926331</v>
      </c>
      <c r="H157" s="74">
        <v>-33.277484889999997</v>
      </c>
    </row>
    <row r="158" spans="1:8">
      <c r="A158" s="15">
        <v>6900682124.2484655</v>
      </c>
      <c r="B158" s="74">
        <v>-36.49283981</v>
      </c>
      <c r="D158" s="15">
        <v>4695454749.4990463</v>
      </c>
      <c r="E158" s="74">
        <v>-34.156932830000002</v>
      </c>
      <c r="G158" s="15">
        <v>4799094749.4990463</v>
      </c>
      <c r="H158" s="74">
        <v>-33.718975069999999</v>
      </c>
    </row>
    <row r="159" spans="1:8">
      <c r="A159" s="15">
        <v>6900684529.0580845</v>
      </c>
      <c r="B159" s="74">
        <v>-35.861671450000003</v>
      </c>
      <c r="D159" s="15">
        <v>4695456352.7054596</v>
      </c>
      <c r="E159" s="74">
        <v>-33.975315090000002</v>
      </c>
      <c r="G159" s="15">
        <v>4799096352.7054596</v>
      </c>
      <c r="H159" s="74">
        <v>-33.696170809999998</v>
      </c>
    </row>
    <row r="160" spans="1:8">
      <c r="A160" s="15">
        <v>6900686933.8677034</v>
      </c>
      <c r="B160" s="74">
        <v>-35.799427029999997</v>
      </c>
      <c r="D160" s="15">
        <v>4695457955.9118729</v>
      </c>
      <c r="E160" s="74">
        <v>-34.407722470000003</v>
      </c>
      <c r="G160" s="15">
        <v>4799097955.9118729</v>
      </c>
      <c r="H160" s="74">
        <v>-33.56095886</v>
      </c>
    </row>
    <row r="161" spans="1:8">
      <c r="A161" s="15">
        <v>6900689338.6773224</v>
      </c>
      <c r="B161" s="74">
        <v>-36.763511659999999</v>
      </c>
      <c r="D161" s="15">
        <v>4695459559.1182861</v>
      </c>
      <c r="E161" s="74">
        <v>-34.442092899999999</v>
      </c>
      <c r="G161" s="15">
        <v>4799099559.1182861</v>
      </c>
      <c r="H161" s="74">
        <v>-34.293235780000003</v>
      </c>
    </row>
    <row r="162" spans="1:8">
      <c r="A162" s="15">
        <v>6900691743.4869413</v>
      </c>
      <c r="B162" s="74">
        <v>-35.80866623</v>
      </c>
      <c r="D162" s="15">
        <v>4695461162.3246994</v>
      </c>
      <c r="E162" s="74">
        <v>-34.006095889999997</v>
      </c>
      <c r="G162" s="15">
        <v>4799101162.3246994</v>
      </c>
      <c r="H162" s="74">
        <v>-33.707523350000002</v>
      </c>
    </row>
    <row r="163" spans="1:8">
      <c r="A163" s="15">
        <v>6900694148.2965603</v>
      </c>
      <c r="B163" s="74">
        <v>-36.508495330000002</v>
      </c>
      <c r="D163" s="15">
        <v>4695462765.5311127</v>
      </c>
      <c r="E163" s="74">
        <v>-34.91794968</v>
      </c>
      <c r="G163" s="15">
        <v>4799102765.5311127</v>
      </c>
      <c r="H163" s="74">
        <v>-34.246177670000002</v>
      </c>
    </row>
    <row r="164" spans="1:8">
      <c r="A164" s="15">
        <v>6900696553.1061792</v>
      </c>
      <c r="B164" s="74">
        <v>-36.3681488</v>
      </c>
      <c r="D164" s="15">
        <v>4695464368.7375259</v>
      </c>
      <c r="E164" s="74">
        <v>-34.233093259999997</v>
      </c>
      <c r="G164" s="15">
        <v>4799104368.7375259</v>
      </c>
      <c r="H164" s="74">
        <v>-33.799785610000001</v>
      </c>
    </row>
    <row r="165" spans="1:8">
      <c r="A165" s="15">
        <v>6900698957.9157982</v>
      </c>
      <c r="B165" s="74">
        <v>-37.337238309999996</v>
      </c>
      <c r="D165" s="15">
        <v>4695465971.9439392</v>
      </c>
      <c r="E165" s="74">
        <v>-35.448905940000003</v>
      </c>
      <c r="G165" s="15">
        <v>4799105971.9439392</v>
      </c>
      <c r="H165" s="74">
        <v>-34.804801939999997</v>
      </c>
    </row>
    <row r="166" spans="1:8">
      <c r="A166" s="15">
        <v>6900701362.7254171</v>
      </c>
      <c r="B166" s="74">
        <v>-35.924934389999997</v>
      </c>
      <c r="D166" s="15">
        <v>4695467575.1503525</v>
      </c>
      <c r="E166" s="74">
        <v>-34.014072419999998</v>
      </c>
      <c r="G166" s="15">
        <v>4799107575.1503525</v>
      </c>
      <c r="H166" s="74">
        <v>-33.675510410000001</v>
      </c>
    </row>
    <row r="167" spans="1:8">
      <c r="A167" s="15">
        <v>6900703767.5350361</v>
      </c>
      <c r="B167" s="74">
        <v>-33.958938600000003</v>
      </c>
      <c r="D167" s="15">
        <v>4695469178.3567657</v>
      </c>
      <c r="E167" s="74">
        <v>-32.80770493</v>
      </c>
      <c r="G167" s="15">
        <v>4799109178.3567657</v>
      </c>
      <c r="H167" s="74">
        <v>-32.547775270000002</v>
      </c>
    </row>
    <row r="168" spans="1:8">
      <c r="A168" s="15">
        <v>6900706172.344655</v>
      </c>
      <c r="B168" s="74">
        <v>-34.865978239999997</v>
      </c>
      <c r="D168" s="15">
        <v>4695470781.563179</v>
      </c>
      <c r="E168" s="74">
        <v>-33.332695010000002</v>
      </c>
      <c r="G168" s="15">
        <v>4799110781.563179</v>
      </c>
      <c r="H168" s="74">
        <v>-32.98220062</v>
      </c>
    </row>
    <row r="169" spans="1:8">
      <c r="A169" s="15">
        <v>6900708577.154274</v>
      </c>
      <c r="B169" s="74">
        <v>-34.821876529999997</v>
      </c>
      <c r="D169" s="15">
        <v>4695472384.7695923</v>
      </c>
      <c r="E169" s="74">
        <v>-33.684562679999999</v>
      </c>
      <c r="G169" s="15">
        <v>4799112384.7695923</v>
      </c>
      <c r="H169" s="74">
        <v>-32.77375412</v>
      </c>
    </row>
    <row r="170" spans="1:8">
      <c r="A170" s="15">
        <v>6900710981.9638929</v>
      </c>
      <c r="B170" s="74">
        <v>-35.948802950000001</v>
      </c>
      <c r="D170" s="15">
        <v>4695473987.9760056</v>
      </c>
      <c r="E170" s="74">
        <v>-34.414283750000003</v>
      </c>
      <c r="G170" s="15">
        <v>4799113987.9760056</v>
      </c>
      <c r="H170" s="74">
        <v>-33.47210312</v>
      </c>
    </row>
    <row r="171" spans="1:8">
      <c r="A171" s="15">
        <v>6900713386.7735119</v>
      </c>
      <c r="B171" s="74">
        <v>-35.725593570000001</v>
      </c>
      <c r="D171" s="15">
        <v>4695475591.1824188</v>
      </c>
      <c r="E171" s="74">
        <v>-33.384895319999998</v>
      </c>
      <c r="G171" s="15">
        <v>4799115591.1824188</v>
      </c>
      <c r="H171" s="74">
        <v>-33.241615299999999</v>
      </c>
    </row>
    <row r="172" spans="1:8">
      <c r="A172" s="15">
        <v>6900715791.5831308</v>
      </c>
      <c r="B172" s="74">
        <v>-34.872566220000003</v>
      </c>
      <c r="D172" s="15">
        <v>4695477194.3888321</v>
      </c>
      <c r="E172" s="74">
        <v>-33.624824519999997</v>
      </c>
      <c r="G172" s="15">
        <v>4799117194.3888321</v>
      </c>
      <c r="H172" s="74">
        <v>-33.18844223</v>
      </c>
    </row>
    <row r="173" spans="1:8">
      <c r="A173" s="15">
        <v>6900718196.3927498</v>
      </c>
      <c r="B173" s="74">
        <v>-35.09473801</v>
      </c>
      <c r="D173" s="15">
        <v>4695478797.5952454</v>
      </c>
      <c r="E173" s="74">
        <v>-34.00139618</v>
      </c>
      <c r="G173" s="15">
        <v>4799118797.5952454</v>
      </c>
      <c r="H173" s="74">
        <v>-33.374046329999999</v>
      </c>
    </row>
    <row r="174" spans="1:8">
      <c r="A174" s="15">
        <v>6900720601.2023687</v>
      </c>
      <c r="B174" s="74">
        <v>-35.350200649999998</v>
      </c>
      <c r="D174" s="15">
        <v>4695480400.8016586</v>
      </c>
      <c r="E174" s="74">
        <v>-34.107780460000001</v>
      </c>
      <c r="G174" s="15">
        <v>4799120400.8016586</v>
      </c>
      <c r="H174" s="74">
        <v>-33.353343959999997</v>
      </c>
    </row>
    <row r="175" spans="1:8">
      <c r="A175" s="15">
        <v>6900723006.0119877</v>
      </c>
      <c r="B175" s="74">
        <v>-33.986610409999997</v>
      </c>
      <c r="D175" s="15">
        <v>4695482004.0080719</v>
      </c>
      <c r="E175" s="74">
        <v>-33.231689449999998</v>
      </c>
      <c r="G175" s="15">
        <v>4799122004.0080719</v>
      </c>
      <c r="H175" s="74">
        <v>-32.432888030000001</v>
      </c>
    </row>
    <row r="176" spans="1:8">
      <c r="A176" s="15">
        <v>6900725410.8216066</v>
      </c>
      <c r="B176" s="74">
        <v>-35.26482773</v>
      </c>
      <c r="D176" s="15">
        <v>4695483607.2144852</v>
      </c>
      <c r="E176" s="74">
        <v>-33.949325559999998</v>
      </c>
      <c r="G176" s="15">
        <v>4799123607.2144852</v>
      </c>
      <c r="H176" s="74">
        <v>-33.440689089999999</v>
      </c>
    </row>
    <row r="177" spans="1:8">
      <c r="A177" s="15">
        <v>6900727815.6312256</v>
      </c>
      <c r="B177" s="74">
        <v>-35.797172549999999</v>
      </c>
      <c r="D177" s="15">
        <v>4695485210.4208984</v>
      </c>
      <c r="E177" s="74">
        <v>-34.350040440000001</v>
      </c>
      <c r="G177" s="15">
        <v>4799125210.4208984</v>
      </c>
      <c r="H177" s="74">
        <v>-33.821521760000003</v>
      </c>
    </row>
    <row r="178" spans="1:8">
      <c r="A178" s="15">
        <v>6900730220.4408445</v>
      </c>
      <c r="B178" s="74">
        <v>-35.034542080000001</v>
      </c>
      <c r="D178" s="15">
        <v>4695486813.6273117</v>
      </c>
      <c r="E178" s="74">
        <v>-33.518527980000002</v>
      </c>
      <c r="G178" s="15">
        <v>4799126813.6273117</v>
      </c>
      <c r="H178" s="74">
        <v>-33.179267879999998</v>
      </c>
    </row>
    <row r="179" spans="1:8">
      <c r="A179" s="15">
        <v>6900732625.2504635</v>
      </c>
      <c r="B179" s="74">
        <v>-34.978752139999997</v>
      </c>
      <c r="D179" s="15">
        <v>4695488416.833725</v>
      </c>
      <c r="E179" s="74">
        <v>-34.491836550000002</v>
      </c>
      <c r="G179" s="15">
        <v>4799128416.833725</v>
      </c>
      <c r="H179" s="74">
        <v>-33.392929080000002</v>
      </c>
    </row>
    <row r="180" spans="1:8">
      <c r="A180" s="15">
        <v>6900735030.0600824</v>
      </c>
      <c r="B180" s="74">
        <v>-35.310050959999998</v>
      </c>
      <c r="D180" s="15">
        <v>4695490020.0401382</v>
      </c>
      <c r="E180" s="74">
        <v>-33.524700160000002</v>
      </c>
      <c r="G180" s="15">
        <v>4799130020.0401382</v>
      </c>
      <c r="H180" s="74">
        <v>-32.856086730000001</v>
      </c>
    </row>
    <row r="181" spans="1:8">
      <c r="A181" s="15">
        <v>6900737434.8697014</v>
      </c>
      <c r="B181" s="74">
        <v>-35.558414460000002</v>
      </c>
      <c r="D181" s="15">
        <v>4695491623.2465515</v>
      </c>
      <c r="E181" s="74">
        <v>-34.282577510000003</v>
      </c>
      <c r="G181" s="15">
        <v>4799131623.2465515</v>
      </c>
      <c r="H181" s="74">
        <v>-33.60062027</v>
      </c>
    </row>
    <row r="182" spans="1:8">
      <c r="A182" s="15">
        <v>6900739839.6793203</v>
      </c>
      <c r="B182" s="74">
        <v>-35.898445129999999</v>
      </c>
      <c r="D182" s="15">
        <v>4695493226.4529648</v>
      </c>
      <c r="E182" s="74">
        <v>-34.261226649999998</v>
      </c>
      <c r="G182" s="15">
        <v>4799133226.4529648</v>
      </c>
      <c r="H182" s="74">
        <v>-33.805656429999999</v>
      </c>
    </row>
    <row r="183" spans="1:8">
      <c r="A183" s="15">
        <v>6900742244.4889393</v>
      </c>
      <c r="B183" s="74">
        <v>-34.837955469999997</v>
      </c>
      <c r="D183" s="15">
        <v>4695494829.6593781</v>
      </c>
      <c r="E183" s="74">
        <v>-33.859279630000003</v>
      </c>
      <c r="G183" s="15">
        <v>4799134829.6593781</v>
      </c>
      <c r="H183" s="74">
        <v>-33.07043839</v>
      </c>
    </row>
    <row r="184" spans="1:8">
      <c r="A184" s="15">
        <v>6900744649.2985582</v>
      </c>
      <c r="B184" s="74">
        <v>-34.88893127</v>
      </c>
      <c r="D184" s="15">
        <v>4695496432.8657913</v>
      </c>
      <c r="E184" s="74">
        <v>-33.810237880000003</v>
      </c>
      <c r="G184" s="15">
        <v>4799136432.8657913</v>
      </c>
      <c r="H184" s="74">
        <v>-33.006530759999997</v>
      </c>
    </row>
    <row r="185" spans="1:8">
      <c r="A185" s="15">
        <v>6900747054.1081772</v>
      </c>
      <c r="B185" s="74">
        <v>-35.159664149999998</v>
      </c>
      <c r="D185" s="15">
        <v>4695498036.0722046</v>
      </c>
      <c r="E185" s="74">
        <v>-33.836837770000002</v>
      </c>
      <c r="G185" s="15">
        <v>4799138036.0722046</v>
      </c>
      <c r="H185" s="74">
        <v>-32.789882660000004</v>
      </c>
    </row>
    <row r="186" spans="1:8">
      <c r="A186" s="15">
        <v>6900749458.9177961</v>
      </c>
      <c r="B186" s="74">
        <v>-34.806495669999997</v>
      </c>
      <c r="D186" s="15">
        <v>4695499639.2786179</v>
      </c>
      <c r="E186" s="74">
        <v>-33.090373990000003</v>
      </c>
      <c r="G186" s="15">
        <v>4799139639.2786179</v>
      </c>
      <c r="H186" s="74">
        <v>-32.749595640000003</v>
      </c>
    </row>
    <row r="187" spans="1:8">
      <c r="A187" s="15">
        <v>6900751863.7274151</v>
      </c>
      <c r="B187" s="74">
        <v>-36.069835660000003</v>
      </c>
      <c r="D187" s="15">
        <v>4695501242.4850311</v>
      </c>
      <c r="E187" s="74">
        <v>-34.71766281</v>
      </c>
      <c r="G187" s="15">
        <v>4799141242.4850311</v>
      </c>
      <c r="H187" s="74">
        <v>-33.743888849999998</v>
      </c>
    </row>
    <row r="188" spans="1:8">
      <c r="A188" s="15">
        <v>6900754268.537034</v>
      </c>
      <c r="B188" s="74">
        <v>-35.041667940000004</v>
      </c>
      <c r="D188" s="15">
        <v>4695502845.6914444</v>
      </c>
      <c r="E188" s="74">
        <v>-33.42250061</v>
      </c>
      <c r="G188" s="15">
        <v>4799142845.6914444</v>
      </c>
      <c r="H188" s="74">
        <v>-33.269611359999999</v>
      </c>
    </row>
    <row r="189" spans="1:8">
      <c r="A189" s="15">
        <v>6900756673.346653</v>
      </c>
      <c r="B189" s="74">
        <v>-33.550479889999998</v>
      </c>
      <c r="D189" s="15">
        <v>4695504448.8978577</v>
      </c>
      <c r="E189" s="74">
        <v>-32.479106899999998</v>
      </c>
      <c r="G189" s="15">
        <v>4799144448.8978577</v>
      </c>
      <c r="H189" s="74">
        <v>-31.866252899999999</v>
      </c>
    </row>
    <row r="190" spans="1:8">
      <c r="A190" s="15">
        <v>6900759078.1562719</v>
      </c>
      <c r="B190" s="74">
        <v>-35.734024050000002</v>
      </c>
      <c r="D190" s="15">
        <v>4695506052.1042709</v>
      </c>
      <c r="E190" s="74">
        <v>-34.095211030000002</v>
      </c>
      <c r="G190" s="15">
        <v>4799146052.1042709</v>
      </c>
      <c r="H190" s="74">
        <v>-33.189254759999997</v>
      </c>
    </row>
    <row r="191" spans="1:8">
      <c r="A191" s="15">
        <v>6900761482.9658909</v>
      </c>
      <c r="B191" s="74">
        <v>-34.934349060000002</v>
      </c>
      <c r="D191" s="15">
        <v>4695507655.3106842</v>
      </c>
      <c r="E191" s="74">
        <v>-33.309673310000001</v>
      </c>
      <c r="G191" s="15">
        <v>4799147655.3106842</v>
      </c>
      <c r="H191" s="74">
        <v>-32.91934586</v>
      </c>
    </row>
    <row r="192" spans="1:8">
      <c r="A192" s="15">
        <v>6900763887.7755098</v>
      </c>
      <c r="B192" s="74">
        <v>-34.68045807</v>
      </c>
      <c r="D192" s="15">
        <v>4695509258.5170975</v>
      </c>
      <c r="E192" s="74">
        <v>-33.307090760000001</v>
      </c>
      <c r="G192" s="15">
        <v>4799149258.5170975</v>
      </c>
      <c r="H192" s="74">
        <v>-32.752525329999997</v>
      </c>
    </row>
    <row r="193" spans="1:8">
      <c r="A193" s="15">
        <v>6900766292.5851288</v>
      </c>
      <c r="B193" s="74">
        <v>-36.269878390000002</v>
      </c>
      <c r="D193" s="15">
        <v>4695510861.7235107</v>
      </c>
      <c r="E193" s="74">
        <v>-34.532173159999999</v>
      </c>
      <c r="G193" s="15">
        <v>4799150861.7235107</v>
      </c>
      <c r="H193" s="74">
        <v>-33.46419144</v>
      </c>
    </row>
    <row r="194" spans="1:8">
      <c r="A194" s="15">
        <v>6900768697.3947477</v>
      </c>
      <c r="B194" s="74">
        <v>-35.872093200000002</v>
      </c>
      <c r="D194" s="15">
        <v>4695512464.929924</v>
      </c>
      <c r="E194" s="74">
        <v>-34.212928769999998</v>
      </c>
      <c r="G194" s="15">
        <v>4799152464.929924</v>
      </c>
      <c r="H194" s="74">
        <v>-33.652839659999998</v>
      </c>
    </row>
    <row r="195" spans="1:8">
      <c r="A195" s="15">
        <v>6900771102.2043667</v>
      </c>
      <c r="B195" s="74">
        <v>-34.851768489999998</v>
      </c>
      <c r="D195" s="15">
        <v>4695514068.1363373</v>
      </c>
      <c r="E195" s="74">
        <v>-33.473487849999998</v>
      </c>
      <c r="G195" s="15">
        <v>4799154068.1363373</v>
      </c>
      <c r="H195" s="74">
        <v>-32.772502899999999</v>
      </c>
    </row>
    <row r="196" spans="1:8">
      <c r="A196" s="15">
        <v>6900773507.0139856</v>
      </c>
      <c r="B196" s="74">
        <v>-35.491146090000001</v>
      </c>
      <c r="D196" s="15">
        <v>4695515671.3427505</v>
      </c>
      <c r="E196" s="74">
        <v>-33.749984740000002</v>
      </c>
      <c r="G196" s="15">
        <v>4799155671.3427505</v>
      </c>
      <c r="H196" s="74">
        <v>-33.232852940000001</v>
      </c>
    </row>
    <row r="197" spans="1:8">
      <c r="A197" s="15">
        <v>6900775911.8236046</v>
      </c>
      <c r="B197" s="74">
        <v>-33.968349459999999</v>
      </c>
      <c r="D197" s="15">
        <v>4695517274.5491638</v>
      </c>
      <c r="E197" s="74">
        <v>-33.082592009999999</v>
      </c>
      <c r="G197" s="15">
        <v>4799157274.5491638</v>
      </c>
      <c r="H197" s="74">
        <v>-32.414840699999999</v>
      </c>
    </row>
    <row r="198" spans="1:8">
      <c r="A198" s="15">
        <v>6900778316.6332235</v>
      </c>
      <c r="B198" s="74">
        <v>-36.782703400000003</v>
      </c>
      <c r="D198" s="15">
        <v>4695518877.7555771</v>
      </c>
      <c r="E198" s="74">
        <v>-35.123535160000003</v>
      </c>
      <c r="G198" s="15">
        <v>4799158877.7555771</v>
      </c>
      <c r="H198" s="74">
        <v>-34.29186249</v>
      </c>
    </row>
    <row r="199" spans="1:8">
      <c r="A199" s="15">
        <v>6900780721.4428425</v>
      </c>
      <c r="B199" s="74">
        <v>-35.444934840000002</v>
      </c>
      <c r="D199" s="15">
        <v>4695520480.9619904</v>
      </c>
      <c r="E199" s="74">
        <v>-33.945617679999998</v>
      </c>
      <c r="G199" s="15">
        <v>4799160480.9619904</v>
      </c>
      <c r="H199" s="74">
        <v>-33.312622070000003</v>
      </c>
    </row>
    <row r="200" spans="1:8">
      <c r="A200" s="15">
        <v>6900783126.2524614</v>
      </c>
      <c r="B200" s="74">
        <v>-34.510051730000001</v>
      </c>
      <c r="D200" s="15">
        <v>4695522084.1684036</v>
      </c>
      <c r="E200" s="74">
        <v>-33.191535950000002</v>
      </c>
      <c r="G200" s="15">
        <v>4799162084.1684036</v>
      </c>
      <c r="H200" s="74">
        <v>-32.891517640000004</v>
      </c>
    </row>
    <row r="201" spans="1:8">
      <c r="A201" s="15">
        <v>6900785531.0620804</v>
      </c>
      <c r="B201" s="74">
        <v>-35.205936430000001</v>
      </c>
      <c r="D201" s="15">
        <v>4695523687.3748169</v>
      </c>
      <c r="E201" s="74">
        <v>-34.154701230000001</v>
      </c>
      <c r="G201" s="15">
        <v>4799163687.3748169</v>
      </c>
      <c r="H201" s="74">
        <v>-33.236988070000002</v>
      </c>
    </row>
    <row r="202" spans="1:8">
      <c r="A202" s="15">
        <v>6900787935.8716993</v>
      </c>
      <c r="B202" s="74">
        <v>-35.02845001</v>
      </c>
      <c r="D202" s="15">
        <v>4695525290.5812302</v>
      </c>
      <c r="E202" s="74">
        <v>-33.766456599999998</v>
      </c>
      <c r="G202" s="15">
        <v>4799165290.5812302</v>
      </c>
      <c r="H202" s="74">
        <v>-33.065692900000002</v>
      </c>
    </row>
    <row r="203" spans="1:8">
      <c r="A203" s="15">
        <v>6900790340.6813183</v>
      </c>
      <c r="B203" s="74">
        <v>-35.698707579999997</v>
      </c>
      <c r="D203" s="15">
        <v>4695526893.7876434</v>
      </c>
      <c r="E203" s="74">
        <v>-33.551372530000002</v>
      </c>
      <c r="G203" s="15">
        <v>4799166893.7876434</v>
      </c>
      <c r="H203" s="74">
        <v>-32.953163150000002</v>
      </c>
    </row>
    <row r="204" spans="1:8">
      <c r="A204" s="15">
        <v>6900792745.4909372</v>
      </c>
      <c r="B204" s="74">
        <v>-35.163326259999998</v>
      </c>
      <c r="D204" s="15">
        <v>4695528496.9940567</v>
      </c>
      <c r="E204" s="74">
        <v>-33.941787720000001</v>
      </c>
      <c r="G204" s="15">
        <v>4799168496.9940567</v>
      </c>
      <c r="H204" s="74">
        <v>-32.98492813</v>
      </c>
    </row>
    <row r="205" spans="1:8">
      <c r="A205" s="15">
        <v>6900795150.3005562</v>
      </c>
      <c r="B205" s="74">
        <v>-35.928222660000003</v>
      </c>
      <c r="D205" s="15">
        <v>4695530100.20047</v>
      </c>
      <c r="E205" s="74">
        <v>-34.209438319999997</v>
      </c>
      <c r="G205" s="15">
        <v>4799170100.20047</v>
      </c>
      <c r="H205" s="74">
        <v>-33.66818619</v>
      </c>
    </row>
    <row r="206" spans="1:8">
      <c r="A206" s="15">
        <v>6900797555.1101751</v>
      </c>
      <c r="B206" s="74">
        <v>-36.27734375</v>
      </c>
      <c r="D206" s="15">
        <v>4695531703.4068832</v>
      </c>
      <c r="E206" s="74">
        <v>-34.478839870000002</v>
      </c>
      <c r="G206" s="15">
        <v>4799171703.4068832</v>
      </c>
      <c r="H206" s="74">
        <v>-33.739597320000001</v>
      </c>
    </row>
    <row r="207" spans="1:8">
      <c r="A207" s="15">
        <v>6900799959.9197941</v>
      </c>
      <c r="B207" s="74">
        <v>-34.855728149999997</v>
      </c>
      <c r="D207" s="15">
        <v>4695533306.6132965</v>
      </c>
      <c r="E207" s="74">
        <v>-33.019786830000001</v>
      </c>
      <c r="G207" s="15">
        <v>4799173306.6132965</v>
      </c>
      <c r="H207" s="74">
        <v>-32.834838869999999</v>
      </c>
    </row>
    <row r="208" spans="1:8">
      <c r="A208" s="15">
        <v>6900802364.729413</v>
      </c>
      <c r="B208" s="74">
        <v>-36.255825039999998</v>
      </c>
      <c r="D208" s="15">
        <v>4695534909.8197098</v>
      </c>
      <c r="E208" s="74">
        <v>-34.62858963</v>
      </c>
      <c r="G208" s="15">
        <v>4799174909.8197098</v>
      </c>
      <c r="H208" s="74">
        <v>-33.891078950000001</v>
      </c>
    </row>
    <row r="209" spans="1:8">
      <c r="A209" s="15">
        <v>6900804769.539032</v>
      </c>
      <c r="B209" s="74">
        <v>-35.781749730000001</v>
      </c>
      <c r="D209" s="15">
        <v>4695536513.026123</v>
      </c>
      <c r="E209" s="74">
        <v>-34.257270810000001</v>
      </c>
      <c r="G209" s="15">
        <v>4799176513.026123</v>
      </c>
      <c r="H209" s="74">
        <v>-33.223712919999997</v>
      </c>
    </row>
    <row r="210" spans="1:8">
      <c r="A210" s="15">
        <v>6900807174.3486509</v>
      </c>
      <c r="B210" s="74">
        <v>-37.165393829999999</v>
      </c>
      <c r="D210" s="15">
        <v>4695538116.2325363</v>
      </c>
      <c r="E210" s="74">
        <v>-34.725959779999997</v>
      </c>
      <c r="G210" s="15">
        <v>4799178116.2325363</v>
      </c>
      <c r="H210" s="74">
        <v>-34.611717220000003</v>
      </c>
    </row>
    <row r="211" spans="1:8">
      <c r="A211" s="15">
        <v>6900809579.1582699</v>
      </c>
      <c r="B211" s="74">
        <v>-35.703289030000001</v>
      </c>
      <c r="D211" s="15">
        <v>4695539719.4389496</v>
      </c>
      <c r="E211" s="74">
        <v>-34.072811129999998</v>
      </c>
      <c r="G211" s="15">
        <v>4799179719.4389496</v>
      </c>
      <c r="H211" s="74">
        <v>-33.275600429999997</v>
      </c>
    </row>
    <row r="212" spans="1:8">
      <c r="A212" s="15">
        <v>6900811983.9678888</v>
      </c>
      <c r="B212" s="74">
        <v>-34.15571594</v>
      </c>
      <c r="D212" s="15">
        <v>4695541322.6453629</v>
      </c>
      <c r="E212" s="74">
        <v>-33.302665709999999</v>
      </c>
      <c r="G212" s="15">
        <v>4799181322.6453629</v>
      </c>
      <c r="H212" s="74">
        <v>-32.333786009999997</v>
      </c>
    </row>
    <row r="213" spans="1:8">
      <c r="A213" s="15">
        <v>6900814388.7775078</v>
      </c>
      <c r="B213" s="74">
        <v>-33.837467189999998</v>
      </c>
      <c r="D213" s="15">
        <v>4695542925.8517761</v>
      </c>
      <c r="E213" s="74">
        <v>-32.719772339999999</v>
      </c>
      <c r="G213" s="15">
        <v>4799182925.8517761</v>
      </c>
      <c r="H213" s="74">
        <v>-32.101333619999998</v>
      </c>
    </row>
    <row r="214" spans="1:8">
      <c r="A214" s="15">
        <v>6900816793.5871267</v>
      </c>
      <c r="B214" s="74">
        <v>-34.99621964</v>
      </c>
      <c r="D214" s="15">
        <v>4695544529.0581894</v>
      </c>
      <c r="E214" s="74">
        <v>-33.96783447</v>
      </c>
      <c r="G214" s="15">
        <v>4799184529.0581894</v>
      </c>
      <c r="H214" s="74">
        <v>-32.826190949999997</v>
      </c>
    </row>
    <row r="215" spans="1:8">
      <c r="A215" s="15">
        <v>6900819198.3967457</v>
      </c>
      <c r="B215" s="74">
        <v>-36.094127659999998</v>
      </c>
      <c r="D215" s="15">
        <v>4695546132.2646027</v>
      </c>
      <c r="E215" s="74">
        <v>-33.343673709999997</v>
      </c>
      <c r="G215" s="15">
        <v>4799186132.2646027</v>
      </c>
      <c r="H215" s="74">
        <v>-33.432292940000004</v>
      </c>
    </row>
    <row r="216" spans="1:8">
      <c r="A216" s="15">
        <v>6900821603.2063646</v>
      </c>
      <c r="B216" s="74">
        <v>-34.888244630000003</v>
      </c>
      <c r="D216" s="15">
        <v>4695547735.4710159</v>
      </c>
      <c r="E216" s="74">
        <v>-33.330692290000002</v>
      </c>
      <c r="G216" s="15">
        <v>4799187735.4710159</v>
      </c>
      <c r="H216" s="74">
        <v>-32.50503922</v>
      </c>
    </row>
    <row r="217" spans="1:8">
      <c r="A217" s="15">
        <v>6900824008.0159836</v>
      </c>
      <c r="B217" s="74">
        <v>-34.766498570000003</v>
      </c>
      <c r="D217" s="15">
        <v>4695549338.6774292</v>
      </c>
      <c r="E217" s="74">
        <v>-33.183097840000002</v>
      </c>
      <c r="G217" s="15">
        <v>4799189338.6774292</v>
      </c>
      <c r="H217" s="74">
        <v>-32.762821199999998</v>
      </c>
    </row>
    <row r="218" spans="1:8">
      <c r="A218" s="15">
        <v>6900826412.8256025</v>
      </c>
      <c r="B218" s="74">
        <v>-34.937618260000001</v>
      </c>
      <c r="D218" s="15">
        <v>4695550941.8838425</v>
      </c>
      <c r="E218" s="74">
        <v>-33.789798740000002</v>
      </c>
      <c r="G218" s="15">
        <v>4799190941.8838425</v>
      </c>
      <c r="H218" s="74">
        <v>-32.802017210000002</v>
      </c>
    </row>
    <row r="219" spans="1:8">
      <c r="A219" s="15">
        <v>6900828817.6352215</v>
      </c>
      <c r="B219" s="74">
        <v>-35.436588290000003</v>
      </c>
      <c r="D219" s="15">
        <v>4695552545.0902557</v>
      </c>
      <c r="E219" s="74">
        <v>-33.630241390000002</v>
      </c>
      <c r="G219" s="15">
        <v>4799192545.0902557</v>
      </c>
      <c r="H219" s="74">
        <v>-33.137527470000002</v>
      </c>
    </row>
    <row r="220" spans="1:8">
      <c r="A220" s="15">
        <v>6900831222.4448404</v>
      </c>
      <c r="B220" s="74">
        <v>-34.260074619999997</v>
      </c>
      <c r="D220" s="15">
        <v>4695554148.296669</v>
      </c>
      <c r="E220" s="74">
        <v>-32.803150180000003</v>
      </c>
      <c r="G220" s="15">
        <v>4799194148.296669</v>
      </c>
      <c r="H220" s="74">
        <v>-32.244373320000001</v>
      </c>
    </row>
    <row r="221" spans="1:8">
      <c r="A221" s="15">
        <v>6900833627.2544594</v>
      </c>
      <c r="B221" s="74">
        <v>-35.275745389999997</v>
      </c>
      <c r="D221" s="15">
        <v>4695555751.5030823</v>
      </c>
      <c r="E221" s="74">
        <v>-33.961936950000002</v>
      </c>
      <c r="G221" s="15">
        <v>4799195751.5030823</v>
      </c>
      <c r="H221" s="74">
        <v>-33.032157900000001</v>
      </c>
    </row>
    <row r="222" spans="1:8">
      <c r="A222" s="15">
        <v>6900836032.0640783</v>
      </c>
      <c r="B222" s="74">
        <v>-35.607379909999999</v>
      </c>
      <c r="D222" s="15">
        <v>4695557354.7094955</v>
      </c>
      <c r="E222" s="74">
        <v>-33.969036099999997</v>
      </c>
      <c r="G222" s="15">
        <v>4799197354.7094955</v>
      </c>
      <c r="H222" s="74">
        <v>-33.164211270000003</v>
      </c>
    </row>
    <row r="223" spans="1:8">
      <c r="A223" s="15">
        <v>6900838436.8736973</v>
      </c>
      <c r="B223" s="74">
        <v>-35.14142227</v>
      </c>
      <c r="D223" s="15">
        <v>4695558957.9159088</v>
      </c>
      <c r="E223" s="74">
        <v>-34.006465910000003</v>
      </c>
      <c r="G223" s="15">
        <v>4799198957.9159088</v>
      </c>
      <c r="H223" s="74">
        <v>-32.761085510000001</v>
      </c>
    </row>
    <row r="224" spans="1:8">
      <c r="A224" s="15">
        <v>6900840841.6833162</v>
      </c>
      <c r="B224" s="74">
        <v>-35.457389829999997</v>
      </c>
      <c r="D224" s="15">
        <v>4695560561.1223221</v>
      </c>
      <c r="E224" s="74">
        <v>-33.433383939999999</v>
      </c>
      <c r="G224" s="15">
        <v>4799200561.1223221</v>
      </c>
      <c r="H224" s="74">
        <v>-33.64884567</v>
      </c>
    </row>
    <row r="225" spans="1:8">
      <c r="A225" s="15">
        <v>6900843246.4929352</v>
      </c>
      <c r="B225" s="74">
        <v>-34.853206630000003</v>
      </c>
      <c r="D225" s="15">
        <v>4695562164.3287354</v>
      </c>
      <c r="E225" s="74">
        <v>-33.241397859999999</v>
      </c>
      <c r="G225" s="15">
        <v>4799202164.3287354</v>
      </c>
      <c r="H225" s="74">
        <v>-32.045730589999998</v>
      </c>
    </row>
    <row r="226" spans="1:8">
      <c r="A226" s="15">
        <v>6900845651.3025541</v>
      </c>
      <c r="B226" s="74">
        <v>-35.687202450000001</v>
      </c>
      <c r="D226" s="15">
        <v>4695563767.5351486</v>
      </c>
      <c r="E226" s="74">
        <v>-33.857803339999997</v>
      </c>
      <c r="G226" s="15">
        <v>4799203767.5351486</v>
      </c>
      <c r="H226" s="74">
        <v>-33.358711239999998</v>
      </c>
    </row>
    <row r="227" spans="1:8">
      <c r="A227" s="15">
        <v>6900848056.1121731</v>
      </c>
      <c r="B227" s="74">
        <v>-35.826171870000003</v>
      </c>
      <c r="D227" s="15">
        <v>4695565370.7415619</v>
      </c>
      <c r="E227" s="74">
        <v>-34.080547330000002</v>
      </c>
      <c r="G227" s="15">
        <v>4799205370.7415619</v>
      </c>
      <c r="H227" s="74">
        <v>-33.360759739999999</v>
      </c>
    </row>
    <row r="228" spans="1:8">
      <c r="A228" s="15">
        <v>6900850460.921792</v>
      </c>
      <c r="B228" s="74">
        <v>-35.140548709999997</v>
      </c>
      <c r="D228" s="15">
        <v>4695566973.9479752</v>
      </c>
      <c r="E228" s="74">
        <v>-33.766056059999997</v>
      </c>
      <c r="G228" s="15">
        <v>4799206973.9479752</v>
      </c>
      <c r="H228" s="74">
        <v>-32.995532990000001</v>
      </c>
    </row>
    <row r="229" spans="1:8">
      <c r="A229" s="15">
        <v>6900852865.731411</v>
      </c>
      <c r="B229" s="74">
        <v>-35.03310776</v>
      </c>
      <c r="D229" s="15">
        <v>4695568577.1543884</v>
      </c>
      <c r="E229" s="74">
        <v>-33.36617279</v>
      </c>
      <c r="G229" s="15">
        <v>4799208577.1543884</v>
      </c>
      <c r="H229" s="74">
        <v>-32.742610929999998</v>
      </c>
    </row>
    <row r="230" spans="1:8">
      <c r="A230" s="15">
        <v>6900855270.5410299</v>
      </c>
      <c r="B230" s="74">
        <v>-35.820198060000003</v>
      </c>
      <c r="D230" s="15">
        <v>4695570180.3608017</v>
      </c>
      <c r="E230" s="74">
        <v>-33.815959929999998</v>
      </c>
      <c r="G230" s="15">
        <v>4799210180.3608017</v>
      </c>
      <c r="H230" s="74">
        <v>-32.922279359999997</v>
      </c>
    </row>
    <row r="231" spans="1:8">
      <c r="A231" s="15">
        <v>6900857675.3506489</v>
      </c>
      <c r="B231" s="74">
        <v>-34.503654480000002</v>
      </c>
      <c r="D231" s="15">
        <v>4695571783.567215</v>
      </c>
      <c r="E231" s="74">
        <v>-33.119922639999999</v>
      </c>
      <c r="G231" s="15">
        <v>4799211783.567215</v>
      </c>
      <c r="H231" s="74">
        <v>-32.095642089999998</v>
      </c>
    </row>
    <row r="232" spans="1:8">
      <c r="A232" s="15">
        <v>6900860080.1602678</v>
      </c>
      <c r="B232" s="74">
        <v>-37.09157562</v>
      </c>
      <c r="D232" s="15">
        <v>4695573386.7736282</v>
      </c>
      <c r="E232" s="74">
        <v>-33.913078310000003</v>
      </c>
      <c r="G232" s="15">
        <v>4799213386.7736282</v>
      </c>
      <c r="H232" s="74">
        <v>-34.013530729999999</v>
      </c>
    </row>
    <row r="233" spans="1:8">
      <c r="A233" s="15">
        <v>6900862484.9698868</v>
      </c>
      <c r="B233" s="74">
        <v>-34.46187973</v>
      </c>
      <c r="D233" s="15">
        <v>4695574989.9800415</v>
      </c>
      <c r="E233" s="74">
        <v>-33.695041660000001</v>
      </c>
      <c r="G233" s="15">
        <v>4799214989.9800415</v>
      </c>
      <c r="H233" s="74">
        <v>-32.2782135</v>
      </c>
    </row>
    <row r="234" spans="1:8">
      <c r="A234" s="15">
        <v>6900864889.7795057</v>
      </c>
      <c r="B234" s="74">
        <v>-33.840099330000001</v>
      </c>
      <c r="D234" s="15">
        <v>4695576593.1864548</v>
      </c>
      <c r="E234" s="74">
        <v>-32.333919530000003</v>
      </c>
      <c r="G234" s="15">
        <v>4799216593.1864548</v>
      </c>
      <c r="H234" s="74">
        <v>-31.76270294</v>
      </c>
    </row>
    <row r="235" spans="1:8">
      <c r="A235" s="15">
        <v>6900867294.5891247</v>
      </c>
      <c r="B235" s="74">
        <v>-36.044235229999998</v>
      </c>
      <c r="D235" s="15">
        <v>4695578196.392868</v>
      </c>
      <c r="E235" s="74">
        <v>-33.177471160000003</v>
      </c>
      <c r="G235" s="15">
        <v>4799218196.392868</v>
      </c>
      <c r="H235" s="74">
        <v>-33.102352140000001</v>
      </c>
    </row>
    <row r="236" spans="1:8">
      <c r="A236" s="15">
        <v>6900869699.3987436</v>
      </c>
      <c r="B236" s="74">
        <v>-34.869663240000001</v>
      </c>
      <c r="D236" s="15">
        <v>4695579799.5992813</v>
      </c>
      <c r="E236" s="74">
        <v>-33.049682619999999</v>
      </c>
      <c r="G236" s="15">
        <v>4799219799.5992813</v>
      </c>
      <c r="H236" s="74">
        <v>-32.410182949999999</v>
      </c>
    </row>
    <row r="237" spans="1:8">
      <c r="A237" s="15">
        <v>6900872104.2083626</v>
      </c>
      <c r="B237" s="74">
        <v>-35.164386749999998</v>
      </c>
      <c r="D237" s="15">
        <v>4695581402.8056946</v>
      </c>
      <c r="E237" s="74">
        <v>-33.785465240000001</v>
      </c>
      <c r="G237" s="15">
        <v>4799221402.8056946</v>
      </c>
      <c r="H237" s="74">
        <v>-32.638847349999999</v>
      </c>
    </row>
    <row r="238" spans="1:8">
      <c r="A238" s="15">
        <v>6900874509.0179815</v>
      </c>
      <c r="B238" s="74">
        <v>-36.384719850000003</v>
      </c>
      <c r="D238" s="15">
        <v>4695583006.0121078</v>
      </c>
      <c r="E238" s="74">
        <v>-33.626152040000001</v>
      </c>
      <c r="G238" s="15">
        <v>4799223006.0121078</v>
      </c>
      <c r="H238" s="74">
        <v>-33.22311783</v>
      </c>
    </row>
    <row r="239" spans="1:8">
      <c r="A239" s="15">
        <v>6900876913.8276005</v>
      </c>
      <c r="B239" s="74">
        <v>-36.149311070000003</v>
      </c>
      <c r="D239" s="15">
        <v>4695584609.2185211</v>
      </c>
      <c r="E239" s="74">
        <v>-34.035869599999998</v>
      </c>
      <c r="G239" s="15">
        <v>4799224609.2185211</v>
      </c>
      <c r="H239" s="74">
        <v>-33.413440700000002</v>
      </c>
    </row>
    <row r="240" spans="1:8">
      <c r="A240" s="15">
        <v>6900879318.6372194</v>
      </c>
      <c r="B240" s="74">
        <v>-35.622032169999997</v>
      </c>
      <c r="D240" s="15">
        <v>4695586212.4249344</v>
      </c>
      <c r="E240" s="74">
        <v>-33.750663760000002</v>
      </c>
      <c r="G240" s="15">
        <v>4799226212.4249344</v>
      </c>
      <c r="H240" s="74">
        <v>-32.768089289999999</v>
      </c>
    </row>
    <row r="241" spans="1:8">
      <c r="A241" s="15">
        <v>6900881723.4468384</v>
      </c>
      <c r="B241" s="74">
        <v>-34.891361240000002</v>
      </c>
      <c r="D241" s="15">
        <v>4695587815.6313477</v>
      </c>
      <c r="E241" s="74">
        <v>-32.976467130000003</v>
      </c>
      <c r="G241" s="15">
        <v>4799227815.6313477</v>
      </c>
      <c r="H241" s="74">
        <v>-32.447772980000003</v>
      </c>
    </row>
    <row r="242" spans="1:8">
      <c r="A242" s="15">
        <v>6900884128.2564573</v>
      </c>
      <c r="B242" s="74">
        <v>-34.358375549999998</v>
      </c>
      <c r="D242" s="15">
        <v>4695589418.8377609</v>
      </c>
      <c r="E242" s="74">
        <v>-33.436935419999998</v>
      </c>
      <c r="G242" s="15">
        <v>4799229418.8377609</v>
      </c>
      <c r="H242" s="74">
        <v>-32.182476039999997</v>
      </c>
    </row>
    <row r="243" spans="1:8">
      <c r="A243" s="15">
        <v>6900886533.0660763</v>
      </c>
      <c r="B243" s="74">
        <v>-36.82542419</v>
      </c>
      <c r="D243" s="15">
        <v>4695591022.0441742</v>
      </c>
      <c r="E243" s="74">
        <v>-34.00629807</v>
      </c>
      <c r="G243" s="15">
        <v>4799231022.0441742</v>
      </c>
      <c r="H243" s="74">
        <v>-34.080242159999997</v>
      </c>
    </row>
    <row r="244" spans="1:8">
      <c r="A244" s="15">
        <v>6900888937.8756952</v>
      </c>
      <c r="B244" s="74">
        <v>-35.430969240000003</v>
      </c>
      <c r="D244" s="15">
        <v>4695592625.2505875</v>
      </c>
      <c r="E244" s="74">
        <v>-33.425159450000002</v>
      </c>
      <c r="G244" s="15">
        <v>4799232625.2505875</v>
      </c>
      <c r="H244" s="74">
        <v>-32.940567020000003</v>
      </c>
    </row>
    <row r="245" spans="1:8">
      <c r="A245" s="15">
        <v>6900891342.6853142</v>
      </c>
      <c r="B245" s="74">
        <v>-34.788623809999997</v>
      </c>
      <c r="D245" s="15">
        <v>4695594228.4570007</v>
      </c>
      <c r="E245" s="74">
        <v>-33.86158752</v>
      </c>
      <c r="G245" s="15">
        <v>4799234228.4570007</v>
      </c>
      <c r="H245" s="74">
        <v>-32.596782679999997</v>
      </c>
    </row>
    <row r="246" spans="1:8">
      <c r="A246" s="15">
        <v>6900893747.4949331</v>
      </c>
      <c r="B246" s="74">
        <v>-35.373119350000003</v>
      </c>
      <c r="D246" s="15">
        <v>4695595831.663414</v>
      </c>
      <c r="E246" s="74">
        <v>-33.032070160000004</v>
      </c>
      <c r="G246" s="15">
        <v>4799235831.663414</v>
      </c>
      <c r="H246" s="74">
        <v>-33.141300200000003</v>
      </c>
    </row>
    <row r="247" spans="1:8">
      <c r="A247" s="15">
        <v>6900896152.3045521</v>
      </c>
      <c r="B247" s="74">
        <v>-35.550045009999998</v>
      </c>
      <c r="D247" s="15">
        <v>4695597434.8698273</v>
      </c>
      <c r="E247" s="74">
        <v>-33.986953739999997</v>
      </c>
      <c r="G247" s="15">
        <v>4799237434.8698273</v>
      </c>
      <c r="H247" s="74">
        <v>-33.063114169999999</v>
      </c>
    </row>
    <row r="248" spans="1:8">
      <c r="A248" s="15">
        <v>6900898557.114171</v>
      </c>
      <c r="B248" s="74">
        <v>-35.906223300000001</v>
      </c>
      <c r="D248" s="15">
        <v>4695599038.0762405</v>
      </c>
      <c r="E248" s="74">
        <v>-33.934497829999998</v>
      </c>
      <c r="G248" s="15">
        <v>4799239038.0762405</v>
      </c>
      <c r="H248" s="74">
        <v>-32.466236109999997</v>
      </c>
    </row>
    <row r="249" spans="1:8">
      <c r="A249" s="15">
        <v>6900900961.92379</v>
      </c>
      <c r="B249" s="74">
        <v>-35.332145689999997</v>
      </c>
      <c r="D249" s="15">
        <v>4695600641.2826538</v>
      </c>
      <c r="E249" s="74">
        <v>-32.841117859999997</v>
      </c>
      <c r="G249" s="15">
        <v>4799240641.2826538</v>
      </c>
      <c r="H249" s="74">
        <v>-32.439506530000003</v>
      </c>
    </row>
    <row r="250" spans="1:8">
      <c r="A250" s="15">
        <v>6900903366.7334089</v>
      </c>
      <c r="B250" s="74">
        <v>-34.46313095</v>
      </c>
      <c r="D250" s="15">
        <v>4695602244.4890671</v>
      </c>
      <c r="E250" s="74">
        <v>-33.072620389999997</v>
      </c>
      <c r="G250" s="15">
        <v>4799242244.4890671</v>
      </c>
      <c r="H250" s="74">
        <v>-32.552917479999998</v>
      </c>
    </row>
    <row r="251" spans="1:8">
      <c r="A251" s="15">
        <v>6900905771.5430279</v>
      </c>
      <c r="B251" s="74">
        <v>-34.230739589999999</v>
      </c>
      <c r="D251" s="15">
        <v>4695603847.6954803</v>
      </c>
      <c r="E251" s="74">
        <v>-34.329875950000002</v>
      </c>
      <c r="G251" s="15">
        <v>4799243847.6954803</v>
      </c>
      <c r="H251" s="74">
        <v>-32.746669769999997</v>
      </c>
    </row>
    <row r="252" spans="1:8">
      <c r="A252" s="15">
        <v>6900908176.3526468</v>
      </c>
      <c r="B252" s="74">
        <v>-34.565509800000001</v>
      </c>
      <c r="D252" s="15">
        <v>4695605450.9018936</v>
      </c>
      <c r="E252" s="74">
        <v>-33.602680210000003</v>
      </c>
      <c r="G252" s="15">
        <v>4799245450.9018936</v>
      </c>
      <c r="H252" s="74">
        <v>-33.063598630000001</v>
      </c>
    </row>
    <row r="253" spans="1:8">
      <c r="A253" s="15">
        <v>6900910581.1622658</v>
      </c>
      <c r="B253" s="74">
        <v>-33.535179139999997</v>
      </c>
      <c r="D253" s="15">
        <v>4695607054.1083069</v>
      </c>
      <c r="E253" s="74">
        <v>-32.40036774</v>
      </c>
      <c r="G253" s="15">
        <v>4799247054.1083069</v>
      </c>
      <c r="H253" s="74">
        <v>-32.158836360000002</v>
      </c>
    </row>
    <row r="254" spans="1:8">
      <c r="A254" s="15">
        <v>6900912985.9718847</v>
      </c>
      <c r="B254" s="74">
        <v>-34.596027370000002</v>
      </c>
      <c r="D254" s="15">
        <v>4695608657.3147202</v>
      </c>
      <c r="E254" s="74">
        <v>-33.012554170000001</v>
      </c>
      <c r="G254" s="15">
        <v>4799248657.3147202</v>
      </c>
      <c r="H254" s="74">
        <v>-33.10783386</v>
      </c>
    </row>
    <row r="255" spans="1:8">
      <c r="A255" s="15">
        <v>6900915390.7815037</v>
      </c>
      <c r="B255" s="74">
        <v>-34.88397217</v>
      </c>
      <c r="D255" s="15">
        <v>4695610260.5211334</v>
      </c>
      <c r="E255" s="74">
        <v>-35.344963069999999</v>
      </c>
      <c r="G255" s="15">
        <v>4799250260.5211334</v>
      </c>
      <c r="H255" s="74">
        <v>-33.060192110000003</v>
      </c>
    </row>
    <row r="256" spans="1:8">
      <c r="A256" s="15">
        <v>6900917795.5911226</v>
      </c>
      <c r="B256" s="74">
        <v>-35.0447731</v>
      </c>
      <c r="D256" s="15">
        <v>4695611863.7275467</v>
      </c>
      <c r="E256" s="74">
        <v>-32.961875919999997</v>
      </c>
      <c r="G256" s="15">
        <v>4799251863.7275467</v>
      </c>
      <c r="H256" s="74">
        <v>-33.21995544</v>
      </c>
    </row>
    <row r="257" spans="1:8">
      <c r="A257" s="15">
        <v>6900920200.4007416</v>
      </c>
      <c r="B257" s="74">
        <v>-34.058208469999997</v>
      </c>
      <c r="D257" s="15">
        <v>4695613466.93396</v>
      </c>
      <c r="E257" s="74">
        <v>-33.627513890000003</v>
      </c>
      <c r="G257" s="15">
        <v>4799253466.93396</v>
      </c>
      <c r="H257" s="74">
        <v>-33.060703279999998</v>
      </c>
    </row>
    <row r="258" spans="1:8">
      <c r="A258" s="15">
        <v>6900922605.2103605</v>
      </c>
      <c r="B258" s="74">
        <v>-34.217685699999997</v>
      </c>
      <c r="D258" s="15">
        <v>4695615070.1403732</v>
      </c>
      <c r="E258" s="74">
        <v>-33.40943146</v>
      </c>
      <c r="G258" s="15">
        <v>4799255070.1403732</v>
      </c>
      <c r="H258" s="74">
        <v>-32.008308409999998</v>
      </c>
    </row>
    <row r="259" spans="1:8">
      <c r="A259" s="15">
        <v>6900925010.0199795</v>
      </c>
      <c r="B259" s="74">
        <v>-35.00329971</v>
      </c>
      <c r="D259" s="15">
        <v>4695616673.3467865</v>
      </c>
      <c r="E259" s="74">
        <v>-32.898498539999999</v>
      </c>
      <c r="G259" s="15">
        <v>4799256673.3467865</v>
      </c>
      <c r="H259" s="74">
        <v>-33.2894249</v>
      </c>
    </row>
    <row r="260" spans="1:8">
      <c r="A260" s="15">
        <v>6900927414.8295984</v>
      </c>
      <c r="B260" s="74">
        <v>-35.08969879</v>
      </c>
      <c r="D260" s="15">
        <v>4695618276.5531998</v>
      </c>
      <c r="E260" s="74">
        <v>-33.958198549999999</v>
      </c>
      <c r="G260" s="15">
        <v>4799258276.5531998</v>
      </c>
      <c r="H260" s="74">
        <v>-33.331897740000002</v>
      </c>
    </row>
    <row r="261" spans="1:8">
      <c r="A261" s="15">
        <v>6900929819.6392174</v>
      </c>
      <c r="B261" s="74">
        <v>-34.638507840000003</v>
      </c>
      <c r="D261" s="15">
        <v>4695619879.759613</v>
      </c>
      <c r="E261" s="74">
        <v>-33.840167999999998</v>
      </c>
      <c r="G261" s="15">
        <v>4799259879.759613</v>
      </c>
      <c r="H261" s="74">
        <v>-33.037841800000002</v>
      </c>
    </row>
    <row r="262" spans="1:8">
      <c r="A262" s="15">
        <v>6900932224.4488363</v>
      </c>
      <c r="B262" s="74">
        <v>-34.368476870000002</v>
      </c>
      <c r="D262" s="15">
        <v>4695621482.9660263</v>
      </c>
      <c r="E262" s="74">
        <v>-33.097232820000002</v>
      </c>
      <c r="G262" s="15">
        <v>4799261482.9660263</v>
      </c>
      <c r="H262" s="74">
        <v>-32.633098599999997</v>
      </c>
    </row>
    <row r="263" spans="1:8">
      <c r="A263" s="15">
        <v>6900934629.2584553</v>
      </c>
      <c r="B263" s="74">
        <v>-35.293582919999999</v>
      </c>
      <c r="D263" s="15">
        <v>4695623086.1724396</v>
      </c>
      <c r="E263" s="74">
        <v>-33.672386170000003</v>
      </c>
      <c r="G263" s="15">
        <v>4799263086.1724396</v>
      </c>
      <c r="H263" s="74">
        <v>-33.048721309999998</v>
      </c>
    </row>
    <row r="264" spans="1:8">
      <c r="A264" s="15">
        <v>6900937034.0680742</v>
      </c>
      <c r="B264" s="74">
        <v>-34.045837400000003</v>
      </c>
      <c r="D264" s="15">
        <v>4695624689.3788528</v>
      </c>
      <c r="E264" s="74">
        <v>-33.202987669999999</v>
      </c>
      <c r="G264" s="15">
        <v>4799264689.3788528</v>
      </c>
      <c r="H264" s="74">
        <v>-32.164150239999998</v>
      </c>
    </row>
    <row r="265" spans="1:8">
      <c r="A265" s="15">
        <v>6900939438.8776932</v>
      </c>
      <c r="B265" s="74">
        <v>-35.65195465</v>
      </c>
      <c r="D265" s="15">
        <v>4695626292.5852661</v>
      </c>
      <c r="E265" s="74">
        <v>-33.564369200000002</v>
      </c>
      <c r="G265" s="15">
        <v>4799266292.5852661</v>
      </c>
      <c r="H265" s="74">
        <v>-33.491313929999997</v>
      </c>
    </row>
    <row r="266" spans="1:8">
      <c r="A266" s="15">
        <v>6900941843.6873121</v>
      </c>
      <c r="B266" s="74">
        <v>-34.449497219999998</v>
      </c>
      <c r="D266" s="15">
        <v>4695627895.7916794</v>
      </c>
      <c r="E266" s="74">
        <v>-33.591712950000002</v>
      </c>
      <c r="G266" s="15">
        <v>4799267895.7916794</v>
      </c>
      <c r="H266" s="74">
        <v>-32.665882109999998</v>
      </c>
    </row>
    <row r="267" spans="1:8">
      <c r="A267" s="15">
        <v>6900944248.4969311</v>
      </c>
      <c r="B267" s="74">
        <v>-33.219394680000001</v>
      </c>
      <c r="D267" s="15">
        <v>4695629498.9980927</v>
      </c>
      <c r="E267" s="74">
        <v>-32.564323430000002</v>
      </c>
      <c r="G267" s="15">
        <v>4799269498.9980927</v>
      </c>
      <c r="H267" s="74">
        <v>-31.75395584</v>
      </c>
    </row>
    <row r="268" spans="1:8">
      <c r="A268" s="15">
        <v>6900946653.30655</v>
      </c>
      <c r="B268" s="74">
        <v>-34.700572970000003</v>
      </c>
      <c r="D268" s="15">
        <v>4695631102.2045059</v>
      </c>
      <c r="E268" s="74">
        <v>-32.972541810000003</v>
      </c>
      <c r="G268" s="15">
        <v>4799271102.2045059</v>
      </c>
      <c r="H268" s="74">
        <v>-32.66505051</v>
      </c>
    </row>
    <row r="269" spans="1:8">
      <c r="A269" s="15">
        <v>6900949058.116169</v>
      </c>
      <c r="B269" s="74">
        <v>-34.304821009999998</v>
      </c>
      <c r="D269" s="15">
        <v>4695632705.4109192</v>
      </c>
      <c r="E269" s="74">
        <v>-33.415534970000003</v>
      </c>
      <c r="G269" s="15">
        <v>4799272705.4109192</v>
      </c>
      <c r="H269" s="74">
        <v>-32.380077360000001</v>
      </c>
    </row>
    <row r="270" spans="1:8">
      <c r="A270" s="15">
        <v>6900951462.9257879</v>
      </c>
      <c r="B270" s="74">
        <v>-35.068103790000002</v>
      </c>
      <c r="D270" s="15">
        <v>4695634308.6173325</v>
      </c>
      <c r="E270" s="74">
        <v>-33.173091890000002</v>
      </c>
      <c r="G270" s="15">
        <v>4799274308.6173325</v>
      </c>
      <c r="H270" s="74">
        <v>-33.075473789999997</v>
      </c>
    </row>
    <row r="271" spans="1:8">
      <c r="A271" s="15">
        <v>6900953867.7354069</v>
      </c>
      <c r="B271" s="74">
        <v>-35.112792970000001</v>
      </c>
      <c r="D271" s="15">
        <v>4695635911.8237457</v>
      </c>
      <c r="E271" s="74">
        <v>-33.336887359999999</v>
      </c>
      <c r="G271" s="15">
        <v>4799275911.8237457</v>
      </c>
      <c r="H271" s="74">
        <v>-32.781738279999999</v>
      </c>
    </row>
    <row r="272" spans="1:8">
      <c r="A272" s="15">
        <v>6900956272.5450258</v>
      </c>
      <c r="B272" s="74">
        <v>-35.722507479999997</v>
      </c>
      <c r="D272" s="15">
        <v>4695637515.030159</v>
      </c>
      <c r="E272" s="74">
        <v>-33.682319640000003</v>
      </c>
      <c r="G272" s="15">
        <v>4799277515.030159</v>
      </c>
      <c r="H272" s="74">
        <v>-33.540687560000002</v>
      </c>
    </row>
    <row r="273" spans="1:8">
      <c r="A273" s="15">
        <v>6900958677.3546448</v>
      </c>
      <c r="B273" s="74">
        <v>-35.240001679999999</v>
      </c>
      <c r="D273" s="15">
        <v>4695639118.2365723</v>
      </c>
      <c r="E273" s="74">
        <v>-33.588691709999999</v>
      </c>
      <c r="G273" s="15">
        <v>4799279118.2365723</v>
      </c>
      <c r="H273" s="74">
        <v>-32.899974819999997</v>
      </c>
    </row>
    <row r="274" spans="1:8">
      <c r="A274" s="15">
        <v>6900961082.1642637</v>
      </c>
      <c r="B274" s="74">
        <v>-34.039051059999998</v>
      </c>
      <c r="D274" s="15">
        <v>4695640721.4429855</v>
      </c>
      <c r="E274" s="74">
        <v>-33.558212279999999</v>
      </c>
      <c r="G274" s="15">
        <v>4799280721.4429855</v>
      </c>
      <c r="H274" s="74">
        <v>-32.199764250000001</v>
      </c>
    </row>
    <row r="275" spans="1:8">
      <c r="A275" s="15">
        <v>6900963486.9738827</v>
      </c>
      <c r="B275" s="74">
        <v>-34.427265169999998</v>
      </c>
      <c r="D275" s="15">
        <v>4695642324.6493988</v>
      </c>
      <c r="E275" s="74">
        <v>-33.129135130000002</v>
      </c>
      <c r="G275" s="15">
        <v>4799282324.6493988</v>
      </c>
      <c r="H275" s="74">
        <v>-32.552165989999999</v>
      </c>
    </row>
    <row r="276" spans="1:8">
      <c r="A276" s="15">
        <v>6900965891.7835016</v>
      </c>
      <c r="B276" s="74">
        <v>-35.383586880000003</v>
      </c>
      <c r="D276" s="15">
        <v>4695643927.8558121</v>
      </c>
      <c r="E276" s="74">
        <v>-34.0607872</v>
      </c>
      <c r="G276" s="15">
        <v>4799283927.8558121</v>
      </c>
      <c r="H276" s="74">
        <v>-33.547660329999999</v>
      </c>
    </row>
    <row r="277" spans="1:8">
      <c r="A277" s="15">
        <v>6900968296.5931206</v>
      </c>
      <c r="B277" s="74">
        <v>-34.565235139999999</v>
      </c>
      <c r="D277" s="15">
        <v>4695645531.0622253</v>
      </c>
      <c r="E277" s="74">
        <v>-32.87041473</v>
      </c>
      <c r="G277" s="15">
        <v>4799285531.0622253</v>
      </c>
      <c r="H277" s="74">
        <v>-32.742458339999999</v>
      </c>
    </row>
    <row r="278" spans="1:8">
      <c r="A278" s="15">
        <v>6900970701.4027395</v>
      </c>
      <c r="B278" s="74">
        <v>-34.851428990000002</v>
      </c>
      <c r="D278" s="15">
        <v>4695647134.2686386</v>
      </c>
      <c r="E278" s="74">
        <v>-34.12658691</v>
      </c>
      <c r="G278" s="15">
        <v>4799287134.2686386</v>
      </c>
      <c r="H278" s="74">
        <v>-33.102588650000001</v>
      </c>
    </row>
    <row r="279" spans="1:8">
      <c r="A279" s="15">
        <v>6900973106.2123585</v>
      </c>
      <c r="B279" s="74">
        <v>-34.103065489999999</v>
      </c>
      <c r="D279" s="15">
        <v>4695648737.4750519</v>
      </c>
      <c r="E279" s="74">
        <v>-33.52565002</v>
      </c>
      <c r="G279" s="15">
        <v>4799288737.4750519</v>
      </c>
      <c r="H279" s="74">
        <v>-32.564632420000002</v>
      </c>
    </row>
    <row r="280" spans="1:8">
      <c r="A280" s="15">
        <v>6900975511.0219774</v>
      </c>
      <c r="B280" s="74">
        <v>-35.26138306</v>
      </c>
      <c r="D280" s="15">
        <v>4695650340.6814651</v>
      </c>
      <c r="E280" s="74">
        <v>-32.836174010000001</v>
      </c>
      <c r="G280" s="15">
        <v>4799290340.6814651</v>
      </c>
      <c r="H280" s="74">
        <v>-33.305473329999998</v>
      </c>
    </row>
    <row r="281" spans="1:8">
      <c r="A281" s="15">
        <v>6900977915.8315964</v>
      </c>
      <c r="B281" s="74">
        <v>-35.90475464</v>
      </c>
      <c r="D281" s="15">
        <v>4695651943.8878784</v>
      </c>
      <c r="E281" s="74">
        <v>-34.319267269999997</v>
      </c>
      <c r="G281" s="15">
        <v>4799291943.8878784</v>
      </c>
      <c r="H281" s="74">
        <v>-32.715187069999999</v>
      </c>
    </row>
    <row r="282" spans="1:8">
      <c r="A282" s="15">
        <v>6900980320.6412153</v>
      </c>
      <c r="B282" s="74">
        <v>-33.843231199999998</v>
      </c>
      <c r="D282" s="15">
        <v>4695653547.0942917</v>
      </c>
      <c r="E282" s="74">
        <v>-32.739574429999998</v>
      </c>
      <c r="G282" s="15">
        <v>4799293547.0942917</v>
      </c>
      <c r="H282" s="74">
        <v>-32.359546659999999</v>
      </c>
    </row>
    <row r="283" spans="1:8">
      <c r="A283" s="15">
        <v>6900982725.4508343</v>
      </c>
      <c r="B283" s="74">
        <v>-36.849300380000003</v>
      </c>
      <c r="D283" s="15">
        <v>4695655150.300705</v>
      </c>
      <c r="E283" s="74">
        <v>-34.574398039999998</v>
      </c>
      <c r="G283" s="15">
        <v>4799295150.300705</v>
      </c>
      <c r="H283" s="74">
        <v>-34.152965549999998</v>
      </c>
    </row>
    <row r="284" spans="1:8">
      <c r="A284" s="15">
        <v>6900985130.2604532</v>
      </c>
      <c r="B284" s="74">
        <v>-34.581295009999998</v>
      </c>
      <c r="D284" s="15">
        <v>4695656753.5071182</v>
      </c>
      <c r="E284" s="74">
        <v>-33.061664579999999</v>
      </c>
      <c r="G284" s="15">
        <v>4799296753.5071182</v>
      </c>
      <c r="H284" s="74">
        <v>-32.576831820000002</v>
      </c>
    </row>
    <row r="285" spans="1:8">
      <c r="A285" s="15">
        <v>6900987535.0700722</v>
      </c>
      <c r="B285" s="74">
        <v>-34.674243930000003</v>
      </c>
      <c r="D285" s="15">
        <v>4695658356.7135315</v>
      </c>
      <c r="E285" s="74">
        <v>-33.234275820000001</v>
      </c>
      <c r="G285" s="15">
        <v>4799298356.7135315</v>
      </c>
      <c r="H285" s="74">
        <v>-32.646015169999998</v>
      </c>
    </row>
    <row r="286" spans="1:8">
      <c r="A286" s="15">
        <v>6900989939.8796911</v>
      </c>
      <c r="B286" s="74">
        <v>-35.423919679999997</v>
      </c>
      <c r="D286" s="15">
        <v>4695659959.9199448</v>
      </c>
      <c r="E286" s="74">
        <v>-33.945133210000002</v>
      </c>
      <c r="G286" s="15">
        <v>4799299959.9199448</v>
      </c>
      <c r="H286" s="74">
        <v>-33.341781619999999</v>
      </c>
    </row>
    <row r="287" spans="1:8">
      <c r="A287" s="15">
        <v>6900992344.6893101</v>
      </c>
      <c r="B287" s="74">
        <v>-35.337993619999999</v>
      </c>
      <c r="D287" s="15">
        <v>4695661563.126358</v>
      </c>
      <c r="E287" s="74">
        <v>-34.618724819999997</v>
      </c>
      <c r="G287" s="15">
        <v>4799301563.126358</v>
      </c>
      <c r="H287" s="74">
        <v>-33.101604459999997</v>
      </c>
    </row>
    <row r="288" spans="1:8">
      <c r="A288" s="15">
        <v>6900994749.498929</v>
      </c>
      <c r="B288" s="74">
        <v>-36.114418030000003</v>
      </c>
      <c r="D288" s="15">
        <v>4695663166.3327713</v>
      </c>
      <c r="E288" s="74">
        <v>-33.212402339999997</v>
      </c>
      <c r="G288" s="15">
        <v>4799303166.3327713</v>
      </c>
      <c r="H288" s="74">
        <v>-33.832378390000002</v>
      </c>
    </row>
    <row r="289" spans="1:8">
      <c r="A289" s="15">
        <v>6900997154.308548</v>
      </c>
      <c r="B289" s="74">
        <v>-35.83724213</v>
      </c>
      <c r="D289" s="15">
        <v>4695664769.5391846</v>
      </c>
      <c r="E289" s="74">
        <v>-34.547321320000002</v>
      </c>
      <c r="G289" s="15">
        <v>4799304769.5391846</v>
      </c>
      <c r="H289" s="74">
        <v>-33.278846739999999</v>
      </c>
    </row>
    <row r="290" spans="1:8">
      <c r="A290" s="15">
        <v>6900999559.1181669</v>
      </c>
      <c r="B290" s="74">
        <v>-34.157329560000001</v>
      </c>
      <c r="D290" s="15">
        <v>4695666372.7455978</v>
      </c>
      <c r="E290" s="74">
        <v>-33.018985749999999</v>
      </c>
      <c r="G290" s="15">
        <v>4799306372.7455978</v>
      </c>
      <c r="H290" s="74">
        <v>-32.268871310000002</v>
      </c>
    </row>
    <row r="291" spans="1:8">
      <c r="A291" s="15">
        <v>6901001963.9277859</v>
      </c>
      <c r="B291" s="74">
        <v>-33.635517120000003</v>
      </c>
      <c r="D291" s="15">
        <v>4695667975.9520111</v>
      </c>
      <c r="E291" s="74">
        <v>-32.649433139999999</v>
      </c>
      <c r="G291" s="15">
        <v>4799307975.9520111</v>
      </c>
      <c r="H291" s="74">
        <v>-31.998176569999998</v>
      </c>
    </row>
    <row r="292" spans="1:8">
      <c r="A292" s="15">
        <v>6901004368.7374048</v>
      </c>
      <c r="B292" s="74">
        <v>-35.152507780000001</v>
      </c>
      <c r="D292" s="15">
        <v>4695669579.1584244</v>
      </c>
      <c r="E292" s="74">
        <v>-33.329734799999997</v>
      </c>
      <c r="G292" s="15">
        <v>4799309579.1584244</v>
      </c>
      <c r="H292" s="74">
        <v>-32.86531067</v>
      </c>
    </row>
    <row r="293" spans="1:8">
      <c r="A293" s="15">
        <v>6901006773.5470238</v>
      </c>
      <c r="B293" s="74">
        <v>-34.884922029999998</v>
      </c>
      <c r="D293" s="15">
        <v>4695671182.3648376</v>
      </c>
      <c r="E293" s="74">
        <v>-33.343276979999999</v>
      </c>
      <c r="G293" s="15">
        <v>4799311182.3648376</v>
      </c>
      <c r="H293" s="74">
        <v>-32.608200070000002</v>
      </c>
    </row>
    <row r="294" spans="1:8">
      <c r="A294" s="15">
        <v>6901009178.3566427</v>
      </c>
      <c r="B294" s="74">
        <v>-34.569118500000002</v>
      </c>
      <c r="D294" s="15">
        <v>4695672785.5712509</v>
      </c>
      <c r="E294" s="74">
        <v>-32.518196109999998</v>
      </c>
      <c r="G294" s="15">
        <v>4799312785.5712509</v>
      </c>
      <c r="H294" s="74">
        <v>-32.446411130000001</v>
      </c>
    </row>
    <row r="295" spans="1:8">
      <c r="A295" s="15">
        <v>6901011583.1662617</v>
      </c>
      <c r="B295" s="74">
        <v>-33.964893340000003</v>
      </c>
      <c r="D295" s="15">
        <v>4695674388.7776642</v>
      </c>
      <c r="E295" s="74">
        <v>-33.172702790000002</v>
      </c>
      <c r="G295" s="15">
        <v>4799314388.7776642</v>
      </c>
      <c r="H295" s="74">
        <v>-32.489597320000001</v>
      </c>
    </row>
    <row r="296" spans="1:8">
      <c r="A296" s="15">
        <v>6901013987.9758806</v>
      </c>
      <c r="B296" s="74">
        <v>-35.162300109999997</v>
      </c>
      <c r="D296" s="15">
        <v>4695675991.9840775</v>
      </c>
      <c r="E296" s="74">
        <v>-34.016506200000002</v>
      </c>
      <c r="G296" s="15">
        <v>4799315991.9840775</v>
      </c>
      <c r="H296" s="74">
        <v>-33.828041079999998</v>
      </c>
    </row>
    <row r="297" spans="1:8">
      <c r="A297" s="15">
        <v>6901016392.7854996</v>
      </c>
      <c r="B297" s="74">
        <v>-33.737903590000002</v>
      </c>
      <c r="D297" s="15">
        <v>4695677595.1904907</v>
      </c>
      <c r="E297" s="74">
        <v>-33.37567902</v>
      </c>
      <c r="G297" s="15">
        <v>4799317595.1904907</v>
      </c>
      <c r="H297" s="74">
        <v>-32.900657649999999</v>
      </c>
    </row>
    <row r="298" spans="1:8">
      <c r="A298" s="15">
        <v>6901018797.5951185</v>
      </c>
      <c r="B298" s="74">
        <v>-32.490875240000001</v>
      </c>
      <c r="D298" s="15">
        <v>4695679198.396904</v>
      </c>
      <c r="E298" s="74">
        <v>-32.716045379999997</v>
      </c>
      <c r="G298" s="15">
        <v>4799319198.396904</v>
      </c>
      <c r="H298" s="74">
        <v>-31.82889557</v>
      </c>
    </row>
    <row r="299" spans="1:8">
      <c r="A299" s="15">
        <v>6901021202.4047375</v>
      </c>
      <c r="B299" s="74">
        <v>-33.359088900000003</v>
      </c>
      <c r="D299" s="15">
        <v>4695680801.6033173</v>
      </c>
      <c r="E299" s="74">
        <v>-33.299167629999999</v>
      </c>
      <c r="G299" s="15">
        <v>4799320801.6033173</v>
      </c>
      <c r="H299" s="74">
        <v>-32.739536289999997</v>
      </c>
    </row>
    <row r="300" spans="1:8">
      <c r="A300" s="15">
        <v>6901023607.2143564</v>
      </c>
      <c r="B300" s="74">
        <v>-36.657688139999998</v>
      </c>
      <c r="D300" s="15">
        <v>4695682404.8097305</v>
      </c>
      <c r="E300" s="74">
        <v>-34.411300660000002</v>
      </c>
      <c r="G300" s="15">
        <v>4799322404.8097305</v>
      </c>
      <c r="H300" s="74">
        <v>-34.460090639999997</v>
      </c>
    </row>
    <row r="301" spans="1:8">
      <c r="A301" s="15">
        <v>6901026012.0239754</v>
      </c>
      <c r="B301" s="74">
        <v>-33.249176030000001</v>
      </c>
      <c r="D301" s="15">
        <v>4695684008.0161438</v>
      </c>
      <c r="E301" s="74">
        <v>-32.93636703</v>
      </c>
      <c r="G301" s="15">
        <v>4799324008.0161438</v>
      </c>
      <c r="H301" s="74">
        <v>-32.621704100000002</v>
      </c>
    </row>
    <row r="302" spans="1:8">
      <c r="A302" s="15">
        <v>6901028416.8335943</v>
      </c>
      <c r="B302" s="74">
        <v>-33.522361760000003</v>
      </c>
      <c r="D302" s="15">
        <v>4695685611.2225571</v>
      </c>
      <c r="E302" s="74">
        <v>-33.63669968</v>
      </c>
      <c r="G302" s="15">
        <v>4799325611.2225571</v>
      </c>
      <c r="H302" s="74">
        <v>-32.900753020000003</v>
      </c>
    </row>
    <row r="303" spans="1:8">
      <c r="A303" s="15">
        <v>6901030821.6432133</v>
      </c>
      <c r="B303" s="74">
        <v>-34.540790559999998</v>
      </c>
      <c r="D303" s="15">
        <v>4695687214.4289703</v>
      </c>
      <c r="E303" s="74">
        <v>-32.954551700000003</v>
      </c>
      <c r="G303" s="15">
        <v>4799327214.4289703</v>
      </c>
      <c r="H303" s="74">
        <v>-32.790523530000002</v>
      </c>
    </row>
    <row r="304" spans="1:8">
      <c r="A304" s="15">
        <v>6901033226.4528322</v>
      </c>
      <c r="B304" s="74">
        <v>-33.43725586</v>
      </c>
      <c r="D304" s="15">
        <v>4695688817.6353836</v>
      </c>
      <c r="E304" s="74">
        <v>-33.70936966</v>
      </c>
      <c r="G304" s="15">
        <v>4799328817.6353836</v>
      </c>
      <c r="H304" s="74">
        <v>-32.486743930000003</v>
      </c>
    </row>
    <row r="305" spans="1:8">
      <c r="A305" s="15">
        <v>6901035631.2624512</v>
      </c>
      <c r="B305" s="74">
        <v>-34.563041689999999</v>
      </c>
      <c r="D305" s="15">
        <v>4695690420.8417969</v>
      </c>
      <c r="E305" s="74">
        <v>-33.405063630000001</v>
      </c>
      <c r="G305" s="15">
        <v>4799330420.8417969</v>
      </c>
      <c r="H305" s="74">
        <v>-33.435279850000001</v>
      </c>
    </row>
    <row r="306" spans="1:8">
      <c r="A306" s="15">
        <v>6901038036.0720701</v>
      </c>
      <c r="B306" s="74">
        <v>-34.45724869</v>
      </c>
      <c r="D306" s="15">
        <v>4695692024.0482101</v>
      </c>
      <c r="E306" s="74">
        <v>-33.235488889999999</v>
      </c>
      <c r="G306" s="15">
        <v>4799332024.0482101</v>
      </c>
      <c r="H306" s="74">
        <v>-33.406761170000003</v>
      </c>
    </row>
    <row r="307" spans="1:8">
      <c r="A307" s="15">
        <v>6901040440.8816891</v>
      </c>
      <c r="B307" s="74">
        <v>-33.659511569999999</v>
      </c>
      <c r="D307" s="15">
        <v>4695693627.2546234</v>
      </c>
      <c r="E307" s="74">
        <v>-33.917430879999998</v>
      </c>
      <c r="G307" s="15">
        <v>4799333627.2546234</v>
      </c>
      <c r="H307" s="74">
        <v>-32.4640007</v>
      </c>
    </row>
    <row r="308" spans="1:8">
      <c r="A308" s="15">
        <v>6901042845.691308</v>
      </c>
      <c r="B308" s="74">
        <v>-34.907279969999998</v>
      </c>
      <c r="D308" s="15">
        <v>4695695230.4610367</v>
      </c>
      <c r="E308" s="74">
        <v>-33.139816279999998</v>
      </c>
      <c r="G308" s="15">
        <v>4799335230.4610367</v>
      </c>
      <c r="H308" s="74">
        <v>-33.208751679999999</v>
      </c>
    </row>
    <row r="309" spans="1:8">
      <c r="A309" s="15">
        <v>6901045250.500927</v>
      </c>
      <c r="B309" s="74">
        <v>-34.04593277</v>
      </c>
      <c r="D309" s="15">
        <v>4695696833.66745</v>
      </c>
      <c r="E309" s="74">
        <v>-33.108348849999999</v>
      </c>
      <c r="G309" s="15">
        <v>4799336833.66745</v>
      </c>
      <c r="H309" s="74">
        <v>-32.68082047</v>
      </c>
    </row>
    <row r="310" spans="1:8">
      <c r="A310" s="15">
        <v>6901047655.3105459</v>
      </c>
      <c r="B310" s="74">
        <v>-34.384586329999998</v>
      </c>
      <c r="D310" s="15">
        <v>4695698436.8738632</v>
      </c>
      <c r="E310" s="74">
        <v>-33.503452299999999</v>
      </c>
      <c r="G310" s="15">
        <v>4799338436.8738632</v>
      </c>
      <c r="H310" s="74">
        <v>-32.795967099999999</v>
      </c>
    </row>
    <row r="311" spans="1:8">
      <c r="A311" s="15">
        <v>6901050060.1201649</v>
      </c>
      <c r="B311" s="74">
        <v>-34.302482599999998</v>
      </c>
      <c r="D311" s="15">
        <v>4695700040.0802765</v>
      </c>
      <c r="E311" s="74">
        <v>-33.263866419999999</v>
      </c>
      <c r="G311" s="15">
        <v>4799340040.0802765</v>
      </c>
      <c r="H311" s="74">
        <v>-33.251266479999998</v>
      </c>
    </row>
    <row r="312" spans="1:8">
      <c r="A312" s="15">
        <v>6901052464.9297838</v>
      </c>
      <c r="B312" s="74">
        <v>-33.00643539</v>
      </c>
      <c r="D312" s="15">
        <v>4695701643.2866898</v>
      </c>
      <c r="E312" s="74">
        <v>-32.439205170000001</v>
      </c>
      <c r="G312" s="15">
        <v>4799341643.2866898</v>
      </c>
      <c r="H312" s="74">
        <v>-32.062107089999998</v>
      </c>
    </row>
    <row r="313" spans="1:8">
      <c r="A313" s="15">
        <v>6901054869.7394028</v>
      </c>
      <c r="B313" s="74">
        <v>-33.968997960000003</v>
      </c>
      <c r="D313" s="15">
        <v>4695703246.493103</v>
      </c>
      <c r="E313" s="74">
        <v>-33.292625430000001</v>
      </c>
      <c r="G313" s="15">
        <v>4799343246.493103</v>
      </c>
      <c r="H313" s="74">
        <v>-32.415500639999998</v>
      </c>
    </row>
    <row r="314" spans="1:8">
      <c r="A314" s="15">
        <v>6901057274.5490217</v>
      </c>
      <c r="B314" s="74">
        <v>-34.989753720000003</v>
      </c>
      <c r="D314" s="15">
        <v>4695704849.6995163</v>
      </c>
      <c r="E314" s="74">
        <v>-32.966659550000003</v>
      </c>
      <c r="G314" s="15">
        <v>4799344849.6995163</v>
      </c>
      <c r="H314" s="74">
        <v>-33.343032839999999</v>
      </c>
    </row>
    <row r="315" spans="1:8">
      <c r="A315" s="15">
        <v>6901059679.3586407</v>
      </c>
      <c r="B315" s="74">
        <v>-33.858551030000001</v>
      </c>
      <c r="D315" s="15">
        <v>4695706452.9059296</v>
      </c>
      <c r="E315" s="74">
        <v>-33.813171390000001</v>
      </c>
      <c r="G315" s="15">
        <v>4799346452.9059296</v>
      </c>
      <c r="H315" s="74">
        <v>-32.687564850000001</v>
      </c>
    </row>
    <row r="316" spans="1:8">
      <c r="A316" s="15">
        <v>6901062084.1682596</v>
      </c>
      <c r="B316" s="74">
        <v>-34.537818909999999</v>
      </c>
      <c r="D316" s="15">
        <v>4695708056.1123428</v>
      </c>
      <c r="E316" s="74">
        <v>-32.729518890000001</v>
      </c>
      <c r="G316" s="15">
        <v>4799348056.1123428</v>
      </c>
      <c r="H316" s="74">
        <v>-32.79284286</v>
      </c>
    </row>
    <row r="317" spans="1:8">
      <c r="A317" s="15">
        <v>6901064488.9778786</v>
      </c>
      <c r="B317" s="74">
        <v>-35.102973939999998</v>
      </c>
      <c r="D317" s="15">
        <v>4695709659.3187561</v>
      </c>
      <c r="E317" s="74">
        <v>-33.640342709999999</v>
      </c>
      <c r="G317" s="15">
        <v>4799349659.3187561</v>
      </c>
      <c r="H317" s="74">
        <v>-33.236534120000002</v>
      </c>
    </row>
    <row r="318" spans="1:8">
      <c r="A318" s="15">
        <v>6901066893.7874975</v>
      </c>
      <c r="B318" s="74">
        <v>-34.6423378</v>
      </c>
      <c r="D318" s="15">
        <v>4695711262.5251694</v>
      </c>
      <c r="E318" s="74">
        <v>-33.855915070000002</v>
      </c>
      <c r="G318" s="15">
        <v>4799351262.5251694</v>
      </c>
      <c r="H318" s="74">
        <v>-33.047901150000001</v>
      </c>
    </row>
    <row r="319" spans="1:8">
      <c r="A319" s="15">
        <v>6901069298.5971165</v>
      </c>
      <c r="B319" s="74">
        <v>-34.235252379999999</v>
      </c>
      <c r="D319" s="15">
        <v>4695712865.7315826</v>
      </c>
      <c r="E319" s="74">
        <v>-33.38237762</v>
      </c>
      <c r="G319" s="15">
        <v>4799352865.7315826</v>
      </c>
      <c r="H319" s="74">
        <v>-32.850376130000001</v>
      </c>
    </row>
    <row r="320" spans="1:8">
      <c r="A320" s="15">
        <v>6901071703.4067354</v>
      </c>
      <c r="B320" s="74">
        <v>-34.420589450000001</v>
      </c>
      <c r="D320" s="15">
        <v>4695714468.9379959</v>
      </c>
      <c r="E320" s="74">
        <v>-32.994274140000002</v>
      </c>
      <c r="G320" s="15">
        <v>4799354468.9379959</v>
      </c>
      <c r="H320" s="74">
        <v>-32.949230190000002</v>
      </c>
    </row>
    <row r="321" spans="1:8">
      <c r="A321" s="15">
        <v>6901074108.2163544</v>
      </c>
      <c r="B321" s="74">
        <v>-34.768184660000003</v>
      </c>
      <c r="D321" s="15">
        <v>4695716072.1444092</v>
      </c>
      <c r="E321" s="74">
        <v>-33.877170560000003</v>
      </c>
      <c r="G321" s="15">
        <v>4799356072.1444092</v>
      </c>
      <c r="H321" s="74">
        <v>-33.547489169999999</v>
      </c>
    </row>
    <row r="322" spans="1:8">
      <c r="A322" s="15">
        <v>6901076513.0259733</v>
      </c>
      <c r="B322" s="74">
        <v>-33.497539519999997</v>
      </c>
      <c r="D322" s="15">
        <v>4695717675.3508224</v>
      </c>
      <c r="E322" s="74">
        <v>-33.641864779999999</v>
      </c>
      <c r="G322" s="15">
        <v>4799357675.3508224</v>
      </c>
      <c r="H322" s="74">
        <v>-32.350727079999999</v>
      </c>
    </row>
    <row r="323" spans="1:8">
      <c r="A323" s="15">
        <v>6901078917.8355923</v>
      </c>
      <c r="B323" s="74">
        <v>-35.073734279999996</v>
      </c>
      <c r="D323" s="15">
        <v>4695719278.5572357</v>
      </c>
      <c r="E323" s="74">
        <v>-34.13341904</v>
      </c>
      <c r="G323" s="15">
        <v>4799359278.5572357</v>
      </c>
      <c r="H323" s="74">
        <v>-33.792251589999999</v>
      </c>
    </row>
    <row r="324" spans="1:8">
      <c r="A324" s="15">
        <v>6901081322.6452112</v>
      </c>
      <c r="B324" s="74">
        <v>-34.107147220000002</v>
      </c>
      <c r="D324" s="15">
        <v>4695720881.763649</v>
      </c>
      <c r="E324" s="74">
        <v>-32.757797240000002</v>
      </c>
      <c r="G324" s="15">
        <v>4799360881.763649</v>
      </c>
      <c r="H324" s="74">
        <v>-32.843708040000003</v>
      </c>
    </row>
    <row r="325" spans="1:8">
      <c r="A325" s="15">
        <v>6901083727.4548302</v>
      </c>
      <c r="B325" s="74">
        <v>-33.887092590000002</v>
      </c>
      <c r="D325" s="15">
        <v>4695722484.9700623</v>
      </c>
      <c r="E325" s="74">
        <v>-33.514904020000003</v>
      </c>
      <c r="G325" s="15">
        <v>4799362484.9700623</v>
      </c>
      <c r="H325" s="74">
        <v>-32.649986269999999</v>
      </c>
    </row>
    <row r="326" spans="1:8">
      <c r="A326" s="15">
        <v>6901086132.2644491</v>
      </c>
      <c r="B326" s="74">
        <v>-36.355766299999999</v>
      </c>
      <c r="D326" s="15">
        <v>4695724088.1764755</v>
      </c>
      <c r="E326" s="74">
        <v>-33.375610350000002</v>
      </c>
      <c r="G326" s="15">
        <v>4799364088.1764755</v>
      </c>
      <c r="H326" s="74">
        <v>-33.452796939999999</v>
      </c>
    </row>
    <row r="327" spans="1:8">
      <c r="A327" s="15">
        <v>6901088537.0740681</v>
      </c>
      <c r="B327" s="74">
        <v>-33.151603700000003</v>
      </c>
      <c r="D327" s="15">
        <v>4695725691.3828888</v>
      </c>
      <c r="E327" s="74">
        <v>-33.115196230000002</v>
      </c>
      <c r="G327" s="15">
        <v>4799365691.3828888</v>
      </c>
      <c r="H327" s="74">
        <v>-32.152515409999999</v>
      </c>
    </row>
    <row r="328" spans="1:8">
      <c r="A328" s="15">
        <v>6901090941.883687</v>
      </c>
      <c r="B328" s="74">
        <v>-36.236606600000002</v>
      </c>
      <c r="D328" s="15">
        <v>4695727294.5893021</v>
      </c>
      <c r="E328" s="74">
        <v>-33.63459778</v>
      </c>
      <c r="G328" s="15">
        <v>4799367294.5893021</v>
      </c>
      <c r="H328" s="74">
        <v>-34.542003630000004</v>
      </c>
    </row>
    <row r="329" spans="1:8">
      <c r="A329" s="15">
        <v>6901093346.693306</v>
      </c>
      <c r="B329" s="74">
        <v>-33.963294980000001</v>
      </c>
      <c r="D329" s="15">
        <v>4695728897.7957153</v>
      </c>
      <c r="E329" s="74">
        <v>-33.044010159999999</v>
      </c>
      <c r="G329" s="15">
        <v>4799368897.7957153</v>
      </c>
      <c r="H329" s="74">
        <v>-32.583965300000003</v>
      </c>
    </row>
    <row r="330" spans="1:8">
      <c r="A330" s="15">
        <v>6901095751.5029249</v>
      </c>
      <c r="B330" s="74">
        <v>-34.198177340000001</v>
      </c>
      <c r="D330" s="15">
        <v>4695730501.0021286</v>
      </c>
      <c r="E330" s="74">
        <v>-33.740886690000004</v>
      </c>
      <c r="G330" s="15">
        <v>4799370501.0021286</v>
      </c>
      <c r="H330" s="74">
        <v>-32.77985382</v>
      </c>
    </row>
    <row r="331" spans="1:8">
      <c r="A331" s="15">
        <v>6901098156.3125439</v>
      </c>
      <c r="B331" s="74">
        <v>-35.155303959999998</v>
      </c>
      <c r="D331" s="15">
        <v>4695732104.2085419</v>
      </c>
      <c r="E331" s="74">
        <v>-33.410438540000001</v>
      </c>
      <c r="G331" s="15">
        <v>4799372104.2085419</v>
      </c>
      <c r="H331" s="74">
        <v>-33.560733800000001</v>
      </c>
    </row>
    <row r="332" spans="1:8">
      <c r="A332" s="15">
        <v>6901100561.1221628</v>
      </c>
      <c r="B332" s="74">
        <v>-36.019714360000002</v>
      </c>
      <c r="D332" s="15">
        <v>4695733707.4149551</v>
      </c>
      <c r="E332" s="74">
        <v>-34.406787870000002</v>
      </c>
      <c r="G332" s="15">
        <v>4799373707.4149551</v>
      </c>
      <c r="H332" s="74">
        <v>-33.850154879999998</v>
      </c>
    </row>
    <row r="333" spans="1:8">
      <c r="A333" s="15">
        <v>6901102965.9317818</v>
      </c>
      <c r="B333" s="74">
        <v>-34.061695100000001</v>
      </c>
      <c r="D333" s="15">
        <v>4695735310.6213684</v>
      </c>
      <c r="E333" s="74">
        <v>-34.03997803</v>
      </c>
      <c r="G333" s="15">
        <v>4799375310.6213684</v>
      </c>
      <c r="H333" s="74">
        <v>-32.781425480000003</v>
      </c>
    </row>
    <row r="334" spans="1:8">
      <c r="A334" s="15">
        <v>6901105370.7414007</v>
      </c>
      <c r="B334" s="74">
        <v>-36.370964049999998</v>
      </c>
      <c r="D334" s="15">
        <v>4695736913.8277817</v>
      </c>
      <c r="E334" s="74">
        <v>-33.653156279999997</v>
      </c>
      <c r="G334" s="15">
        <v>4799376913.8277817</v>
      </c>
      <c r="H334" s="74">
        <v>-34.13474274</v>
      </c>
    </row>
    <row r="335" spans="1:8">
      <c r="A335" s="15">
        <v>6901107775.5510197</v>
      </c>
      <c r="B335" s="74">
        <v>-34.100128169999998</v>
      </c>
      <c r="D335" s="15">
        <v>4695738517.0341949</v>
      </c>
      <c r="E335" s="74">
        <v>-33.321769709999998</v>
      </c>
      <c r="G335" s="15">
        <v>4799378517.0341949</v>
      </c>
      <c r="H335" s="74">
        <v>-32.47807693</v>
      </c>
    </row>
    <row r="336" spans="1:8">
      <c r="A336" s="15">
        <v>6901110180.3606386</v>
      </c>
      <c r="B336" s="74">
        <v>-33.683498380000003</v>
      </c>
      <c r="D336" s="15">
        <v>4695740120.2406082</v>
      </c>
      <c r="E336" s="74">
        <v>-32.210815429999997</v>
      </c>
      <c r="G336" s="15">
        <v>4799380120.2406082</v>
      </c>
      <c r="H336" s="74">
        <v>-32.505294800000001</v>
      </c>
    </row>
    <row r="337" spans="1:8">
      <c r="A337" s="15">
        <v>6901112585.1702576</v>
      </c>
      <c r="B337" s="74">
        <v>-34.092460629999998</v>
      </c>
      <c r="D337" s="15">
        <v>4695741723.4470215</v>
      </c>
      <c r="E337" s="74">
        <v>-33.650688170000002</v>
      </c>
      <c r="G337" s="15">
        <v>4799381723.4470215</v>
      </c>
      <c r="H337" s="74">
        <v>-32.556106569999997</v>
      </c>
    </row>
    <row r="338" spans="1:8">
      <c r="A338" s="15">
        <v>6901114989.9798765</v>
      </c>
      <c r="B338" s="74">
        <v>-34.95344162</v>
      </c>
      <c r="D338" s="15">
        <v>4695743326.6534348</v>
      </c>
      <c r="E338" s="74">
        <v>-33.337886810000001</v>
      </c>
      <c r="G338" s="15">
        <v>4799383326.6534348</v>
      </c>
      <c r="H338" s="74">
        <v>-33.128494259999997</v>
      </c>
    </row>
    <row r="339" spans="1:8">
      <c r="A339" s="15">
        <v>6901117394.7894955</v>
      </c>
      <c r="B339" s="74">
        <v>-33.573894500000002</v>
      </c>
      <c r="D339" s="15">
        <v>4695744929.859848</v>
      </c>
      <c r="E339" s="74">
        <v>-32.656997680000003</v>
      </c>
      <c r="G339" s="15">
        <v>4799384929.859848</v>
      </c>
      <c r="H339" s="74">
        <v>-32.103019709999998</v>
      </c>
    </row>
    <row r="340" spans="1:8">
      <c r="A340" s="15">
        <v>6901119799.5991144</v>
      </c>
      <c r="B340" s="74">
        <v>-34.26842499</v>
      </c>
      <c r="D340" s="15">
        <v>4695746533.0662613</v>
      </c>
      <c r="E340" s="74">
        <v>-33.13254929</v>
      </c>
      <c r="G340" s="15">
        <v>4799386533.0662613</v>
      </c>
      <c r="H340" s="74">
        <v>-32.87376785</v>
      </c>
    </row>
    <row r="341" spans="1:8">
      <c r="A341" s="15">
        <v>6901122204.4087334</v>
      </c>
      <c r="B341" s="74">
        <v>-34.994030000000002</v>
      </c>
      <c r="D341" s="15">
        <v>4695748136.2726746</v>
      </c>
      <c r="E341" s="74">
        <v>-34.008567810000002</v>
      </c>
      <c r="G341" s="15">
        <v>4799388136.2726746</v>
      </c>
      <c r="H341" s="74">
        <v>-33.347778320000003</v>
      </c>
    </row>
    <row r="342" spans="1:8">
      <c r="A342" s="15">
        <v>6901124609.2183523</v>
      </c>
      <c r="B342" s="74">
        <v>-33.981212620000001</v>
      </c>
      <c r="D342" s="15">
        <v>4695749739.4790878</v>
      </c>
      <c r="E342" s="74">
        <v>-34.40899658</v>
      </c>
      <c r="G342" s="15">
        <v>4799389739.4790878</v>
      </c>
      <c r="H342" s="74">
        <v>-32.946071619999998</v>
      </c>
    </row>
    <row r="343" spans="1:8">
      <c r="A343" s="15">
        <v>6901127014.0279713</v>
      </c>
      <c r="B343" s="74">
        <v>-33.181194310000002</v>
      </c>
      <c r="D343" s="15">
        <v>4695751342.6855011</v>
      </c>
      <c r="E343" s="74">
        <v>-32.915725709999997</v>
      </c>
      <c r="G343" s="15">
        <v>4799391342.6855011</v>
      </c>
      <c r="H343" s="74">
        <v>-32.215873719999998</v>
      </c>
    </row>
    <row r="344" spans="1:8">
      <c r="A344" s="15">
        <v>6901129418.8375902</v>
      </c>
      <c r="B344" s="74">
        <v>-33.591991419999999</v>
      </c>
      <c r="D344" s="15">
        <v>4695752945.8919144</v>
      </c>
      <c r="E344" s="74">
        <v>-32.926403049999998</v>
      </c>
      <c r="G344" s="15">
        <v>4799392945.8919144</v>
      </c>
      <c r="H344" s="74">
        <v>-32.565341949999997</v>
      </c>
    </row>
    <row r="345" spans="1:8">
      <c r="A345" s="15">
        <v>6901131823.6472092</v>
      </c>
      <c r="B345" s="74">
        <v>-36.006214139999997</v>
      </c>
      <c r="D345" s="15">
        <v>4695754549.0983276</v>
      </c>
      <c r="E345" s="74">
        <v>-34.224529269999998</v>
      </c>
      <c r="G345" s="15">
        <v>4799394549.0983276</v>
      </c>
      <c r="H345" s="74">
        <v>-33.95213699</v>
      </c>
    </row>
    <row r="346" spans="1:8">
      <c r="A346" s="15">
        <v>6901134228.4568281</v>
      </c>
      <c r="B346" s="74">
        <v>-33.380828860000001</v>
      </c>
      <c r="D346" s="15">
        <v>4695756152.3047409</v>
      </c>
      <c r="E346" s="74">
        <v>-33.177745819999998</v>
      </c>
      <c r="G346" s="15">
        <v>4799396152.3047409</v>
      </c>
      <c r="H346" s="74">
        <v>-32.473056790000001</v>
      </c>
    </row>
    <row r="347" spans="1:8">
      <c r="A347" s="15">
        <v>6901136633.2664471</v>
      </c>
      <c r="B347" s="74">
        <v>-34.450740809999999</v>
      </c>
      <c r="D347" s="15">
        <v>4695757755.5111542</v>
      </c>
      <c r="E347" s="74">
        <v>-33.768501280000002</v>
      </c>
      <c r="G347" s="15">
        <v>4799397755.5111542</v>
      </c>
      <c r="H347" s="74">
        <v>-33.484382629999999</v>
      </c>
    </row>
    <row r="348" spans="1:8">
      <c r="A348" s="15">
        <v>6901139038.076066</v>
      </c>
      <c r="B348" s="74">
        <v>-33.731586460000003</v>
      </c>
      <c r="D348" s="15">
        <v>4695759358.7175674</v>
      </c>
      <c r="E348" s="74">
        <v>-33.870491029999997</v>
      </c>
      <c r="G348" s="15">
        <v>4799399358.7175674</v>
      </c>
      <c r="H348" s="74">
        <v>-32.196029660000001</v>
      </c>
    </row>
    <row r="349" spans="1:8">
      <c r="A349" s="15">
        <v>6901141442.885685</v>
      </c>
      <c r="B349" s="74">
        <v>-34.695957180000001</v>
      </c>
      <c r="D349" s="15">
        <v>4695760961.9239807</v>
      </c>
      <c r="E349" s="74">
        <v>-33.100391389999999</v>
      </c>
      <c r="G349" s="15">
        <v>4799400961.9239807</v>
      </c>
      <c r="H349" s="74">
        <v>-32.649440769999998</v>
      </c>
    </row>
    <row r="350" spans="1:8">
      <c r="A350" s="15">
        <v>6901143847.6953039</v>
      </c>
      <c r="B350" s="74">
        <v>-35.336761469999999</v>
      </c>
      <c r="D350" s="15">
        <v>4695762565.130394</v>
      </c>
      <c r="E350" s="74">
        <v>-34.1739502</v>
      </c>
      <c r="G350" s="15">
        <v>4799402565.130394</v>
      </c>
      <c r="H350" s="74">
        <v>-33.1609993</v>
      </c>
    </row>
    <row r="351" spans="1:8">
      <c r="A351" s="15">
        <v>6901146252.5049229</v>
      </c>
      <c r="B351" s="74">
        <v>-35.014690399999999</v>
      </c>
      <c r="D351" s="15">
        <v>4695764168.3368073</v>
      </c>
      <c r="E351" s="74">
        <v>-34.62929535</v>
      </c>
      <c r="G351" s="15">
        <v>4799404168.3368073</v>
      </c>
      <c r="H351" s="74">
        <v>-33.168315890000002</v>
      </c>
    </row>
    <row r="352" spans="1:8">
      <c r="A352" s="15">
        <v>6901148657.3145418</v>
      </c>
      <c r="B352" s="74">
        <v>-34.673015589999999</v>
      </c>
      <c r="D352" s="15">
        <v>4695765771.5432205</v>
      </c>
      <c r="E352" s="74">
        <v>-32.56720352</v>
      </c>
      <c r="G352" s="15">
        <v>4799405771.5432205</v>
      </c>
      <c r="H352" s="74">
        <v>-33.027976989999999</v>
      </c>
    </row>
    <row r="353" spans="1:8">
      <c r="A353" s="15">
        <v>6901151062.1241608</v>
      </c>
      <c r="B353" s="74">
        <v>-34.393993379999998</v>
      </c>
      <c r="D353" s="15">
        <v>4695767374.7496338</v>
      </c>
      <c r="E353" s="74">
        <v>-33.627506259999997</v>
      </c>
      <c r="G353" s="15">
        <v>4799407374.7496338</v>
      </c>
      <c r="H353" s="74">
        <v>-32.62422943</v>
      </c>
    </row>
    <row r="354" spans="1:8">
      <c r="A354" s="15">
        <v>6901153466.9337797</v>
      </c>
      <c r="B354" s="74">
        <v>-35.092548370000003</v>
      </c>
      <c r="D354" s="15">
        <v>4695768977.9560471</v>
      </c>
      <c r="E354" s="74">
        <v>-35.196197509999998</v>
      </c>
      <c r="G354" s="15">
        <v>4799408977.9560471</v>
      </c>
      <c r="H354" s="74">
        <v>-33.647010799999997</v>
      </c>
    </row>
    <row r="355" spans="1:8">
      <c r="A355" s="15">
        <v>6901155871.7433987</v>
      </c>
      <c r="B355" s="74">
        <v>-33.605094909999998</v>
      </c>
      <c r="D355" s="15">
        <v>4695770581.1624603</v>
      </c>
      <c r="E355" s="74">
        <v>-32.758094790000001</v>
      </c>
      <c r="G355" s="15">
        <v>4799410581.1624603</v>
      </c>
      <c r="H355" s="74">
        <v>-32.270122530000002</v>
      </c>
    </row>
    <row r="356" spans="1:8">
      <c r="A356" s="15">
        <v>6901158276.5530176</v>
      </c>
      <c r="B356" s="74">
        <v>-35.360298159999999</v>
      </c>
      <c r="D356" s="15">
        <v>4695772184.3688736</v>
      </c>
      <c r="E356" s="74">
        <v>-34.335563659999998</v>
      </c>
      <c r="G356" s="15">
        <v>4799412184.3688736</v>
      </c>
      <c r="H356" s="74">
        <v>-33.8658371</v>
      </c>
    </row>
    <row r="357" spans="1:8">
      <c r="A357" s="15">
        <v>6901160681.3626366</v>
      </c>
      <c r="B357" s="74">
        <v>-34.484577180000002</v>
      </c>
      <c r="D357" s="15">
        <v>4695773787.5752869</v>
      </c>
      <c r="E357" s="74">
        <v>-32.71079254</v>
      </c>
      <c r="G357" s="15">
        <v>4799413787.5752869</v>
      </c>
      <c r="H357" s="74">
        <v>-33.02338409</v>
      </c>
    </row>
    <row r="358" spans="1:8">
      <c r="A358" s="15">
        <v>6901163086.1722555</v>
      </c>
      <c r="B358" s="74">
        <v>-34.139183039999999</v>
      </c>
      <c r="D358" s="15">
        <v>4695775390.7817001</v>
      </c>
      <c r="E358" s="74">
        <v>-35.008586880000003</v>
      </c>
      <c r="G358" s="15">
        <v>4799415390.7817001</v>
      </c>
      <c r="H358" s="74">
        <v>-32.498523710000001</v>
      </c>
    </row>
    <row r="359" spans="1:8">
      <c r="A359" s="15">
        <v>6901165490.9818745</v>
      </c>
      <c r="B359" s="74">
        <v>-36.295719149999996</v>
      </c>
      <c r="D359" s="15">
        <v>4695776993.9881134</v>
      </c>
      <c r="E359" s="74">
        <v>-33.218971250000003</v>
      </c>
      <c r="G359" s="15">
        <v>4799416993.9881134</v>
      </c>
      <c r="H359" s="74">
        <v>-33.491817470000001</v>
      </c>
    </row>
    <row r="360" spans="1:8">
      <c r="A360" s="15">
        <v>6901167895.7914934</v>
      </c>
      <c r="B360" s="74">
        <v>-33.663795469999997</v>
      </c>
      <c r="D360" s="15">
        <v>4695778597.1945267</v>
      </c>
      <c r="E360" s="74">
        <v>-33.472476960000002</v>
      </c>
      <c r="G360" s="15">
        <v>4799418597.1945267</v>
      </c>
      <c r="H360" s="74">
        <v>-32.246299739999998</v>
      </c>
    </row>
    <row r="361" spans="1:8">
      <c r="A361" s="15">
        <v>6901170300.6011124</v>
      </c>
      <c r="B361" s="74">
        <v>-35.443870539999999</v>
      </c>
      <c r="D361" s="15">
        <v>4695780200.4009399</v>
      </c>
      <c r="E361" s="74">
        <v>-33.514152529999997</v>
      </c>
      <c r="G361" s="15">
        <v>4799420200.4009399</v>
      </c>
      <c r="H361" s="74">
        <v>-33.866542819999999</v>
      </c>
    </row>
    <row r="362" spans="1:8">
      <c r="A362" s="15">
        <v>6901172705.4107313</v>
      </c>
      <c r="B362" s="74">
        <v>-34.276897429999998</v>
      </c>
      <c r="D362" s="15">
        <v>4695781803.6073532</v>
      </c>
      <c r="E362" s="74">
        <v>-33.618034360000003</v>
      </c>
      <c r="G362" s="15">
        <v>4799421803.6073532</v>
      </c>
      <c r="H362" s="74">
        <v>-32.654960629999998</v>
      </c>
    </row>
    <row r="363" spans="1:8">
      <c r="A363" s="15">
        <v>6901175110.2203503</v>
      </c>
      <c r="B363" s="74">
        <v>-34.137744900000001</v>
      </c>
      <c r="D363" s="15">
        <v>4695783406.8137665</v>
      </c>
      <c r="E363" s="74">
        <v>-33.507026670000002</v>
      </c>
      <c r="G363" s="15">
        <v>4799423406.8137665</v>
      </c>
      <c r="H363" s="74">
        <v>-32.511089320000004</v>
      </c>
    </row>
    <row r="364" spans="1:8">
      <c r="A364" s="15">
        <v>6901177515.0299692</v>
      </c>
      <c r="B364" s="74">
        <v>-35.536628720000003</v>
      </c>
      <c r="D364" s="15">
        <v>4695785010.0201797</v>
      </c>
      <c r="E364" s="74">
        <v>-33.331386569999999</v>
      </c>
      <c r="G364" s="15">
        <v>4799425010.0201797</v>
      </c>
      <c r="H364" s="74">
        <v>-33.594108579999997</v>
      </c>
    </row>
    <row r="365" spans="1:8">
      <c r="A365" s="15">
        <v>6901179919.8395882</v>
      </c>
      <c r="B365" s="74">
        <v>-36.190601350000001</v>
      </c>
      <c r="D365" s="15">
        <v>4695786613.226593</v>
      </c>
      <c r="E365" s="74">
        <v>-35.756252289999999</v>
      </c>
      <c r="G365" s="15">
        <v>4799426613.226593</v>
      </c>
      <c r="H365" s="74">
        <v>-33.909984590000001</v>
      </c>
    </row>
    <row r="366" spans="1:8">
      <c r="A366" s="15">
        <v>6901182324.6492071</v>
      </c>
      <c r="B366" s="74">
        <v>-34.209873199999997</v>
      </c>
      <c r="D366" s="15">
        <v>4695788216.4330063</v>
      </c>
      <c r="E366" s="74">
        <v>-33.169742579999998</v>
      </c>
      <c r="G366" s="15">
        <v>4799428216.4330063</v>
      </c>
      <c r="H366" s="74">
        <v>-32.726600650000002</v>
      </c>
    </row>
    <row r="367" spans="1:8">
      <c r="A367" s="15">
        <v>6901184729.4588261</v>
      </c>
      <c r="B367" s="74">
        <v>-36.343635560000003</v>
      </c>
      <c r="D367" s="15">
        <v>4695789819.6394196</v>
      </c>
      <c r="E367" s="74">
        <v>-34.110862730000001</v>
      </c>
      <c r="G367" s="15">
        <v>4799429819.6394196</v>
      </c>
      <c r="H367" s="74">
        <v>-33.901943209999999</v>
      </c>
    </row>
    <row r="368" spans="1:8">
      <c r="A368" s="15">
        <v>6901187134.268445</v>
      </c>
      <c r="B368" s="74">
        <v>-35.119331359999997</v>
      </c>
      <c r="D368" s="15">
        <v>4695791422.8458328</v>
      </c>
      <c r="E368" s="74">
        <v>-33.652614589999999</v>
      </c>
      <c r="G368" s="15">
        <v>4799431422.8458328</v>
      </c>
      <c r="H368" s="74">
        <v>-33.006946560000003</v>
      </c>
    </row>
    <row r="369" spans="1:8">
      <c r="A369" s="15">
        <v>6901189539.078064</v>
      </c>
      <c r="B369" s="74">
        <v>-33.571540830000004</v>
      </c>
      <c r="D369" s="15">
        <v>4695793026.0522461</v>
      </c>
      <c r="E369" s="74">
        <v>-32.93976593</v>
      </c>
      <c r="G369" s="15">
        <v>4799433026.0522461</v>
      </c>
      <c r="H369" s="74">
        <v>-32.196624759999999</v>
      </c>
    </row>
    <row r="370" spans="1:8">
      <c r="A370" s="15">
        <v>6901191943.8876829</v>
      </c>
      <c r="B370" s="74">
        <v>-34.736202239999997</v>
      </c>
      <c r="D370" s="15">
        <v>4695794629.2586594</v>
      </c>
      <c r="E370" s="74">
        <v>-33.287925719999997</v>
      </c>
      <c r="G370" s="15">
        <v>4799434629.2586594</v>
      </c>
      <c r="H370" s="74">
        <v>-32.926658629999999</v>
      </c>
    </row>
    <row r="371" spans="1:8">
      <c r="A371" s="15">
        <v>6901194348.6973019</v>
      </c>
      <c r="B371" s="74">
        <v>-34.739406590000002</v>
      </c>
      <c r="D371" s="15">
        <v>4695796232.4650726</v>
      </c>
      <c r="E371" s="74">
        <v>-33.724452970000002</v>
      </c>
      <c r="G371" s="15">
        <v>4799436232.4650726</v>
      </c>
      <c r="H371" s="74">
        <v>-32.753578189999999</v>
      </c>
    </row>
    <row r="372" spans="1:8">
      <c r="A372" s="15">
        <v>6901196753.5069208</v>
      </c>
      <c r="B372" s="74">
        <v>-34.040916439999997</v>
      </c>
      <c r="D372" s="15">
        <v>4695797835.6714859</v>
      </c>
      <c r="E372" s="74">
        <v>-33.308162690000003</v>
      </c>
      <c r="G372" s="15">
        <v>4799437835.6714859</v>
      </c>
      <c r="H372" s="74">
        <v>-32.281089780000002</v>
      </c>
    </row>
    <row r="373" spans="1:8">
      <c r="A373" s="15">
        <v>6901199158.3165398</v>
      </c>
      <c r="B373" s="74">
        <v>-34.644016270000002</v>
      </c>
      <c r="D373" s="15">
        <v>4695799438.8778992</v>
      </c>
      <c r="E373" s="74">
        <v>-33.188762660000002</v>
      </c>
      <c r="G373" s="15">
        <v>4799439438.8778992</v>
      </c>
      <c r="H373" s="74">
        <v>-32.804817200000002</v>
      </c>
    </row>
    <row r="374" spans="1:8">
      <c r="A374" s="15">
        <v>6901201563.1261587</v>
      </c>
      <c r="B374" s="74">
        <v>-35.940124509999997</v>
      </c>
      <c r="D374" s="15">
        <v>4695801042.0843124</v>
      </c>
      <c r="E374" s="74">
        <v>-33.578853610000003</v>
      </c>
      <c r="G374" s="15">
        <v>4799441042.0843124</v>
      </c>
      <c r="H374" s="74">
        <v>-33.72981644</v>
      </c>
    </row>
    <row r="375" spans="1:8">
      <c r="A375" s="15">
        <v>6901203967.9357777</v>
      </c>
      <c r="B375" s="74">
        <v>-34.804157259999997</v>
      </c>
      <c r="D375" s="15">
        <v>4695802645.2907257</v>
      </c>
      <c r="E375" s="74">
        <v>-34.260066989999999</v>
      </c>
      <c r="G375" s="15">
        <v>4799442645.2907257</v>
      </c>
      <c r="H375" s="74">
        <v>-33.08271027</v>
      </c>
    </row>
    <row r="376" spans="1:8">
      <c r="A376" s="15">
        <v>6901206372.7453966</v>
      </c>
      <c r="B376" s="74">
        <v>-34.050666810000003</v>
      </c>
      <c r="D376" s="15">
        <v>4695804248.497139</v>
      </c>
      <c r="E376" s="74">
        <v>-33.07561493</v>
      </c>
      <c r="G376" s="15">
        <v>4799444248.497139</v>
      </c>
      <c r="H376" s="74">
        <v>-32.509483340000003</v>
      </c>
    </row>
    <row r="377" spans="1:8">
      <c r="A377" s="15">
        <v>6901208777.5550156</v>
      </c>
      <c r="B377" s="74">
        <v>-34.7147522</v>
      </c>
      <c r="D377" s="15">
        <v>4695805851.7035522</v>
      </c>
      <c r="E377" s="74">
        <v>-32.686515810000003</v>
      </c>
      <c r="G377" s="15">
        <v>4799445851.7035522</v>
      </c>
      <c r="H377" s="74">
        <v>-33.024745940000003</v>
      </c>
    </row>
    <row r="378" spans="1:8">
      <c r="A378" s="15">
        <v>6901211182.3646345</v>
      </c>
      <c r="B378" s="74">
        <v>-36.528408050000003</v>
      </c>
      <c r="D378" s="15">
        <v>4695807454.9099655</v>
      </c>
      <c r="E378" s="74">
        <v>-34.613437650000002</v>
      </c>
      <c r="G378" s="15">
        <v>4799447454.9099655</v>
      </c>
      <c r="H378" s="74">
        <v>-33.967277529999997</v>
      </c>
    </row>
    <row r="379" spans="1:8">
      <c r="A379" s="15">
        <v>6901213587.1742535</v>
      </c>
      <c r="B379" s="74">
        <v>-34.230682369999997</v>
      </c>
      <c r="D379" s="15">
        <v>4695809058.1163788</v>
      </c>
      <c r="E379" s="74">
        <v>-33.768161769999999</v>
      </c>
      <c r="G379" s="15">
        <v>4799449058.1163788</v>
      </c>
      <c r="H379" s="74">
        <v>-32.710742949999997</v>
      </c>
    </row>
    <row r="380" spans="1:8">
      <c r="A380" s="15">
        <v>6901215991.9838724</v>
      </c>
      <c r="B380" s="74">
        <v>-35.004093169999997</v>
      </c>
      <c r="D380" s="15">
        <v>4695810661.3227921</v>
      </c>
      <c r="E380" s="74">
        <v>-33.448028559999997</v>
      </c>
      <c r="G380" s="15">
        <v>4799450661.3227921</v>
      </c>
      <c r="H380" s="74">
        <v>-33.368648530000002</v>
      </c>
    </row>
    <row r="381" spans="1:8">
      <c r="A381" s="15">
        <v>6901218396.7934914</v>
      </c>
      <c r="B381" s="74">
        <v>-34.874214170000002</v>
      </c>
      <c r="D381" s="15">
        <v>4695812264.5292053</v>
      </c>
      <c r="E381" s="74">
        <v>-33.932178499999999</v>
      </c>
      <c r="G381" s="15">
        <v>4799452264.5292053</v>
      </c>
      <c r="H381" s="74">
        <v>-32.632820129999999</v>
      </c>
    </row>
    <row r="382" spans="1:8">
      <c r="A382" s="15">
        <v>6901220801.6031103</v>
      </c>
      <c r="B382" s="74">
        <v>-35.944057460000003</v>
      </c>
      <c r="D382" s="15">
        <v>4695813867.7356186</v>
      </c>
      <c r="E382" s="74">
        <v>-34.168701169999999</v>
      </c>
      <c r="G382" s="15">
        <v>4799453867.7356186</v>
      </c>
      <c r="H382" s="74">
        <v>-33.526348110000001</v>
      </c>
    </row>
    <row r="383" spans="1:8">
      <c r="A383" s="15">
        <v>6901223206.4127293</v>
      </c>
      <c r="B383" s="74">
        <v>-35.11672592</v>
      </c>
      <c r="D383" s="15">
        <v>4695815470.9420319</v>
      </c>
      <c r="E383" s="74">
        <v>-33.448127749999998</v>
      </c>
      <c r="G383" s="15">
        <v>4799455470.9420319</v>
      </c>
      <c r="H383" s="74">
        <v>-33.24001312</v>
      </c>
    </row>
    <row r="384" spans="1:8">
      <c r="A384" s="15">
        <v>6901225611.2223482</v>
      </c>
      <c r="B384" s="74">
        <v>-34.624580379999998</v>
      </c>
      <c r="D384" s="15">
        <v>4695817074.1484451</v>
      </c>
      <c r="E384" s="74">
        <v>-33.923347470000003</v>
      </c>
      <c r="G384" s="15">
        <v>4799457074.1484451</v>
      </c>
      <c r="H384" s="74">
        <v>-32.920341489999998</v>
      </c>
    </row>
    <row r="385" spans="1:8">
      <c r="A385" s="15">
        <v>6901228016.0319672</v>
      </c>
      <c r="B385" s="74">
        <v>-35.975219729999999</v>
      </c>
      <c r="D385" s="15">
        <v>4695818677.3548584</v>
      </c>
      <c r="E385" s="74">
        <v>-33.628334049999999</v>
      </c>
      <c r="G385" s="15">
        <v>4799458677.3548584</v>
      </c>
      <c r="H385" s="74">
        <v>-33.631042479999998</v>
      </c>
    </row>
    <row r="386" spans="1:8">
      <c r="A386" s="15">
        <v>6901230420.8415861</v>
      </c>
      <c r="B386" s="74">
        <v>-35.436359410000001</v>
      </c>
      <c r="D386" s="15">
        <v>4695820280.5612717</v>
      </c>
      <c r="E386" s="74">
        <v>-33.959728239999997</v>
      </c>
      <c r="G386" s="15">
        <v>4799460280.5612717</v>
      </c>
      <c r="H386" s="74">
        <v>-33.047027589999999</v>
      </c>
    </row>
    <row r="387" spans="1:8">
      <c r="A387" s="15">
        <v>6901232825.6512051</v>
      </c>
      <c r="B387" s="74">
        <v>-35.583911899999997</v>
      </c>
      <c r="D387" s="15">
        <v>4695821883.7676849</v>
      </c>
      <c r="E387" s="74">
        <v>-33.459648129999998</v>
      </c>
      <c r="G387" s="15">
        <v>4799461883.7676849</v>
      </c>
      <c r="H387" s="74">
        <v>-32.95761108</v>
      </c>
    </row>
    <row r="388" spans="1:8">
      <c r="A388" s="15">
        <v>6901235230.460824</v>
      </c>
      <c r="B388" s="74">
        <v>-35.263607030000003</v>
      </c>
      <c r="D388" s="15">
        <v>4695823486.9740982</v>
      </c>
      <c r="E388" s="74">
        <v>-33.776226039999997</v>
      </c>
      <c r="G388" s="15">
        <v>4799463486.9740982</v>
      </c>
      <c r="H388" s="74">
        <v>-32.9361763</v>
      </c>
    </row>
    <row r="389" spans="1:8">
      <c r="A389" s="15">
        <v>6901237635.270443</v>
      </c>
      <c r="B389" s="74">
        <v>-34.987495420000002</v>
      </c>
      <c r="D389" s="15">
        <v>4695825090.1805115</v>
      </c>
      <c r="E389" s="74">
        <v>-33.39735031</v>
      </c>
      <c r="G389" s="15">
        <v>4799465090.1805115</v>
      </c>
      <c r="H389" s="74">
        <v>-33.194293979999998</v>
      </c>
    </row>
    <row r="390" spans="1:8">
      <c r="A390" s="15">
        <v>6901240040.0800619</v>
      </c>
      <c r="B390" s="74">
        <v>-34.064250950000002</v>
      </c>
      <c r="D390" s="15">
        <v>4695826693.3869247</v>
      </c>
      <c r="E390" s="74">
        <v>-33.057670590000001</v>
      </c>
      <c r="G390" s="15">
        <v>4799466693.3869247</v>
      </c>
      <c r="H390" s="74">
        <v>-32.284702299999999</v>
      </c>
    </row>
    <row r="391" spans="1:8">
      <c r="A391" s="15">
        <v>6901242444.8896809</v>
      </c>
      <c r="B391" s="74">
        <v>-35.876411439999998</v>
      </c>
      <c r="D391" s="15">
        <v>4695828296.593338</v>
      </c>
      <c r="E391" s="74">
        <v>-33.141654969999998</v>
      </c>
      <c r="G391" s="15">
        <v>4799468296.593338</v>
      </c>
      <c r="H391" s="74">
        <v>-33.154296870000003</v>
      </c>
    </row>
    <row r="392" spans="1:8">
      <c r="A392" s="15">
        <v>6901244849.6992998</v>
      </c>
      <c r="B392" s="74">
        <v>-35.517711640000002</v>
      </c>
      <c r="D392" s="15">
        <v>4695829899.7997513</v>
      </c>
      <c r="E392" s="74">
        <v>-33.495159149999999</v>
      </c>
      <c r="G392" s="15">
        <v>4799469899.7997513</v>
      </c>
      <c r="H392" s="74">
        <v>-33.0975647</v>
      </c>
    </row>
    <row r="393" spans="1:8">
      <c r="A393" s="15">
        <v>6901247254.5089188</v>
      </c>
      <c r="B393" s="74">
        <v>-35.991374970000003</v>
      </c>
      <c r="D393" s="15">
        <v>4695831503.0061646</v>
      </c>
      <c r="E393" s="74">
        <v>-33.875179289999998</v>
      </c>
      <c r="G393" s="15">
        <v>4799471503.0061646</v>
      </c>
      <c r="H393" s="74">
        <v>-33.658531189999998</v>
      </c>
    </row>
    <row r="394" spans="1:8">
      <c r="A394" s="15">
        <v>6901249659.3185377</v>
      </c>
      <c r="B394" s="74">
        <v>-34.851528170000002</v>
      </c>
      <c r="D394" s="15">
        <v>4695833106.2125778</v>
      </c>
      <c r="E394" s="74">
        <v>-33.760185239999998</v>
      </c>
      <c r="G394" s="15">
        <v>4799473106.2125778</v>
      </c>
      <c r="H394" s="74">
        <v>-32.330341339999997</v>
      </c>
    </row>
    <row r="395" spans="1:8">
      <c r="A395" s="15">
        <v>6901252064.1281567</v>
      </c>
      <c r="B395" s="74">
        <v>-36.716224670000003</v>
      </c>
      <c r="D395" s="15">
        <v>4695834709.4189911</v>
      </c>
      <c r="E395" s="74">
        <v>-33.804450989999999</v>
      </c>
      <c r="G395" s="15">
        <v>4799474709.4189911</v>
      </c>
      <c r="H395" s="74">
        <v>-33.649257660000004</v>
      </c>
    </row>
    <row r="396" spans="1:8">
      <c r="A396" s="15">
        <v>6901254468.9377756</v>
      </c>
      <c r="B396" s="74">
        <v>-36.093391420000003</v>
      </c>
      <c r="D396" s="15">
        <v>4695836312.6254044</v>
      </c>
      <c r="E396" s="74">
        <v>-35.310604099999999</v>
      </c>
      <c r="G396" s="15">
        <v>4799476312.6254044</v>
      </c>
      <c r="H396" s="74">
        <v>-33.633781429999999</v>
      </c>
    </row>
    <row r="397" spans="1:8">
      <c r="A397" s="15">
        <v>6901256873.7473946</v>
      </c>
      <c r="B397" s="74">
        <v>-35.351257320000002</v>
      </c>
      <c r="D397" s="15">
        <v>4695837915.8318176</v>
      </c>
      <c r="E397" s="74">
        <v>-32.897426609999997</v>
      </c>
      <c r="G397" s="15">
        <v>4799477915.8318176</v>
      </c>
      <c r="H397" s="74">
        <v>-33.102466579999998</v>
      </c>
    </row>
    <row r="398" spans="1:8">
      <c r="A398" s="15">
        <v>6901259278.5570135</v>
      </c>
      <c r="B398" s="74">
        <v>-35.478168490000002</v>
      </c>
      <c r="D398" s="15">
        <v>4695839519.0382309</v>
      </c>
      <c r="E398" s="74">
        <v>-34.064613340000001</v>
      </c>
      <c r="G398" s="15">
        <v>4799479519.0382309</v>
      </c>
      <c r="H398" s="74">
        <v>-32.856506349999997</v>
      </c>
    </row>
    <row r="399" spans="1:8">
      <c r="A399" s="15">
        <v>6901261683.3666325</v>
      </c>
      <c r="B399" s="74">
        <v>-36.41900253</v>
      </c>
      <c r="D399" s="15">
        <v>4695841122.2446442</v>
      </c>
      <c r="E399" s="74">
        <v>-34.44765091</v>
      </c>
      <c r="G399" s="15">
        <v>4799481122.2446442</v>
      </c>
      <c r="H399" s="74">
        <v>-33.992992399999999</v>
      </c>
    </row>
    <row r="400" spans="1:8">
      <c r="A400" s="15">
        <v>6901264088.1762514</v>
      </c>
      <c r="B400" s="74">
        <v>-35.157295230000003</v>
      </c>
      <c r="D400" s="15">
        <v>4695842725.4510574</v>
      </c>
      <c r="E400" s="74">
        <v>-32.959400180000003</v>
      </c>
      <c r="G400" s="15">
        <v>4799482725.4510574</v>
      </c>
      <c r="H400" s="74">
        <v>-33.197448729999998</v>
      </c>
    </row>
    <row r="401" spans="1:8">
      <c r="A401" s="15">
        <v>6901266492.9858704</v>
      </c>
      <c r="B401" s="74">
        <v>-36.61836624</v>
      </c>
      <c r="D401" s="15">
        <v>4695844328.6574707</v>
      </c>
      <c r="E401" s="74">
        <v>-35.539974209999997</v>
      </c>
      <c r="G401" s="15">
        <v>4799484328.6574707</v>
      </c>
      <c r="H401" s="74">
        <v>-34.242858890000001</v>
      </c>
    </row>
    <row r="402" spans="1:8">
      <c r="A402" s="15">
        <v>6901268897.7954893</v>
      </c>
      <c r="B402" s="74">
        <v>-34.227832790000001</v>
      </c>
      <c r="D402" s="15">
        <v>4695845931.863884</v>
      </c>
      <c r="E402" s="74">
        <v>-32.618797299999997</v>
      </c>
      <c r="G402" s="15">
        <v>4799485931.863884</v>
      </c>
      <c r="H402" s="74">
        <v>-32.427028659999998</v>
      </c>
    </row>
    <row r="403" spans="1:8">
      <c r="A403" s="15">
        <v>6901271302.6051083</v>
      </c>
      <c r="B403" s="74">
        <v>-36.136898039999998</v>
      </c>
      <c r="D403" s="15">
        <v>4695847535.0702972</v>
      </c>
      <c r="E403" s="74">
        <v>-34.725154879999998</v>
      </c>
      <c r="G403" s="15">
        <v>4799487535.0702972</v>
      </c>
      <c r="H403" s="74">
        <v>-33.565757750000003</v>
      </c>
    </row>
    <row r="404" spans="1:8">
      <c r="A404" s="15">
        <v>6901273707.4147272</v>
      </c>
      <c r="B404" s="74">
        <v>-36.462837219999997</v>
      </c>
      <c r="D404" s="15">
        <v>4695849138.2767105</v>
      </c>
      <c r="E404" s="74">
        <v>-33.73868942</v>
      </c>
      <c r="G404" s="15">
        <v>4799489138.2767105</v>
      </c>
      <c r="H404" s="74">
        <v>-33.246513370000002</v>
      </c>
    </row>
    <row r="405" spans="1:8">
      <c r="A405" s="15">
        <v>6901276112.2243462</v>
      </c>
      <c r="B405" s="74">
        <v>-35.20299911</v>
      </c>
      <c r="D405" s="15">
        <v>4695850741.4831238</v>
      </c>
      <c r="E405" s="74">
        <v>-33.43776321</v>
      </c>
      <c r="G405" s="15">
        <v>4799490741.4831238</v>
      </c>
      <c r="H405" s="74">
        <v>-32.903774259999999</v>
      </c>
    </row>
    <row r="406" spans="1:8">
      <c r="A406" s="15">
        <v>6901278517.0339651</v>
      </c>
      <c r="B406" s="74">
        <v>-35.373771669999996</v>
      </c>
      <c r="D406" s="15">
        <v>4695852344.689537</v>
      </c>
      <c r="E406" s="74">
        <v>-34.033184050000003</v>
      </c>
      <c r="G406" s="15">
        <v>4799492344.689537</v>
      </c>
      <c r="H406" s="74">
        <v>-33.334384919999998</v>
      </c>
    </row>
    <row r="407" spans="1:8">
      <c r="A407" s="15">
        <v>6901280921.8435841</v>
      </c>
      <c r="B407" s="74">
        <v>-35.104892730000003</v>
      </c>
      <c r="D407" s="15">
        <v>4695853947.8959503</v>
      </c>
      <c r="E407" s="74">
        <v>-33.460151670000002</v>
      </c>
      <c r="G407" s="15">
        <v>4799493947.8959503</v>
      </c>
      <c r="H407" s="74">
        <v>-32.828399660000002</v>
      </c>
    </row>
    <row r="408" spans="1:8">
      <c r="A408" s="15">
        <v>6901283326.653203</v>
      </c>
      <c r="B408" s="74">
        <v>-36.160686490000003</v>
      </c>
      <c r="D408" s="15">
        <v>4695855551.1023636</v>
      </c>
      <c r="E408" s="74">
        <v>-33.769489290000003</v>
      </c>
      <c r="G408" s="15">
        <v>4799495551.1023636</v>
      </c>
      <c r="H408" s="74">
        <v>-33.55572128</v>
      </c>
    </row>
    <row r="409" spans="1:8">
      <c r="A409" s="15">
        <v>6901285731.462822</v>
      </c>
      <c r="B409" s="74">
        <v>-35.467678069999998</v>
      </c>
      <c r="D409" s="15">
        <v>4695857154.3087769</v>
      </c>
      <c r="E409" s="74">
        <v>-34.021450039999998</v>
      </c>
      <c r="G409" s="15">
        <v>4799497154.3087769</v>
      </c>
      <c r="H409" s="74">
        <v>-33.200584409999998</v>
      </c>
    </row>
    <row r="410" spans="1:8">
      <c r="A410" s="15">
        <v>6901288136.2724409</v>
      </c>
      <c r="B410" s="74">
        <v>-37.190361019999997</v>
      </c>
      <c r="D410" s="15">
        <v>4695858757.5151901</v>
      </c>
      <c r="E410" s="74">
        <v>-34.862731930000002</v>
      </c>
      <c r="G410" s="15">
        <v>4799498757.5151901</v>
      </c>
      <c r="H410" s="74">
        <v>-34.198719019999999</v>
      </c>
    </row>
    <row r="411" spans="1:8">
      <c r="A411" s="15">
        <v>6901290541.0820599</v>
      </c>
      <c r="B411" s="74">
        <v>-36.217914579999999</v>
      </c>
      <c r="D411" s="15">
        <v>4695860360.7216034</v>
      </c>
      <c r="E411" s="74">
        <v>-33.281311039999999</v>
      </c>
      <c r="G411" s="15">
        <v>4799500360.7216034</v>
      </c>
      <c r="H411" s="74">
        <v>-33.785495760000003</v>
      </c>
    </row>
    <row r="412" spans="1:8">
      <c r="A412" s="15">
        <v>6901292945.8916788</v>
      </c>
      <c r="B412" s="74">
        <v>-35.979064940000001</v>
      </c>
      <c r="D412" s="15">
        <v>4695861963.9280167</v>
      </c>
      <c r="E412" s="74">
        <v>-34.291923519999997</v>
      </c>
      <c r="G412" s="15">
        <v>4799501963.9280167</v>
      </c>
      <c r="H412" s="74">
        <v>-33.447975159999999</v>
      </c>
    </row>
    <row r="413" spans="1:8">
      <c r="A413" s="15">
        <v>6901295350.7012978</v>
      </c>
      <c r="B413" s="74">
        <v>-36.403411869999999</v>
      </c>
      <c r="D413" s="15">
        <v>4695863567.1344299</v>
      </c>
      <c r="E413" s="74">
        <v>-34.13346481</v>
      </c>
      <c r="G413" s="15">
        <v>4799503567.1344299</v>
      </c>
      <c r="H413" s="74">
        <v>-33.393337250000002</v>
      </c>
    </row>
    <row r="414" spans="1:8">
      <c r="A414" s="15">
        <v>6901297755.5109167</v>
      </c>
      <c r="B414" s="74">
        <v>-34.488243099999998</v>
      </c>
      <c r="D414" s="15">
        <v>4695865170.3408432</v>
      </c>
      <c r="E414" s="74">
        <v>-33.364437100000004</v>
      </c>
      <c r="G414" s="15">
        <v>4799505170.3408432</v>
      </c>
      <c r="H414" s="74">
        <v>-32.289989470000002</v>
      </c>
    </row>
    <row r="415" spans="1:8">
      <c r="A415" s="15">
        <v>6901300160.3205357</v>
      </c>
      <c r="B415" s="74">
        <v>-35.663311</v>
      </c>
      <c r="D415" s="15">
        <v>4695866773.5472565</v>
      </c>
      <c r="E415" s="74">
        <v>-33.906101229999997</v>
      </c>
      <c r="G415" s="15">
        <v>4799506773.5472565</v>
      </c>
      <c r="H415" s="74">
        <v>-33.335815429999997</v>
      </c>
    </row>
    <row r="416" spans="1:8">
      <c r="A416" s="15">
        <v>6901302565.1301546</v>
      </c>
      <c r="B416" s="74">
        <v>-36.300487519999997</v>
      </c>
      <c r="D416" s="15">
        <v>4695868376.7536697</v>
      </c>
      <c r="E416" s="74">
        <v>-33.317108150000003</v>
      </c>
      <c r="G416" s="15">
        <v>4799508376.7536697</v>
      </c>
      <c r="H416" s="74">
        <v>-33.429573060000003</v>
      </c>
    </row>
    <row r="417" spans="1:8">
      <c r="A417" s="15">
        <v>6901304969.9397736</v>
      </c>
      <c r="B417" s="74">
        <v>-35.12068558</v>
      </c>
      <c r="D417" s="15">
        <v>4695869979.960083</v>
      </c>
      <c r="E417" s="74">
        <v>-33.485206599999998</v>
      </c>
      <c r="G417" s="15">
        <v>4799509979.960083</v>
      </c>
      <c r="H417" s="74">
        <v>-32.685222629999998</v>
      </c>
    </row>
    <row r="418" spans="1:8">
      <c r="A418" s="15">
        <v>6901307374.7493925</v>
      </c>
      <c r="B418" s="74">
        <v>-36.074085240000002</v>
      </c>
      <c r="D418" s="15">
        <v>4695871583.1664963</v>
      </c>
      <c r="E418" s="74">
        <v>-34.020923609999997</v>
      </c>
      <c r="G418" s="15">
        <v>4799511583.1664963</v>
      </c>
      <c r="H418" s="74">
        <v>-33.182933810000002</v>
      </c>
    </row>
    <row r="419" spans="1:8">
      <c r="A419" s="15">
        <v>6901309779.5590115</v>
      </c>
      <c r="B419" s="74">
        <v>-35.67443085</v>
      </c>
      <c r="D419" s="15">
        <v>4695873186.3729095</v>
      </c>
      <c r="E419" s="74">
        <v>-34.230403899999999</v>
      </c>
      <c r="G419" s="15">
        <v>4799513186.3729095</v>
      </c>
      <c r="H419" s="74">
        <v>-33.500629429999996</v>
      </c>
    </row>
    <row r="420" spans="1:8">
      <c r="A420" s="15">
        <v>6901312184.3686304</v>
      </c>
      <c r="B420" s="74">
        <v>-36.875846860000003</v>
      </c>
      <c r="D420" s="15">
        <v>4695874789.5793228</v>
      </c>
      <c r="E420" s="74">
        <v>-33.818347930000002</v>
      </c>
      <c r="G420" s="15">
        <v>4799514789.5793228</v>
      </c>
      <c r="H420" s="74">
        <v>-34.251411439999998</v>
      </c>
    </row>
    <row r="421" spans="1:8">
      <c r="A421" s="15">
        <v>6901314589.1782494</v>
      </c>
      <c r="B421" s="74">
        <v>-34.66702652</v>
      </c>
      <c r="D421" s="15">
        <v>4695876392.7857361</v>
      </c>
      <c r="E421" s="74">
        <v>-33.87603378</v>
      </c>
      <c r="G421" s="15">
        <v>4799516392.7857361</v>
      </c>
      <c r="H421" s="74">
        <v>-32.721412659999999</v>
      </c>
    </row>
    <row r="422" spans="1:8">
      <c r="A422" s="15">
        <v>6901316993.9878683</v>
      </c>
      <c r="B422" s="74">
        <v>-34.034366609999999</v>
      </c>
      <c r="D422" s="15">
        <v>4695877995.9921494</v>
      </c>
      <c r="E422" s="74">
        <v>-32.623394009999998</v>
      </c>
      <c r="G422" s="15">
        <v>4799517995.9921494</v>
      </c>
      <c r="H422" s="74">
        <v>-32.42778397</v>
      </c>
    </row>
    <row r="423" spans="1:8">
      <c r="A423" s="15">
        <v>6901319398.7974873</v>
      </c>
      <c r="B423" s="74">
        <v>-37.171424870000003</v>
      </c>
      <c r="D423" s="15">
        <v>4695879599.1985626</v>
      </c>
      <c r="E423" s="74">
        <v>-34.644279480000002</v>
      </c>
      <c r="G423" s="15">
        <v>4799519599.1985626</v>
      </c>
      <c r="H423" s="74">
        <v>-34.04340363</v>
      </c>
    </row>
    <row r="424" spans="1:8">
      <c r="A424" s="15">
        <v>6901321803.6071062</v>
      </c>
      <c r="B424" s="74">
        <v>-34.72610092</v>
      </c>
      <c r="D424" s="15">
        <v>4695881202.4049759</v>
      </c>
      <c r="E424" s="74">
        <v>-34.776027679999999</v>
      </c>
      <c r="G424" s="15">
        <v>4799521202.4049759</v>
      </c>
      <c r="H424" s="74">
        <v>-32.858489990000002</v>
      </c>
    </row>
    <row r="425" spans="1:8">
      <c r="A425" s="15">
        <v>6901324208.4167252</v>
      </c>
      <c r="B425" s="74">
        <v>-35.641479490000002</v>
      </c>
      <c r="D425" s="15">
        <v>4695882805.6113892</v>
      </c>
      <c r="E425" s="74">
        <v>-34.082431790000001</v>
      </c>
      <c r="G425" s="15">
        <v>4799522805.6113892</v>
      </c>
      <c r="H425" s="74">
        <v>-33.683818819999999</v>
      </c>
    </row>
    <row r="426" spans="1:8">
      <c r="A426" s="15">
        <v>6901326613.2263441</v>
      </c>
      <c r="B426" s="74">
        <v>-36.266521449999999</v>
      </c>
      <c r="D426" s="15">
        <v>4695884408.8178024</v>
      </c>
      <c r="E426" s="74">
        <v>-33.462532039999999</v>
      </c>
      <c r="G426" s="15">
        <v>4799524408.8178024</v>
      </c>
      <c r="H426" s="74">
        <v>-33.618762969999999</v>
      </c>
    </row>
    <row r="427" spans="1:8">
      <c r="A427" s="15">
        <v>6901329018.0359631</v>
      </c>
      <c r="B427" s="74">
        <v>-35.821430210000003</v>
      </c>
      <c r="D427" s="15">
        <v>4695886012.0242157</v>
      </c>
      <c r="E427" s="74">
        <v>-34.571918490000002</v>
      </c>
      <c r="G427" s="15">
        <v>4799526012.0242157</v>
      </c>
      <c r="H427" s="74">
        <v>-33.076854709999999</v>
      </c>
    </row>
    <row r="428" spans="1:8">
      <c r="A428" s="15">
        <v>6901331422.845582</v>
      </c>
      <c r="B428" s="74">
        <v>-35.700988770000002</v>
      </c>
      <c r="D428" s="15">
        <v>4695887615.230629</v>
      </c>
      <c r="E428" s="74">
        <v>-33.834873199999997</v>
      </c>
      <c r="G428" s="15">
        <v>4799527615.230629</v>
      </c>
      <c r="H428" s="74">
        <v>-33.492832180000001</v>
      </c>
    </row>
    <row r="429" spans="1:8">
      <c r="A429" s="15">
        <v>6901333827.655201</v>
      </c>
      <c r="B429" s="74">
        <v>-35.743144989999998</v>
      </c>
      <c r="D429" s="15">
        <v>4695889218.4370422</v>
      </c>
      <c r="E429" s="74">
        <v>-34.848155980000001</v>
      </c>
      <c r="G429" s="15">
        <v>4799529218.4370422</v>
      </c>
      <c r="H429" s="74">
        <v>-33.292469019999999</v>
      </c>
    </row>
    <row r="430" spans="1:8">
      <c r="A430" s="15">
        <v>6901336232.4648199</v>
      </c>
      <c r="B430" s="74">
        <v>-36.360618590000001</v>
      </c>
      <c r="D430" s="15">
        <v>4695890821.6434555</v>
      </c>
      <c r="E430" s="74">
        <v>-33.869586939999998</v>
      </c>
      <c r="G430" s="15">
        <v>4799530821.6434555</v>
      </c>
      <c r="H430" s="74">
        <v>-33.92913437</v>
      </c>
    </row>
    <row r="431" spans="1:8">
      <c r="A431" s="15">
        <v>6901338637.2744389</v>
      </c>
      <c r="B431" s="74">
        <v>-35.81317902</v>
      </c>
      <c r="D431" s="15">
        <v>4695892424.8498688</v>
      </c>
      <c r="E431" s="74">
        <v>-33.753559109999998</v>
      </c>
      <c r="G431" s="15">
        <v>4799532424.8498688</v>
      </c>
      <c r="H431" s="74">
        <v>-33.054382320000002</v>
      </c>
    </row>
    <row r="432" spans="1:8">
      <c r="A432" s="15">
        <v>6901341042.0840578</v>
      </c>
      <c r="B432" s="74">
        <v>-36.450019840000003</v>
      </c>
      <c r="D432" s="15">
        <v>4695894028.056282</v>
      </c>
      <c r="E432" s="74">
        <v>-34.011100769999999</v>
      </c>
      <c r="G432" s="15">
        <v>4799534028.056282</v>
      </c>
      <c r="H432" s="74">
        <v>-33.370113369999999</v>
      </c>
    </row>
    <row r="433" spans="1:8">
      <c r="A433" s="15">
        <v>6901343446.8936768</v>
      </c>
      <c r="B433" s="74">
        <v>-35.842556000000002</v>
      </c>
      <c r="D433" s="15">
        <v>4695895631.2626953</v>
      </c>
      <c r="E433" s="74">
        <v>-33.478942869999997</v>
      </c>
      <c r="G433" s="15">
        <v>4799535631.2626953</v>
      </c>
      <c r="H433" s="74">
        <v>-33.12295151</v>
      </c>
    </row>
    <row r="434" spans="1:8">
      <c r="A434" s="15">
        <v>6901345851.7032957</v>
      </c>
      <c r="B434" s="74">
        <v>-35.648864750000001</v>
      </c>
      <c r="D434" s="15">
        <v>4695897234.4691086</v>
      </c>
      <c r="E434" s="74">
        <v>-33.611724850000002</v>
      </c>
      <c r="G434" s="15">
        <v>4799537234.4691086</v>
      </c>
      <c r="H434" s="74">
        <v>-33.550109859999999</v>
      </c>
    </row>
    <row r="435" spans="1:8">
      <c r="A435" s="15">
        <v>6901348256.5129147</v>
      </c>
      <c r="B435" s="74">
        <v>-34.613399510000001</v>
      </c>
      <c r="D435" s="15">
        <v>4695898837.6755219</v>
      </c>
      <c r="E435" s="74">
        <v>-34.056003570000001</v>
      </c>
      <c r="G435" s="15">
        <v>4799538837.6755219</v>
      </c>
      <c r="H435" s="74">
        <v>-32.348857879999997</v>
      </c>
    </row>
    <row r="436" spans="1:8">
      <c r="A436" s="15">
        <v>6901350661.3225336</v>
      </c>
      <c r="B436" s="74">
        <v>-36.363788599999999</v>
      </c>
      <c r="D436" s="15">
        <v>4695900440.8819351</v>
      </c>
      <c r="E436" s="74">
        <v>-33.792087549999998</v>
      </c>
      <c r="G436" s="15">
        <v>4799540440.8819351</v>
      </c>
      <c r="H436" s="74">
        <v>-33.232460019999998</v>
      </c>
    </row>
    <row r="437" spans="1:8">
      <c r="A437" s="15">
        <v>6901353066.1321526</v>
      </c>
      <c r="B437" s="74">
        <v>-36.409149169999999</v>
      </c>
      <c r="D437" s="15">
        <v>4695902044.0883484</v>
      </c>
      <c r="E437" s="74">
        <v>-33.820007320000002</v>
      </c>
      <c r="G437" s="15">
        <v>4799542044.0883484</v>
      </c>
      <c r="H437" s="74">
        <v>-33.58060837</v>
      </c>
    </row>
    <row r="438" spans="1:8">
      <c r="A438" s="15">
        <v>6901355470.9417715</v>
      </c>
      <c r="B438" s="74">
        <v>-36.316921229999998</v>
      </c>
      <c r="D438" s="15">
        <v>4695903647.2947617</v>
      </c>
      <c r="E438" s="74">
        <v>-33.957256319999999</v>
      </c>
      <c r="G438" s="15">
        <v>4799543647.2947617</v>
      </c>
      <c r="H438" s="74">
        <v>-33.438446040000002</v>
      </c>
    </row>
    <row r="439" spans="1:8">
      <c r="A439" s="15">
        <v>6901357875.7513905</v>
      </c>
      <c r="B439" s="74">
        <v>-36.086986539999998</v>
      </c>
      <c r="D439" s="15">
        <v>4695905250.5011749</v>
      </c>
      <c r="E439" s="74">
        <v>-33.789272310000001</v>
      </c>
      <c r="G439" s="15">
        <v>4799545250.5011749</v>
      </c>
      <c r="H439" s="74">
        <v>-32.985969539999999</v>
      </c>
    </row>
    <row r="440" spans="1:8">
      <c r="A440" s="15">
        <v>6901360280.5610094</v>
      </c>
      <c r="B440" s="74">
        <v>-37.151264189999999</v>
      </c>
      <c r="D440" s="15">
        <v>4695906853.7075882</v>
      </c>
      <c r="E440" s="74">
        <v>-34.102905270000001</v>
      </c>
      <c r="G440" s="15">
        <v>4799546853.7075882</v>
      </c>
      <c r="H440" s="74">
        <v>-33.922451019999997</v>
      </c>
    </row>
    <row r="441" spans="1:8">
      <c r="A441" s="15">
        <v>6901362685.3706284</v>
      </c>
      <c r="B441" s="74">
        <v>-38.084114069999998</v>
      </c>
      <c r="D441" s="15">
        <v>4695908456.9140015</v>
      </c>
      <c r="E441" s="74">
        <v>-35.564029689999998</v>
      </c>
      <c r="G441" s="15">
        <v>4799548456.9140015</v>
      </c>
      <c r="H441" s="74">
        <v>-34.571098329999998</v>
      </c>
    </row>
    <row r="442" spans="1:8">
      <c r="A442" s="15">
        <v>6901365090.1802473</v>
      </c>
      <c r="B442" s="74">
        <v>-34.897560120000001</v>
      </c>
      <c r="D442" s="15">
        <v>4695910060.1204147</v>
      </c>
      <c r="E442" s="74">
        <v>-33.59533691</v>
      </c>
      <c r="G442" s="15">
        <v>4799550060.1204147</v>
      </c>
      <c r="H442" s="74">
        <v>-32.43125534</v>
      </c>
    </row>
    <row r="443" spans="1:8">
      <c r="A443" s="15">
        <v>6901367494.9898663</v>
      </c>
      <c r="B443" s="74">
        <v>-37.150226590000003</v>
      </c>
      <c r="D443" s="15">
        <v>4695911663.326828</v>
      </c>
      <c r="E443" s="74">
        <v>-34.090091710000003</v>
      </c>
      <c r="G443" s="15">
        <v>4799551663.326828</v>
      </c>
      <c r="H443" s="74">
        <v>-33.709533690000001</v>
      </c>
    </row>
    <row r="444" spans="1:8">
      <c r="A444" s="15">
        <v>6901369899.7994852</v>
      </c>
      <c r="B444" s="74">
        <v>-38.106426239999998</v>
      </c>
      <c r="D444" s="15">
        <v>4695913266.5332413</v>
      </c>
      <c r="E444" s="74">
        <v>-34.961097719999998</v>
      </c>
      <c r="G444" s="15">
        <v>4799553266.5332413</v>
      </c>
      <c r="H444" s="74">
        <v>-34.899391170000001</v>
      </c>
    </row>
    <row r="445" spans="1:8">
      <c r="A445" s="15">
        <v>6901372304.6091042</v>
      </c>
      <c r="B445" s="74">
        <v>-34.580440520000003</v>
      </c>
      <c r="D445" s="15">
        <v>4695914869.7396545</v>
      </c>
      <c r="E445" s="74">
        <v>-33.595676419999997</v>
      </c>
      <c r="G445" s="15">
        <v>4799554869.7396545</v>
      </c>
      <c r="H445" s="74">
        <v>-32.522953029999996</v>
      </c>
    </row>
    <row r="446" spans="1:8">
      <c r="A446" s="15">
        <v>6901374709.4187231</v>
      </c>
      <c r="B446" s="74">
        <v>-37.47229385</v>
      </c>
      <c r="D446" s="15">
        <v>4695916472.9460678</v>
      </c>
      <c r="E446" s="74">
        <v>-34.92559052</v>
      </c>
      <c r="G446" s="15">
        <v>4799556472.9460678</v>
      </c>
      <c r="H446" s="74">
        <v>-34.492225650000002</v>
      </c>
    </row>
    <row r="447" spans="1:8">
      <c r="A447" s="15">
        <v>6901377114.2283421</v>
      </c>
      <c r="B447" s="74">
        <v>-34.713798519999997</v>
      </c>
      <c r="D447" s="15">
        <v>4695918076.1524811</v>
      </c>
      <c r="E447" s="74">
        <v>-33.359863279999999</v>
      </c>
      <c r="G447" s="15">
        <v>4799558076.1524811</v>
      </c>
      <c r="H447" s="74">
        <v>-32.486076349999998</v>
      </c>
    </row>
    <row r="448" spans="1:8">
      <c r="A448" s="15">
        <v>6901379519.037961</v>
      </c>
      <c r="B448" s="74">
        <v>-38.671863559999998</v>
      </c>
      <c r="D448" s="15">
        <v>4695919679.3588943</v>
      </c>
      <c r="E448" s="74">
        <v>-34.626701349999998</v>
      </c>
      <c r="G448" s="15">
        <v>4799559679.3588943</v>
      </c>
      <c r="H448" s="74">
        <v>-35.12820816</v>
      </c>
    </row>
    <row r="449" spans="1:8">
      <c r="A449" s="15">
        <v>6901381923.84758</v>
      </c>
      <c r="B449" s="74">
        <v>-37.1440506</v>
      </c>
      <c r="D449" s="15">
        <v>4695921282.5653076</v>
      </c>
      <c r="E449" s="74">
        <v>-33.666446690000001</v>
      </c>
      <c r="G449" s="15">
        <v>4799561282.5653076</v>
      </c>
      <c r="H449" s="74">
        <v>-33.869503020000003</v>
      </c>
    </row>
    <row r="450" spans="1:8">
      <c r="A450" s="15">
        <v>6901384328.6571989</v>
      </c>
      <c r="B450" s="74">
        <v>-35.949672700000001</v>
      </c>
      <c r="D450" s="15">
        <v>4695922885.7717209</v>
      </c>
      <c r="E450" s="74">
        <v>-34.054943080000001</v>
      </c>
      <c r="G450" s="15">
        <v>4799562885.7717209</v>
      </c>
      <c r="H450" s="74">
        <v>-33.008209229999999</v>
      </c>
    </row>
    <row r="451" spans="1:8">
      <c r="A451" s="15">
        <v>6901386733.4668179</v>
      </c>
      <c r="B451" s="74">
        <v>-36.749122620000001</v>
      </c>
      <c r="D451" s="15">
        <v>4695924488.9781342</v>
      </c>
      <c r="E451" s="74">
        <v>-34.238212590000003</v>
      </c>
      <c r="G451" s="15">
        <v>4799564488.9781342</v>
      </c>
      <c r="H451" s="74">
        <v>-33.437683110000002</v>
      </c>
    </row>
    <row r="452" spans="1:8">
      <c r="A452" s="15">
        <v>6901389138.2764368</v>
      </c>
      <c r="B452" s="74">
        <v>-35.66997147</v>
      </c>
      <c r="D452" s="15">
        <v>4695926092.1845474</v>
      </c>
      <c r="E452" s="74">
        <v>-34.138999939999998</v>
      </c>
      <c r="G452" s="15">
        <v>4799566092.1845474</v>
      </c>
      <c r="H452" s="74">
        <v>-33.641147609999997</v>
      </c>
    </row>
    <row r="453" spans="1:8">
      <c r="A453" s="15">
        <v>6901391543.0860558</v>
      </c>
      <c r="B453" s="74">
        <v>-37.163837430000001</v>
      </c>
      <c r="D453" s="15">
        <v>4695927695.3909607</v>
      </c>
      <c r="E453" s="74">
        <v>-34.197166439999997</v>
      </c>
      <c r="G453" s="15">
        <v>4799567695.3909607</v>
      </c>
      <c r="H453" s="74">
        <v>-34.469364169999999</v>
      </c>
    </row>
    <row r="454" spans="1:8">
      <c r="A454" s="15">
        <v>6901393947.8956747</v>
      </c>
      <c r="B454" s="74">
        <v>-35.263969420000002</v>
      </c>
      <c r="D454" s="15">
        <v>4695929298.597374</v>
      </c>
      <c r="E454" s="74">
        <v>-33.966762539999998</v>
      </c>
      <c r="G454" s="15">
        <v>4799569298.597374</v>
      </c>
      <c r="H454" s="74">
        <v>-33.16188812</v>
      </c>
    </row>
    <row r="455" spans="1:8">
      <c r="A455" s="15">
        <v>6901396352.7052937</v>
      </c>
      <c r="B455" s="74">
        <v>-34.462715150000001</v>
      </c>
      <c r="D455" s="15">
        <v>4695930901.8037872</v>
      </c>
      <c r="E455" s="74">
        <v>-33.11672592</v>
      </c>
      <c r="G455" s="15">
        <v>4799570901.8037872</v>
      </c>
      <c r="H455" s="74">
        <v>-32.654315949999997</v>
      </c>
    </row>
    <row r="456" spans="1:8">
      <c r="A456" s="15">
        <v>6901398757.5149126</v>
      </c>
      <c r="B456" s="74">
        <v>-37.886161799999996</v>
      </c>
      <c r="D456" s="15">
        <v>4695932505.0102005</v>
      </c>
      <c r="E456" s="74">
        <v>-34.786556240000003</v>
      </c>
      <c r="G456" s="15">
        <v>4799572505.0102005</v>
      </c>
      <c r="H456" s="74">
        <v>-34.646518710000002</v>
      </c>
    </row>
    <row r="457" spans="1:8">
      <c r="A457" s="15">
        <v>6901401162.3245316</v>
      </c>
      <c r="B457" s="74">
        <v>-35.43851471</v>
      </c>
      <c r="D457" s="15">
        <v>4695934108.2166138</v>
      </c>
      <c r="E457" s="74">
        <v>-35.219055179999998</v>
      </c>
      <c r="G457" s="15">
        <v>4799574108.2166138</v>
      </c>
      <c r="H457" s="74">
        <v>-33.335136409999997</v>
      </c>
    </row>
    <row r="458" spans="1:8">
      <c r="A458" s="15">
        <v>6901403567.1341505</v>
      </c>
      <c r="B458" s="74">
        <v>-35.935420989999997</v>
      </c>
      <c r="D458" s="15">
        <v>4695935711.423027</v>
      </c>
      <c r="E458" s="74">
        <v>-33.713970179999997</v>
      </c>
      <c r="G458" s="15">
        <v>4799575711.423027</v>
      </c>
      <c r="H458" s="74">
        <v>-33.867961880000003</v>
      </c>
    </row>
    <row r="459" spans="1:8">
      <c r="A459" s="15">
        <v>6901405971.9437695</v>
      </c>
      <c r="B459" s="74">
        <v>-36.858440399999999</v>
      </c>
      <c r="D459" s="15">
        <v>4695937314.6294403</v>
      </c>
      <c r="E459" s="74">
        <v>-33.970268249999997</v>
      </c>
      <c r="G459" s="15">
        <v>4799577314.6294403</v>
      </c>
      <c r="H459" s="74">
        <v>-34.108825680000002</v>
      </c>
    </row>
    <row r="460" spans="1:8">
      <c r="A460" s="15">
        <v>6901408376.7533884</v>
      </c>
      <c r="B460" s="74">
        <v>-36.548015589999999</v>
      </c>
      <c r="D460" s="15">
        <v>4695938917.8358536</v>
      </c>
      <c r="E460" s="74">
        <v>-34.511692050000001</v>
      </c>
      <c r="G460" s="15">
        <v>4799578917.8358536</v>
      </c>
      <c r="H460" s="74">
        <v>-33.666965480000002</v>
      </c>
    </row>
    <row r="461" spans="1:8">
      <c r="A461" s="15">
        <v>6901410781.5630074</v>
      </c>
      <c r="B461" s="74">
        <v>-36.240348820000001</v>
      </c>
      <c r="D461" s="15">
        <v>4695940521.0422668</v>
      </c>
      <c r="E461" s="74">
        <v>-34.78515625</v>
      </c>
      <c r="G461" s="15">
        <v>4799580521.0422668</v>
      </c>
      <c r="H461" s="74">
        <v>-33.842224119999997</v>
      </c>
    </row>
    <row r="462" spans="1:8">
      <c r="A462" s="15">
        <v>6901413186.3726263</v>
      </c>
      <c r="B462" s="74">
        <v>-36.717384340000002</v>
      </c>
      <c r="D462" s="15">
        <v>4695942124.2486801</v>
      </c>
      <c r="E462" s="74">
        <v>-34.252094270000001</v>
      </c>
      <c r="G462" s="15">
        <v>4799582124.2486801</v>
      </c>
      <c r="H462" s="74">
        <v>-34.056728360000001</v>
      </c>
    </row>
    <row r="463" spans="1:8">
      <c r="A463" s="15">
        <v>6901415591.1822453</v>
      </c>
      <c r="B463" s="74">
        <v>-36.39040756</v>
      </c>
      <c r="D463" s="15">
        <v>4695943727.4550934</v>
      </c>
      <c r="E463" s="74">
        <v>-34.186100009999997</v>
      </c>
      <c r="G463" s="15">
        <v>4799583727.4550934</v>
      </c>
      <c r="H463" s="74">
        <v>-33.866645810000001</v>
      </c>
    </row>
    <row r="464" spans="1:8">
      <c r="A464" s="15">
        <v>6901417995.9918642</v>
      </c>
      <c r="B464" s="74">
        <v>-36.756034849999999</v>
      </c>
      <c r="D464" s="15">
        <v>4695945330.6615067</v>
      </c>
      <c r="E464" s="74">
        <v>-34.152046200000001</v>
      </c>
      <c r="G464" s="15">
        <v>4799585330.6615067</v>
      </c>
      <c r="H464" s="74">
        <v>-33.751300809999996</v>
      </c>
    </row>
    <row r="465" spans="1:8">
      <c r="A465" s="15">
        <v>6901420400.8014832</v>
      </c>
      <c r="B465" s="74">
        <v>-36.868824009999997</v>
      </c>
      <c r="D465" s="15">
        <v>4695946933.8679199</v>
      </c>
      <c r="E465" s="74">
        <v>-33.859630580000001</v>
      </c>
      <c r="G465" s="15">
        <v>4799586933.8679199</v>
      </c>
      <c r="H465" s="74">
        <v>-33.698780059999997</v>
      </c>
    </row>
    <row r="466" spans="1:8">
      <c r="A466" s="15">
        <v>6901422805.6111021</v>
      </c>
      <c r="B466" s="74">
        <v>-36.55669022</v>
      </c>
      <c r="D466" s="15">
        <v>4695948537.0743332</v>
      </c>
      <c r="E466" s="74">
        <v>-34.104961400000001</v>
      </c>
      <c r="G466" s="15">
        <v>4799588537.0743332</v>
      </c>
      <c r="H466" s="74">
        <v>-33.656787870000002</v>
      </c>
    </row>
    <row r="467" spans="1:8">
      <c r="A467" s="15">
        <v>6901425210.4207211</v>
      </c>
      <c r="B467" s="74">
        <v>-35.884464260000001</v>
      </c>
      <c r="D467" s="15">
        <v>4695950140.2807465</v>
      </c>
      <c r="E467" s="74">
        <v>-34.111385349999999</v>
      </c>
      <c r="G467" s="15">
        <v>4799590140.2807465</v>
      </c>
      <c r="H467" s="74">
        <v>-33.689495090000001</v>
      </c>
    </row>
    <row r="468" spans="1:8">
      <c r="A468" s="15">
        <v>6901427615.23034</v>
      </c>
      <c r="B468" s="74">
        <v>-35.420269009999998</v>
      </c>
      <c r="D468" s="15">
        <v>4695951743.4871597</v>
      </c>
      <c r="E468" s="74">
        <v>-34.38411713</v>
      </c>
      <c r="G468" s="15">
        <v>4799591743.4871597</v>
      </c>
      <c r="H468" s="74">
        <v>-32.889499659999998</v>
      </c>
    </row>
    <row r="469" spans="1:8">
      <c r="A469" s="15">
        <v>6901430020.039959</v>
      </c>
      <c r="B469" s="74">
        <v>-36.91630936</v>
      </c>
      <c r="D469" s="15">
        <v>4695953346.693573</v>
      </c>
      <c r="E469" s="74">
        <v>-33.463867190000002</v>
      </c>
      <c r="G469" s="15">
        <v>4799593346.693573</v>
      </c>
      <c r="H469" s="74">
        <v>-33.764804839999996</v>
      </c>
    </row>
    <row r="470" spans="1:8">
      <c r="A470" s="15">
        <v>6901432424.8495779</v>
      </c>
      <c r="B470" s="74">
        <v>-37.081756589999998</v>
      </c>
      <c r="D470" s="15">
        <v>4695954949.8999863</v>
      </c>
      <c r="E470" s="74">
        <v>-34.382503509999999</v>
      </c>
      <c r="G470" s="15">
        <v>4799594949.8999863</v>
      </c>
      <c r="H470" s="74">
        <v>-34.077045439999999</v>
      </c>
    </row>
    <row r="471" spans="1:8">
      <c r="A471" s="15">
        <v>6901434829.6591969</v>
      </c>
      <c r="B471" s="74">
        <v>-36.999961849999998</v>
      </c>
      <c r="D471" s="15">
        <v>4695956553.1063995</v>
      </c>
      <c r="E471" s="74">
        <v>-34.315986629999998</v>
      </c>
      <c r="G471" s="15">
        <v>4799596553.1063995</v>
      </c>
      <c r="H471" s="74">
        <v>-33.983104709999999</v>
      </c>
    </row>
    <row r="472" spans="1:8">
      <c r="A472" s="15">
        <v>6901437234.4688158</v>
      </c>
      <c r="B472" s="74">
        <v>-36.898231510000002</v>
      </c>
      <c r="D472" s="15">
        <v>4695958156.3128128</v>
      </c>
      <c r="E472" s="74">
        <v>-34.064968110000002</v>
      </c>
      <c r="G472" s="15">
        <v>4799598156.3128128</v>
      </c>
      <c r="H472" s="74">
        <v>-33.632266999999999</v>
      </c>
    </row>
    <row r="473" spans="1:8">
      <c r="A473" s="15">
        <v>6901439639.2784348</v>
      </c>
      <c r="B473" s="74">
        <v>-37.539558409999998</v>
      </c>
      <c r="D473" s="15">
        <v>4695959759.5192261</v>
      </c>
      <c r="E473" s="74">
        <v>-34.6583252</v>
      </c>
      <c r="G473" s="15">
        <v>4799599759.5192261</v>
      </c>
      <c r="H473" s="74">
        <v>-34.083965300000003</v>
      </c>
    </row>
    <row r="474" spans="1:8">
      <c r="A474" s="15">
        <v>6901442044.0880537</v>
      </c>
      <c r="B474" s="74">
        <v>-38.675415039999997</v>
      </c>
      <c r="D474" s="15">
        <v>4695961362.7256393</v>
      </c>
      <c r="E474" s="74">
        <v>-35.160442349999997</v>
      </c>
      <c r="G474" s="15">
        <v>4799601362.7256393</v>
      </c>
      <c r="H474" s="74">
        <v>-35.12203598</v>
      </c>
    </row>
    <row r="475" spans="1:8">
      <c r="A475" s="15">
        <v>6901444448.8976727</v>
      </c>
      <c r="B475" s="74">
        <v>-35.693733219999999</v>
      </c>
      <c r="D475" s="15">
        <v>4695962965.9320526</v>
      </c>
      <c r="E475" s="74">
        <v>-33.8757515</v>
      </c>
      <c r="G475" s="15">
        <v>4799602965.9320526</v>
      </c>
      <c r="H475" s="74">
        <v>-32.984661099999997</v>
      </c>
    </row>
    <row r="476" spans="1:8">
      <c r="A476" s="15">
        <v>6901446853.7072916</v>
      </c>
      <c r="B476" s="74">
        <v>-38.047382349999999</v>
      </c>
      <c r="D476" s="15">
        <v>4695964569.1384659</v>
      </c>
      <c r="E476" s="74">
        <v>-34.801673890000004</v>
      </c>
      <c r="G476" s="15">
        <v>4799604569.1384659</v>
      </c>
      <c r="H476" s="74">
        <v>-34.441745760000003</v>
      </c>
    </row>
    <row r="477" spans="1:8">
      <c r="A477" s="15">
        <v>6901449258.5169106</v>
      </c>
      <c r="B477" s="74">
        <v>-38.3046875</v>
      </c>
      <c r="D477" s="15">
        <v>4695966172.3448792</v>
      </c>
      <c r="E477" s="74">
        <v>-34.426788330000001</v>
      </c>
      <c r="G477" s="15">
        <v>4799606172.3448792</v>
      </c>
      <c r="H477" s="74">
        <v>-34.842243189999998</v>
      </c>
    </row>
    <row r="478" spans="1:8">
      <c r="A478" s="15">
        <v>6901451663.3265295</v>
      </c>
      <c r="B478" s="74">
        <v>-35.134418490000002</v>
      </c>
      <c r="D478" s="15">
        <v>4695967775.5512924</v>
      </c>
      <c r="E478" s="74">
        <v>-34.39569092</v>
      </c>
      <c r="G478" s="15">
        <v>4799607775.5512924</v>
      </c>
      <c r="H478" s="74">
        <v>-33.03556442</v>
      </c>
    </row>
    <row r="479" spans="1:8">
      <c r="A479" s="15">
        <v>6901454068.1361485</v>
      </c>
      <c r="B479" s="74">
        <v>-38.796718599999998</v>
      </c>
      <c r="D479" s="15">
        <v>4695969378.7577057</v>
      </c>
      <c r="E479" s="74">
        <v>-34.422153469999998</v>
      </c>
      <c r="G479" s="15">
        <v>4799609378.7577057</v>
      </c>
      <c r="H479" s="74">
        <v>-35.414157869999997</v>
      </c>
    </row>
    <row r="480" spans="1:8">
      <c r="A480" s="15">
        <v>6901456472.9457674</v>
      </c>
      <c r="B480" s="74">
        <v>-35.056190489999999</v>
      </c>
      <c r="D480" s="15">
        <v>4695970981.964119</v>
      </c>
      <c r="E480" s="74">
        <v>-34.264789579999999</v>
      </c>
      <c r="G480" s="15">
        <v>4799610981.964119</v>
      </c>
      <c r="H480" s="74">
        <v>-32.68576813</v>
      </c>
    </row>
    <row r="481" spans="1:8">
      <c r="A481" s="15">
        <v>6901458877.7553864</v>
      </c>
      <c r="B481" s="74">
        <v>-39.095268249999997</v>
      </c>
      <c r="D481" s="15">
        <v>4695972585.1705322</v>
      </c>
      <c r="E481" s="74">
        <v>-34.180610659999999</v>
      </c>
      <c r="G481" s="15">
        <v>4799612585.1705322</v>
      </c>
      <c r="H481" s="74">
        <v>-35.441505429999999</v>
      </c>
    </row>
    <row r="482" spans="1:8">
      <c r="A482" s="15">
        <v>6901461282.5650053</v>
      </c>
      <c r="B482" s="74">
        <v>-37.59017944</v>
      </c>
      <c r="D482" s="15">
        <v>4695974188.3769455</v>
      </c>
      <c r="E482" s="74">
        <v>-34.655193330000003</v>
      </c>
      <c r="G482" s="15">
        <v>4799614188.3769455</v>
      </c>
      <c r="H482" s="74">
        <v>-33.981506349999997</v>
      </c>
    </row>
    <row r="483" spans="1:8">
      <c r="A483" s="15">
        <v>6901463687.3746243</v>
      </c>
      <c r="B483" s="74">
        <v>-36.330585480000003</v>
      </c>
      <c r="D483" s="15">
        <v>4695975791.5833588</v>
      </c>
      <c r="E483" s="74">
        <v>-34.412239069999998</v>
      </c>
      <c r="G483" s="15">
        <v>4799615791.5833588</v>
      </c>
      <c r="H483" s="74">
        <v>-33.320426939999997</v>
      </c>
    </row>
    <row r="484" spans="1:8">
      <c r="A484" s="15">
        <v>6901466092.1842432</v>
      </c>
      <c r="B484" s="74">
        <v>-36.405784609999998</v>
      </c>
      <c r="D484" s="15">
        <v>4695977394.789772</v>
      </c>
      <c r="E484" s="74">
        <v>-33.561714170000002</v>
      </c>
      <c r="G484" s="15">
        <v>4799617394.789772</v>
      </c>
      <c r="H484" s="74">
        <v>-33.866764070000002</v>
      </c>
    </row>
    <row r="485" spans="1:8">
      <c r="A485" s="15">
        <v>6901468496.9938622</v>
      </c>
      <c r="B485" s="74">
        <v>-37.03643417</v>
      </c>
      <c r="D485" s="15">
        <v>4695978997.9961853</v>
      </c>
      <c r="E485" s="74">
        <v>-34.522541050000001</v>
      </c>
      <c r="G485" s="15">
        <v>4799618997.9961853</v>
      </c>
      <c r="H485" s="74">
        <v>-34.176120760000003</v>
      </c>
    </row>
    <row r="486" spans="1:8">
      <c r="A486" s="15">
        <v>6901470901.8034811</v>
      </c>
      <c r="B486" s="74">
        <v>-36.536937709999997</v>
      </c>
      <c r="D486" s="15">
        <v>4695980601.2025986</v>
      </c>
      <c r="E486" s="74">
        <v>-34.339225769999999</v>
      </c>
      <c r="G486" s="15">
        <v>4799620601.2025986</v>
      </c>
      <c r="H486" s="74">
        <v>-33.753696439999999</v>
      </c>
    </row>
    <row r="487" spans="1:8">
      <c r="A487" s="15">
        <v>6901473306.6131001</v>
      </c>
      <c r="B487" s="74">
        <v>-37.177970889999997</v>
      </c>
      <c r="D487" s="15">
        <v>4695982204.4090118</v>
      </c>
      <c r="E487" s="74">
        <v>-34.121425629999997</v>
      </c>
      <c r="G487" s="15">
        <v>4799622204.4090118</v>
      </c>
      <c r="H487" s="74">
        <v>-34.077659609999998</v>
      </c>
    </row>
    <row r="488" spans="1:8">
      <c r="A488" s="15">
        <v>6901475711.422719</v>
      </c>
      <c r="B488" s="74">
        <v>-39.165561680000003</v>
      </c>
      <c r="D488" s="15">
        <v>4695983807.6154251</v>
      </c>
      <c r="E488" s="74">
        <v>-36.375568389999998</v>
      </c>
      <c r="G488" s="15">
        <v>4799623807.6154251</v>
      </c>
      <c r="H488" s="74">
        <v>-35.207878110000003</v>
      </c>
    </row>
    <row r="489" spans="1:8">
      <c r="A489" s="15">
        <v>6901478116.232338</v>
      </c>
      <c r="B489" s="74">
        <v>-35.81537247</v>
      </c>
      <c r="D489" s="15">
        <v>4695985410.8218384</v>
      </c>
      <c r="E489" s="74">
        <v>-33.603691099999999</v>
      </c>
      <c r="G489" s="15">
        <v>4799625410.8218384</v>
      </c>
      <c r="H489" s="74">
        <v>-33.371696470000003</v>
      </c>
    </row>
    <row r="490" spans="1:8">
      <c r="A490" s="15">
        <v>6901480521.0419569</v>
      </c>
      <c r="B490" s="74">
        <v>-37.229595179999997</v>
      </c>
      <c r="D490" s="15">
        <v>4695987014.0282516</v>
      </c>
      <c r="E490" s="74">
        <v>-35.459644320000002</v>
      </c>
      <c r="G490" s="15">
        <v>4799627014.0282516</v>
      </c>
      <c r="H490" s="74">
        <v>-34.176208500000001</v>
      </c>
    </row>
    <row r="491" spans="1:8">
      <c r="A491" s="15">
        <v>6901482925.8515759</v>
      </c>
      <c r="B491" s="74">
        <v>-38.575988770000002</v>
      </c>
      <c r="D491" s="15">
        <v>4695988617.2346649</v>
      </c>
      <c r="E491" s="74">
        <v>-34.785148620000001</v>
      </c>
      <c r="G491" s="15">
        <v>4799628617.2346649</v>
      </c>
      <c r="H491" s="74">
        <v>-34.724784849999999</v>
      </c>
    </row>
    <row r="492" spans="1:8">
      <c r="A492" s="15">
        <v>6901485330.6611948</v>
      </c>
      <c r="B492" s="74">
        <v>-36.777782440000003</v>
      </c>
      <c r="D492" s="15">
        <v>4695990220.4410782</v>
      </c>
      <c r="E492" s="74">
        <v>-34.19121552</v>
      </c>
      <c r="G492" s="15">
        <v>4799630220.4410782</v>
      </c>
      <c r="H492" s="74">
        <v>-33.649776459999998</v>
      </c>
    </row>
    <row r="493" spans="1:8">
      <c r="A493" s="15">
        <v>6901487735.4708138</v>
      </c>
      <c r="B493" s="74">
        <v>-36.808475489999999</v>
      </c>
      <c r="D493" s="15">
        <v>4695991823.6474915</v>
      </c>
      <c r="E493" s="74">
        <v>-33.50262833</v>
      </c>
      <c r="G493" s="15">
        <v>4799631823.6474915</v>
      </c>
      <c r="H493" s="74">
        <v>-33.88640213</v>
      </c>
    </row>
    <row r="494" spans="1:8">
      <c r="A494" s="15">
        <v>6901490140.2804327</v>
      </c>
      <c r="B494" s="74">
        <v>-37.04967499</v>
      </c>
      <c r="D494" s="15">
        <v>4695993426.8539047</v>
      </c>
      <c r="E494" s="74">
        <v>-34.61077118</v>
      </c>
      <c r="G494" s="15">
        <v>4799633426.8539047</v>
      </c>
      <c r="H494" s="74">
        <v>-33.776638030000001</v>
      </c>
    </row>
    <row r="495" spans="1:8">
      <c r="A495" s="15">
        <v>6901492545.0900517</v>
      </c>
      <c r="B495" s="74">
        <v>-37.398639680000002</v>
      </c>
      <c r="D495" s="15">
        <v>4695995030.060318</v>
      </c>
      <c r="E495" s="74">
        <v>-34.70792007</v>
      </c>
      <c r="G495" s="15">
        <v>4799635030.060318</v>
      </c>
      <c r="H495" s="74">
        <v>-34.036674499999997</v>
      </c>
    </row>
    <row r="496" spans="1:8">
      <c r="A496" s="15">
        <v>6901494949.8996706</v>
      </c>
      <c r="B496" s="74">
        <v>-37.504108430000002</v>
      </c>
      <c r="D496" s="15">
        <v>4695996633.2667313</v>
      </c>
      <c r="E496" s="74">
        <v>-34.003334049999999</v>
      </c>
      <c r="G496" s="15">
        <v>4799636633.2667313</v>
      </c>
      <c r="H496" s="74">
        <v>-33.833557130000003</v>
      </c>
    </row>
    <row r="497" spans="1:8">
      <c r="A497" s="15">
        <v>6901497354.7092896</v>
      </c>
      <c r="B497" s="74">
        <v>-36.972187040000001</v>
      </c>
      <c r="D497" s="15">
        <v>4695998236.4731445</v>
      </c>
      <c r="E497" s="74">
        <v>-34.861080170000001</v>
      </c>
      <c r="G497" s="15">
        <v>4799638236.4731445</v>
      </c>
      <c r="H497" s="74">
        <v>-34.371082309999998</v>
      </c>
    </row>
    <row r="498" spans="1:8">
      <c r="A498" s="15">
        <v>6901499759.5189085</v>
      </c>
      <c r="B498" s="74">
        <v>-37.12357712</v>
      </c>
      <c r="D498" s="15">
        <v>4695999839.6795578</v>
      </c>
      <c r="E498" s="74">
        <v>-34.503711699999997</v>
      </c>
      <c r="G498" s="15">
        <v>4799639839.6795578</v>
      </c>
      <c r="H498" s="74">
        <v>-34.290836329999998</v>
      </c>
    </row>
    <row r="499" spans="1:8">
      <c r="A499" s="15">
        <v>6901502164.3285275</v>
      </c>
      <c r="B499" s="74">
        <v>-36.5403862</v>
      </c>
      <c r="D499" s="15">
        <v>4696001442.8859711</v>
      </c>
      <c r="E499" s="74">
        <v>-34.87442017</v>
      </c>
      <c r="G499" s="15">
        <v>4799641442.8859711</v>
      </c>
      <c r="H499" s="74">
        <v>-33.868255619999999</v>
      </c>
    </row>
    <row r="500" spans="1:8">
      <c r="A500" s="15">
        <v>6901504569.1381464</v>
      </c>
      <c r="B500" s="74">
        <v>-34.899940489999999</v>
      </c>
      <c r="D500" s="15">
        <v>4696003046.0923843</v>
      </c>
      <c r="E500" s="74">
        <v>-34.100421910000001</v>
      </c>
      <c r="G500" s="15">
        <v>4799643046.0923843</v>
      </c>
      <c r="H500" s="74">
        <v>-32.763690949999997</v>
      </c>
    </row>
    <row r="501" spans="1:8">
      <c r="A501" s="15">
        <v>6901506973.9477654</v>
      </c>
      <c r="B501" s="74">
        <v>-39.04385757</v>
      </c>
      <c r="D501" s="15">
        <v>4696004649.2987976</v>
      </c>
      <c r="E501" s="74">
        <v>-34.68169022</v>
      </c>
      <c r="G501" s="15">
        <v>4799644649.2987976</v>
      </c>
      <c r="H501" s="74">
        <v>-35.242015840000001</v>
      </c>
    </row>
    <row r="502" spans="1:8">
      <c r="A502" s="15">
        <v>6901509378.7573843</v>
      </c>
      <c r="B502" s="74">
        <v>-36.985572810000001</v>
      </c>
      <c r="D502" s="15">
        <v>4696006252.5052109</v>
      </c>
      <c r="E502" s="74">
        <v>-35.407752989999999</v>
      </c>
      <c r="G502" s="15">
        <v>4799646252.5052109</v>
      </c>
      <c r="H502" s="74">
        <v>-34.36438751</v>
      </c>
    </row>
    <row r="503" spans="1:8">
      <c r="A503" s="15">
        <v>6901511783.5670033</v>
      </c>
      <c r="B503" s="74">
        <v>-37.303386690000004</v>
      </c>
      <c r="D503" s="15">
        <v>4696007855.7116241</v>
      </c>
      <c r="E503" s="74">
        <v>-34.109951019999997</v>
      </c>
      <c r="G503" s="15">
        <v>4799647855.7116241</v>
      </c>
      <c r="H503" s="74">
        <v>-34.469600679999999</v>
      </c>
    </row>
    <row r="504" spans="1:8">
      <c r="A504" s="15">
        <v>6901514188.3766222</v>
      </c>
      <c r="B504" s="74">
        <v>-366540233610</v>
      </c>
      <c r="D504" s="15">
        <v>4696009458.9180374</v>
      </c>
      <c r="E504" s="74">
        <v>-355178794860</v>
      </c>
      <c r="G504" s="15">
        <v>4799649458.9180374</v>
      </c>
      <c r="H504" s="74">
        <v>-33.942016600000002</v>
      </c>
    </row>
    <row r="505" spans="1:8">
      <c r="A505" s="15">
        <v>6901516593.1862411</v>
      </c>
      <c r="B505" s="74">
        <v>-38.358310699999997</v>
      </c>
      <c r="D505" s="15">
        <v>4696011062.1244507</v>
      </c>
      <c r="E505" s="74">
        <v>-34.595272059999999</v>
      </c>
      <c r="G505" s="15">
        <v>4799651062.1244507</v>
      </c>
      <c r="H505" s="74">
        <v>-34.684413910000004</v>
      </c>
    </row>
    <row r="506" spans="1:8">
      <c r="A506" s="15">
        <v>6901518997.9958601</v>
      </c>
      <c r="B506" s="74">
        <v>-36.637409210000001</v>
      </c>
      <c r="D506" s="15">
        <v>4696012665.330864</v>
      </c>
      <c r="E506" s="74">
        <v>-35.298637390000003</v>
      </c>
      <c r="G506" s="15">
        <v>4799652665.330864</v>
      </c>
      <c r="H506" s="74">
        <v>-33.896537780000003</v>
      </c>
    </row>
    <row r="507" spans="1:8">
      <c r="A507" s="15">
        <v>6901521402.805479</v>
      </c>
      <c r="B507" s="74">
        <v>-38.150691989999999</v>
      </c>
      <c r="D507" s="15">
        <v>4696014268.5372772</v>
      </c>
      <c r="E507" s="74">
        <v>-34.668457029999999</v>
      </c>
      <c r="G507" s="15">
        <v>4799654268.5372772</v>
      </c>
      <c r="H507" s="74">
        <v>-34.843021389999997</v>
      </c>
    </row>
    <row r="508" spans="1:8">
      <c r="A508" s="15">
        <v>6901523807.615098</v>
      </c>
      <c r="B508" s="74">
        <v>-36.881702420000003</v>
      </c>
      <c r="D508" s="15">
        <v>4696015871.7436905</v>
      </c>
      <c r="E508" s="74">
        <v>-34.973873140000002</v>
      </c>
      <c r="G508" s="15">
        <v>4799655871.7436905</v>
      </c>
      <c r="H508" s="74">
        <v>-33.904571529999998</v>
      </c>
    </row>
    <row r="509" spans="1:8">
      <c r="A509" s="15">
        <v>6901526212.4247169</v>
      </c>
      <c r="B509" s="74">
        <v>-38.124725339999998</v>
      </c>
      <c r="D509" s="15">
        <v>4696017474.9501038</v>
      </c>
      <c r="E509" s="74">
        <v>-35.165599819999997</v>
      </c>
      <c r="G509" s="15">
        <v>4799657474.9501038</v>
      </c>
      <c r="H509" s="74">
        <v>-34.732608800000001</v>
      </c>
    </row>
    <row r="510" spans="1:8">
      <c r="A510" s="15">
        <v>6901528617.2343359</v>
      </c>
      <c r="B510" s="74">
        <v>-37.45954132</v>
      </c>
      <c r="D510" s="15">
        <v>4696019078.156517</v>
      </c>
      <c r="E510" s="74">
        <v>-34.862270359999997</v>
      </c>
      <c r="G510" s="15">
        <v>4799659078.156517</v>
      </c>
      <c r="H510" s="74">
        <v>-33.995243070000001</v>
      </c>
    </row>
    <row r="511" spans="1:8">
      <c r="A511" s="15">
        <v>6901531022.0439548</v>
      </c>
      <c r="B511" s="74">
        <v>-37.12617874</v>
      </c>
      <c r="D511" s="15">
        <v>4696020681.3629303</v>
      </c>
      <c r="E511" s="74">
        <v>-34.16833115</v>
      </c>
      <c r="G511" s="15">
        <v>4799660681.3629303</v>
      </c>
      <c r="H511" s="74">
        <v>-33.748809809999997</v>
      </c>
    </row>
    <row r="512" spans="1:8">
      <c r="A512" s="15">
        <v>6901533426.8535738</v>
      </c>
      <c r="B512" s="74">
        <v>-36.432209010000001</v>
      </c>
      <c r="D512" s="15">
        <v>4696022284.5693436</v>
      </c>
      <c r="E512" s="74">
        <v>-34.951786040000002</v>
      </c>
      <c r="G512" s="15">
        <v>4799662284.5693436</v>
      </c>
      <c r="H512" s="74">
        <v>-33.722587590000003</v>
      </c>
    </row>
    <row r="513" spans="1:8">
      <c r="A513" s="15">
        <v>6901535831.6631927</v>
      </c>
      <c r="B513" s="74">
        <v>-37.489879610000003</v>
      </c>
      <c r="D513" s="15">
        <v>4696023887.7757568</v>
      </c>
      <c r="E513" s="74">
        <v>-34.624633789999997</v>
      </c>
      <c r="G513" s="15">
        <v>4799663887.7757568</v>
      </c>
      <c r="H513" s="74">
        <v>-34.302860260000003</v>
      </c>
    </row>
    <row r="514" spans="1:8">
      <c r="A514" s="15">
        <v>6901538236.4728117</v>
      </c>
      <c r="B514" s="74">
        <v>-37.666778559999997</v>
      </c>
      <c r="D514" s="15">
        <v>4696025490.9821701</v>
      </c>
      <c r="E514" s="74">
        <v>-33.894741060000001</v>
      </c>
      <c r="G514" s="15">
        <v>4799665490.9821701</v>
      </c>
      <c r="H514" s="74">
        <v>-34.0846138</v>
      </c>
    </row>
    <row r="515" spans="1:8">
      <c r="A515" s="15">
        <v>6901540641.2824306</v>
      </c>
      <c r="B515" s="74">
        <v>-37.514411930000001</v>
      </c>
      <c r="D515" s="15">
        <v>4696027094.1885834</v>
      </c>
      <c r="E515" s="74">
        <v>-35.130641939999997</v>
      </c>
      <c r="G515" s="15">
        <v>4799667094.1885834</v>
      </c>
      <c r="H515" s="74">
        <v>-34.084392549999997</v>
      </c>
    </row>
    <row r="516" spans="1:8">
      <c r="A516" s="15">
        <v>6901543046.0920496</v>
      </c>
      <c r="B516" s="74">
        <v>-37.67098618</v>
      </c>
      <c r="D516" s="15">
        <v>4696028697.3949966</v>
      </c>
      <c r="E516" s="74">
        <v>-34.832054139999997</v>
      </c>
      <c r="G516" s="15">
        <v>4799668697.3949966</v>
      </c>
      <c r="H516" s="74">
        <v>-34.241638180000002</v>
      </c>
    </row>
    <row r="517" spans="1:8">
      <c r="A517" s="15">
        <v>6901545450.9016685</v>
      </c>
      <c r="B517" s="74">
        <v>-37.878841399999999</v>
      </c>
      <c r="D517" s="15">
        <v>4696030300.6014099</v>
      </c>
      <c r="E517" s="74">
        <v>-34.477787020000001</v>
      </c>
      <c r="G517" s="15">
        <v>4799670300.6014099</v>
      </c>
      <c r="H517" s="74">
        <v>-34.295108800000001</v>
      </c>
    </row>
    <row r="518" spans="1:8">
      <c r="A518" s="15">
        <v>6901547855.7112875</v>
      </c>
      <c r="B518" s="74">
        <v>-38.570640560000001</v>
      </c>
      <c r="D518" s="15">
        <v>4696031903.8078232</v>
      </c>
      <c r="E518" s="74">
        <v>-35.625095369999997</v>
      </c>
      <c r="G518" s="15">
        <v>4799671903.8078232</v>
      </c>
      <c r="H518" s="74">
        <v>-34.557502749999998</v>
      </c>
    </row>
    <row r="519" spans="1:8">
      <c r="A519" s="15">
        <v>6901550260.5209064</v>
      </c>
      <c r="B519" s="74">
        <v>-39.972370150000003</v>
      </c>
      <c r="D519" s="15">
        <v>4696033507.0142365</v>
      </c>
      <c r="E519" s="74">
        <v>-36.093902589999999</v>
      </c>
      <c r="G519" s="15">
        <v>4799673507.0142365</v>
      </c>
      <c r="H519" s="74">
        <v>-35.855243680000001</v>
      </c>
    </row>
    <row r="520" spans="1:8">
      <c r="A520" s="15">
        <v>6901552665.3305254</v>
      </c>
      <c r="B520" s="74">
        <v>-36.727710719999997</v>
      </c>
      <c r="D520" s="15">
        <v>4696035110.2206497</v>
      </c>
      <c r="E520" s="74">
        <v>-34.164096829999998</v>
      </c>
      <c r="G520" s="15">
        <v>4799675110.2206497</v>
      </c>
      <c r="H520" s="74">
        <v>-33.587879180000002</v>
      </c>
    </row>
    <row r="521" spans="1:8">
      <c r="A521" s="15">
        <v>6901555070.1401443</v>
      </c>
      <c r="B521" s="74">
        <v>-38.529689789999999</v>
      </c>
      <c r="D521" s="15">
        <v>4696036713.427063</v>
      </c>
      <c r="E521" s="74">
        <v>-35.214550019999997</v>
      </c>
      <c r="G521" s="15">
        <v>4799676713.427063</v>
      </c>
      <c r="H521" s="74">
        <v>-34.508605959999997</v>
      </c>
    </row>
    <row r="522" spans="1:8">
      <c r="A522" s="15">
        <v>6901557474.9497633</v>
      </c>
      <c r="B522" s="74">
        <v>-39.348152159999998</v>
      </c>
      <c r="D522" s="15">
        <v>4696038316.6334763</v>
      </c>
      <c r="E522" s="74">
        <v>-35.257385249999999</v>
      </c>
      <c r="G522" s="15">
        <v>4799678316.6334763</v>
      </c>
      <c r="H522" s="74">
        <v>-35.151115419999996</v>
      </c>
    </row>
    <row r="523" spans="1:8">
      <c r="A523" s="15">
        <v>6901559879.7593822</v>
      </c>
      <c r="B523" s="74">
        <v>-36.054477689999999</v>
      </c>
      <c r="D523" s="15">
        <v>4696039919.8398895</v>
      </c>
      <c r="E523" s="74">
        <v>-35.623535160000003</v>
      </c>
      <c r="G523" s="15">
        <v>4799679919.8398895</v>
      </c>
      <c r="H523" s="74">
        <v>-33.45642471</v>
      </c>
    </row>
    <row r="524" spans="1:8">
      <c r="A524" s="15">
        <v>6901562284.5690012</v>
      </c>
      <c r="B524" s="74">
        <v>-39.722202299999999</v>
      </c>
      <c r="D524" s="15">
        <v>4696041523.0463028</v>
      </c>
      <c r="E524" s="74">
        <v>-34.374725339999998</v>
      </c>
      <c r="G524" s="15">
        <v>4799681523.0463028</v>
      </c>
      <c r="H524" s="74">
        <v>-36.176982879999997</v>
      </c>
    </row>
    <row r="525" spans="1:8">
      <c r="A525" s="15">
        <v>6901564689.3786201</v>
      </c>
      <c r="B525" s="74">
        <v>-36.516490939999997</v>
      </c>
      <c r="D525" s="15">
        <v>4696043126.2527161</v>
      </c>
      <c r="E525" s="74">
        <v>-34.68694687</v>
      </c>
      <c r="G525" s="15">
        <v>4799683126.2527161</v>
      </c>
      <c r="H525" s="74">
        <v>-33.508209229999999</v>
      </c>
    </row>
    <row r="526" spans="1:8">
      <c r="A526" s="15">
        <v>6901567094.1882391</v>
      </c>
      <c r="B526" s="74">
        <v>-38.84490967</v>
      </c>
      <c r="D526" s="15">
        <v>4696044729.4591293</v>
      </c>
      <c r="E526" s="74">
        <v>-35.251029969999998</v>
      </c>
      <c r="G526" s="15">
        <v>4799684729.4591293</v>
      </c>
      <c r="H526" s="74">
        <v>-35.094348910000001</v>
      </c>
    </row>
    <row r="527" spans="1:8">
      <c r="A527" s="15">
        <v>6901569498.997858</v>
      </c>
      <c r="B527" s="74">
        <v>-38.793552400000003</v>
      </c>
      <c r="D527" s="15">
        <v>4696046332.6655426</v>
      </c>
      <c r="E527" s="74">
        <v>-35.239833830000002</v>
      </c>
      <c r="G527" s="15">
        <v>4799686332.6655426</v>
      </c>
      <c r="H527" s="74">
        <v>-34.652275090000003</v>
      </c>
    </row>
    <row r="528" spans="1:8">
      <c r="A528" s="15">
        <v>6901571903.807477</v>
      </c>
      <c r="B528" s="74">
        <v>-38.29827118</v>
      </c>
      <c r="D528" s="15">
        <v>4696047935.8719559</v>
      </c>
      <c r="E528" s="74">
        <v>-34.718868260000001</v>
      </c>
      <c r="G528" s="15">
        <v>4799687935.8719559</v>
      </c>
      <c r="H528" s="74">
        <v>-34.292694089999998</v>
      </c>
    </row>
    <row r="529" spans="1:8">
      <c r="A529" s="15">
        <v>6901574308.6170959</v>
      </c>
      <c r="B529" s="74">
        <v>-36.505523680000003</v>
      </c>
      <c r="D529" s="15">
        <v>4696049539.0783691</v>
      </c>
      <c r="E529" s="74">
        <v>-34.510868070000001</v>
      </c>
      <c r="G529" s="15">
        <v>4799689539.0783691</v>
      </c>
      <c r="H529" s="74">
        <v>-33.755622860000003</v>
      </c>
    </row>
    <row r="530" spans="1:8">
      <c r="A530" s="15">
        <v>6901576713.4267149</v>
      </c>
      <c r="B530" s="74">
        <v>-37.631378169999998</v>
      </c>
      <c r="D530" s="15">
        <v>4696051142.2847824</v>
      </c>
      <c r="E530" s="74">
        <v>-35.25858307</v>
      </c>
      <c r="G530" s="15">
        <v>4799691142.2847824</v>
      </c>
      <c r="H530" s="74">
        <v>-34.377197270000003</v>
      </c>
    </row>
    <row r="531" spans="1:8">
      <c r="A531" s="15">
        <v>6901579118.2363338</v>
      </c>
      <c r="B531" s="74">
        <v>-37.268318180000001</v>
      </c>
      <c r="D531" s="15">
        <v>4696052745.4911957</v>
      </c>
      <c r="E531" s="74">
        <v>-35.276741029999997</v>
      </c>
      <c r="G531" s="15">
        <v>4799692745.4911957</v>
      </c>
      <c r="H531" s="74">
        <v>-34.039192200000002</v>
      </c>
    </row>
    <row r="532" spans="1:8">
      <c r="A532" s="15">
        <v>6901581523.0459528</v>
      </c>
      <c r="B532" s="74">
        <v>-38.300983430000002</v>
      </c>
      <c r="D532" s="15">
        <v>4696054348.6976089</v>
      </c>
      <c r="E532" s="74">
        <v>-33.828834530000002</v>
      </c>
      <c r="G532" s="15">
        <v>4799694348.6976089</v>
      </c>
      <c r="H532" s="74">
        <v>-34.716419219999999</v>
      </c>
    </row>
    <row r="533" spans="1:8">
      <c r="A533" s="15">
        <v>6901583927.8555717</v>
      </c>
      <c r="B533" s="74">
        <v>-40.522235870000003</v>
      </c>
      <c r="D533" s="15">
        <v>4696055951.9040222</v>
      </c>
      <c r="E533" s="74">
        <v>-36.987998959999999</v>
      </c>
      <c r="G533" s="15">
        <v>4799695951.9040222</v>
      </c>
      <c r="H533" s="74">
        <v>-35.79728317</v>
      </c>
    </row>
    <row r="534" spans="1:8">
      <c r="A534" s="15">
        <v>6901586332.6651907</v>
      </c>
      <c r="B534" s="74">
        <v>-36.485446930000002</v>
      </c>
      <c r="D534" s="15">
        <v>4696057555.1104355</v>
      </c>
      <c r="E534" s="74">
        <v>-34.352809909999998</v>
      </c>
      <c r="G534" s="15">
        <v>4799697555.1104355</v>
      </c>
      <c r="H534" s="74">
        <v>-33.5403862</v>
      </c>
    </row>
    <row r="535" spans="1:8">
      <c r="A535" s="15">
        <v>6901588737.4748096</v>
      </c>
      <c r="B535" s="74">
        <v>-38.510429379999998</v>
      </c>
      <c r="D535" s="15">
        <v>4696059158.3168488</v>
      </c>
      <c r="E535" s="74">
        <v>-35.708187100000004</v>
      </c>
      <c r="G535" s="15">
        <v>4799699158.3168488</v>
      </c>
      <c r="H535" s="74">
        <v>-35.020423890000004</v>
      </c>
    </row>
    <row r="536" spans="1:8">
      <c r="A536" s="15">
        <v>6901591142.2844286</v>
      </c>
      <c r="B536" s="74">
        <v>-40.10182571</v>
      </c>
      <c r="D536" s="15">
        <v>4696060761.523262</v>
      </c>
      <c r="E536" s="74">
        <v>-35.52334595</v>
      </c>
      <c r="G536" s="15">
        <v>4799700761.523262</v>
      </c>
      <c r="H536" s="74">
        <v>-35.450553890000002</v>
      </c>
    </row>
    <row r="537" spans="1:8">
      <c r="A537" s="15">
        <v>6901593547.0940475</v>
      </c>
      <c r="B537" s="74">
        <v>-38.19024658</v>
      </c>
      <c r="D537" s="15">
        <v>4696062364.7296753</v>
      </c>
      <c r="E537" s="74">
        <v>-35.617862700000003</v>
      </c>
      <c r="G537" s="15">
        <v>4799702364.7296753</v>
      </c>
      <c r="H537" s="74">
        <v>-34.356479640000003</v>
      </c>
    </row>
    <row r="538" spans="1:8">
      <c r="A538" s="15">
        <v>6901595951.9036665</v>
      </c>
      <c r="B538" s="74">
        <v>-37.319866179999998</v>
      </c>
      <c r="D538" s="15">
        <v>4696063967.9360886</v>
      </c>
      <c r="E538" s="74">
        <v>-34.056919100000002</v>
      </c>
      <c r="G538" s="15">
        <v>4799703967.9360886</v>
      </c>
      <c r="H538" s="74">
        <v>-34.182762150000002</v>
      </c>
    </row>
    <row r="539" spans="1:8">
      <c r="A539" s="15">
        <v>6901598356.7132854</v>
      </c>
      <c r="B539" s="74">
        <v>-37.759124759999999</v>
      </c>
      <c r="D539" s="15">
        <v>4696065571.1425018</v>
      </c>
      <c r="E539" s="74">
        <v>-35.645549770000002</v>
      </c>
      <c r="G539" s="15">
        <v>4799705571.1425018</v>
      </c>
      <c r="H539" s="74">
        <v>-33.986782069999997</v>
      </c>
    </row>
    <row r="540" spans="1:8">
      <c r="A540" s="15">
        <v>6901600761.5229044</v>
      </c>
      <c r="B540" s="74">
        <v>-38.379985810000001</v>
      </c>
      <c r="D540" s="15">
        <v>4696067174.3489151</v>
      </c>
      <c r="E540" s="74">
        <v>-34.59170151</v>
      </c>
      <c r="G540" s="15">
        <v>4799707174.3489151</v>
      </c>
      <c r="H540" s="74">
        <v>-34.473899840000001</v>
      </c>
    </row>
    <row r="541" spans="1:8">
      <c r="A541" s="15">
        <v>6901603166.3325233</v>
      </c>
      <c r="B541" s="74">
        <v>-39.400608060000003</v>
      </c>
      <c r="D541" s="15">
        <v>4696068777.5553284</v>
      </c>
      <c r="E541" s="74">
        <v>-34.676715850000001</v>
      </c>
      <c r="G541" s="15">
        <v>4799708777.5553284</v>
      </c>
      <c r="H541" s="74">
        <v>-35.001361850000002</v>
      </c>
    </row>
    <row r="542" spans="1:8">
      <c r="A542" s="15">
        <v>6901605571.1421423</v>
      </c>
      <c r="B542" s="74">
        <v>-38.027133939999999</v>
      </c>
      <c r="D542" s="15">
        <v>4696070380.7617416</v>
      </c>
      <c r="E542" s="74">
        <v>-35.380840300000003</v>
      </c>
      <c r="G542" s="15">
        <v>4799710380.7617416</v>
      </c>
      <c r="H542" s="74">
        <v>-34.669593810000002</v>
      </c>
    </row>
    <row r="543" spans="1:8">
      <c r="A543" s="15">
        <v>6901607975.9517612</v>
      </c>
      <c r="B543" s="74">
        <v>-37.647865299999999</v>
      </c>
      <c r="D543" s="15">
        <v>4696071983.9681549</v>
      </c>
      <c r="E543" s="74">
        <v>-35.17804718</v>
      </c>
      <c r="G543" s="15">
        <v>4799711983.9681549</v>
      </c>
      <c r="H543" s="74">
        <v>-34.683937069999999</v>
      </c>
    </row>
    <row r="544" spans="1:8">
      <c r="A544" s="15">
        <v>6901610380.7613802</v>
      </c>
      <c r="B544" s="74">
        <v>-37.665336609999997</v>
      </c>
      <c r="D544" s="15">
        <v>4696073587.1745682</v>
      </c>
      <c r="E544" s="74">
        <v>-35.397968290000001</v>
      </c>
      <c r="G544" s="15">
        <v>4799713587.1745682</v>
      </c>
      <c r="H544" s="74">
        <v>-34.490756990000001</v>
      </c>
    </row>
    <row r="545" spans="1:8">
      <c r="A545" s="15">
        <v>6901612785.5709991</v>
      </c>
      <c r="B545" s="74">
        <v>-36.417110440000002</v>
      </c>
      <c r="D545" s="15">
        <v>4696075190.3809814</v>
      </c>
      <c r="E545" s="74">
        <v>-34.566951750000001</v>
      </c>
      <c r="G545" s="15">
        <v>4799715190.3809814</v>
      </c>
      <c r="H545" s="74">
        <v>-33.647369380000001</v>
      </c>
    </row>
    <row r="546" spans="1:8">
      <c r="A546" s="15">
        <v>6901615190.3806181</v>
      </c>
      <c r="B546" s="74">
        <v>-38.70734787</v>
      </c>
      <c r="D546" s="15">
        <v>4696076793.5873947</v>
      </c>
      <c r="E546" s="74">
        <v>-35.572410580000003</v>
      </c>
      <c r="G546" s="15">
        <v>4799716793.5873947</v>
      </c>
      <c r="H546" s="74">
        <v>-34.916358950000003</v>
      </c>
    </row>
    <row r="547" spans="1:8">
      <c r="A547" s="15">
        <v>6901617595.190237</v>
      </c>
      <c r="B547" s="74">
        <v>-39.795276639999997</v>
      </c>
      <c r="D547" s="15">
        <v>4696078396.793808</v>
      </c>
      <c r="E547" s="74">
        <v>-35.978801730000001</v>
      </c>
      <c r="G547" s="15">
        <v>4799718396.793808</v>
      </c>
      <c r="H547" s="74">
        <v>-36.246204380000002</v>
      </c>
    </row>
    <row r="548" spans="1:8">
      <c r="A548" s="15">
        <v>6901620000</v>
      </c>
      <c r="B548" s="15">
        <v>-37.181831359999997</v>
      </c>
      <c r="D548" s="15">
        <v>4696080000</v>
      </c>
      <c r="E548" s="15">
        <v>-35.55625534</v>
      </c>
      <c r="G548" s="15">
        <v>4799720000</v>
      </c>
      <c r="H548" s="15">
        <v>-34.206020359999997</v>
      </c>
    </row>
  </sheetData>
  <mergeCells count="66">
    <mergeCell ref="N6:P6"/>
    <mergeCell ref="B1:K1"/>
    <mergeCell ref="B2:J2"/>
    <mergeCell ref="B3:J3"/>
    <mergeCell ref="I4:I5"/>
    <mergeCell ref="A6:B6"/>
    <mergeCell ref="E6:G6"/>
    <mergeCell ref="J6:K6"/>
    <mergeCell ref="E7:G7"/>
    <mergeCell ref="N7:P7"/>
    <mergeCell ref="W7:Y7"/>
    <mergeCell ref="E10:G10"/>
    <mergeCell ref="N10:P10"/>
    <mergeCell ref="W10:Y10"/>
    <mergeCell ref="E9:G9"/>
    <mergeCell ref="N9:P9"/>
    <mergeCell ref="W9:Y9"/>
    <mergeCell ref="E8:G8"/>
    <mergeCell ref="N8:P8"/>
    <mergeCell ref="AF9:AH9"/>
    <mergeCell ref="AF10:AH10"/>
    <mergeCell ref="W8:Y8"/>
    <mergeCell ref="R4:R5"/>
    <mergeCell ref="AA4:AA5"/>
    <mergeCell ref="S6:T6"/>
    <mergeCell ref="W6:Y6"/>
    <mergeCell ref="AJ4:AJ5"/>
    <mergeCell ref="AB6:AC6"/>
    <mergeCell ref="AF6:AH6"/>
    <mergeCell ref="AF7:AH7"/>
    <mergeCell ref="AF8:AH8"/>
    <mergeCell ref="BG6:BI6"/>
    <mergeCell ref="BL6:BM6"/>
    <mergeCell ref="BP6:BR6"/>
    <mergeCell ref="BU6:BV6"/>
    <mergeCell ref="BY6:CA6"/>
    <mergeCell ref="AK6:AL6"/>
    <mergeCell ref="AO6:AQ6"/>
    <mergeCell ref="AT6:AU6"/>
    <mergeCell ref="AX6:AZ6"/>
    <mergeCell ref="BC6:BD6"/>
    <mergeCell ref="AS4:AS5"/>
    <mergeCell ref="BB4:BB5"/>
    <mergeCell ref="BK4:BK5"/>
    <mergeCell ref="BT4:BT5"/>
    <mergeCell ref="CC4:CC5"/>
    <mergeCell ref="AO8:AQ8"/>
    <mergeCell ref="AX8:AZ8"/>
    <mergeCell ref="BG8:BI8"/>
    <mergeCell ref="BP8:BR8"/>
    <mergeCell ref="BY8:CA8"/>
    <mergeCell ref="AO7:AQ7"/>
    <mergeCell ref="AX7:AZ7"/>
    <mergeCell ref="BG7:BI7"/>
    <mergeCell ref="BP7:BR7"/>
    <mergeCell ref="BY7:CA7"/>
    <mergeCell ref="AO10:AQ10"/>
    <mergeCell ref="AX10:AZ10"/>
    <mergeCell ref="BG10:BI10"/>
    <mergeCell ref="BP10:BR10"/>
    <mergeCell ref="BY10:CA10"/>
    <mergeCell ref="AO9:AQ9"/>
    <mergeCell ref="AX9:AZ9"/>
    <mergeCell ref="BG9:BI9"/>
    <mergeCell ref="BP9:BR9"/>
    <mergeCell ref="BY9:CA9"/>
  </mergeCells>
  <phoneticPr fontId="1" type="noConversion"/>
  <conditionalFormatting sqref="H7">
    <cfRule type="containsBlanks" priority="133" stopIfTrue="1">
      <formula>LEN(TRIM(H7))=0</formula>
    </cfRule>
    <cfRule type="cellIs" dxfId="125" priority="134" stopIfTrue="1" operator="greaterThan">
      <formula>-30</formula>
    </cfRule>
    <cfRule type="cellIs" dxfId="124" priority="135" stopIfTrue="1" operator="between">
      <formula>-33</formula>
      <formula>-30</formula>
    </cfRule>
  </conditionalFormatting>
  <conditionalFormatting sqref="H8">
    <cfRule type="containsBlanks" priority="130" stopIfTrue="1">
      <formula>LEN(TRIM(H8))=0</formula>
    </cfRule>
    <cfRule type="cellIs" dxfId="123" priority="131" stopIfTrue="1" operator="greaterThan">
      <formula>-30</formula>
    </cfRule>
    <cfRule type="cellIs" dxfId="122" priority="132" stopIfTrue="1" operator="between">
      <formula>-33</formula>
      <formula>-30</formula>
    </cfRule>
  </conditionalFormatting>
  <conditionalFormatting sqref="H9">
    <cfRule type="containsBlanks" priority="127" stopIfTrue="1">
      <formula>LEN(TRIM(H9))=0</formula>
    </cfRule>
    <cfRule type="cellIs" dxfId="121" priority="128" stopIfTrue="1" operator="greaterThan">
      <formula>-30</formula>
    </cfRule>
    <cfRule type="cellIs" dxfId="120" priority="129" stopIfTrue="1" operator="between">
      <formula>-33</formula>
      <formula>-30</formula>
    </cfRule>
  </conditionalFormatting>
  <conditionalFormatting sqref="Q7">
    <cfRule type="containsBlanks" priority="124" stopIfTrue="1">
      <formula>LEN(TRIM(Q7))=0</formula>
    </cfRule>
    <cfRule type="cellIs" dxfId="119" priority="125" stopIfTrue="1" operator="greaterThan">
      <formula>-30</formula>
    </cfRule>
    <cfRule type="cellIs" dxfId="118" priority="126" stopIfTrue="1" operator="between">
      <formula>-33</formula>
      <formula>-30</formula>
    </cfRule>
  </conditionalFormatting>
  <conditionalFormatting sqref="Q8">
    <cfRule type="containsBlanks" priority="121" stopIfTrue="1">
      <formula>LEN(TRIM(Q8))=0</formula>
    </cfRule>
    <cfRule type="cellIs" dxfId="117" priority="122" stopIfTrue="1" operator="greaterThan">
      <formula>-30</formula>
    </cfRule>
    <cfRule type="cellIs" dxfId="116" priority="123" stopIfTrue="1" operator="between">
      <formula>-33</formula>
      <formula>-30</formula>
    </cfRule>
  </conditionalFormatting>
  <conditionalFormatting sqref="Q9">
    <cfRule type="containsBlanks" priority="118" stopIfTrue="1">
      <formula>LEN(TRIM(Q9))=0</formula>
    </cfRule>
    <cfRule type="cellIs" dxfId="115" priority="119" stopIfTrue="1" operator="greaterThan">
      <formula>-30</formula>
    </cfRule>
    <cfRule type="cellIs" dxfId="114" priority="120" stopIfTrue="1" operator="between">
      <formula>-33</formula>
      <formula>-30</formula>
    </cfRule>
  </conditionalFormatting>
  <conditionalFormatting sqref="Z7">
    <cfRule type="containsBlanks" priority="115" stopIfTrue="1">
      <formula>LEN(TRIM(Z7))=0</formula>
    </cfRule>
    <cfRule type="cellIs" dxfId="113" priority="116" stopIfTrue="1" operator="greaterThan">
      <formula>-30</formula>
    </cfRule>
    <cfRule type="cellIs" dxfId="112" priority="117" stopIfTrue="1" operator="between">
      <formula>-33</formula>
      <formula>-30</formula>
    </cfRule>
  </conditionalFormatting>
  <conditionalFormatting sqref="Z8">
    <cfRule type="containsBlanks" priority="112" stopIfTrue="1">
      <formula>LEN(TRIM(Z8))=0</formula>
    </cfRule>
    <cfRule type="cellIs" dxfId="111" priority="113" stopIfTrue="1" operator="greaterThan">
      <formula>-30</formula>
    </cfRule>
    <cfRule type="cellIs" dxfId="110" priority="114" stopIfTrue="1" operator="between">
      <formula>-33</formula>
      <formula>-30</formula>
    </cfRule>
  </conditionalFormatting>
  <conditionalFormatting sqref="Z9">
    <cfRule type="containsBlanks" priority="109" stopIfTrue="1">
      <formula>LEN(TRIM(Z9))=0</formula>
    </cfRule>
    <cfRule type="cellIs" dxfId="109" priority="110" stopIfTrue="1" operator="greaterThan">
      <formula>-30</formula>
    </cfRule>
    <cfRule type="cellIs" dxfId="108" priority="111" stopIfTrue="1" operator="between">
      <formula>-33</formula>
      <formula>-30</formula>
    </cfRule>
  </conditionalFormatting>
  <conditionalFormatting sqref="AI7">
    <cfRule type="containsBlanks" priority="106" stopIfTrue="1">
      <formula>LEN(TRIM(AI7))=0</formula>
    </cfRule>
    <cfRule type="cellIs" dxfId="107" priority="107" stopIfTrue="1" operator="greaterThan">
      <formula>-30</formula>
    </cfRule>
    <cfRule type="cellIs" dxfId="106" priority="108" stopIfTrue="1" operator="between">
      <formula>-33</formula>
      <formula>-30</formula>
    </cfRule>
  </conditionalFormatting>
  <conditionalFormatting sqref="AI8">
    <cfRule type="containsBlanks" priority="103" stopIfTrue="1">
      <formula>LEN(TRIM(AI8))=0</formula>
    </cfRule>
    <cfRule type="cellIs" dxfId="105" priority="104" stopIfTrue="1" operator="greaterThan">
      <formula>-30</formula>
    </cfRule>
    <cfRule type="cellIs" dxfId="104" priority="105" stopIfTrue="1" operator="between">
      <formula>-33</formula>
      <formula>-30</formula>
    </cfRule>
  </conditionalFormatting>
  <conditionalFormatting sqref="AI9">
    <cfRule type="containsBlanks" priority="100" stopIfTrue="1">
      <formula>LEN(TRIM(AI9))=0</formula>
    </cfRule>
    <cfRule type="cellIs" dxfId="103" priority="101" stopIfTrue="1" operator="greaterThan">
      <formula>-30</formula>
    </cfRule>
    <cfRule type="cellIs" dxfId="102" priority="102" stopIfTrue="1" operator="between">
      <formula>-33</formula>
      <formula>-30</formula>
    </cfRule>
  </conditionalFormatting>
  <conditionalFormatting sqref="AR7">
    <cfRule type="containsBlanks" priority="97" stopIfTrue="1">
      <formula>LEN(TRIM(AR7))=0</formula>
    </cfRule>
    <cfRule type="cellIs" dxfId="101" priority="98" stopIfTrue="1" operator="greaterThan">
      <formula>-30</formula>
    </cfRule>
    <cfRule type="cellIs" dxfId="100" priority="99" stopIfTrue="1" operator="between">
      <formula>-33</formula>
      <formula>-30</formula>
    </cfRule>
  </conditionalFormatting>
  <conditionalFormatting sqref="AR8">
    <cfRule type="containsBlanks" priority="94" stopIfTrue="1">
      <formula>LEN(TRIM(AR8))=0</formula>
    </cfRule>
    <cfRule type="cellIs" dxfId="99" priority="95" stopIfTrue="1" operator="greaterThan">
      <formula>-30</formula>
    </cfRule>
    <cfRule type="cellIs" dxfId="98" priority="96" stopIfTrue="1" operator="between">
      <formula>-33</formula>
      <formula>-30</formula>
    </cfRule>
  </conditionalFormatting>
  <conditionalFormatting sqref="AR9">
    <cfRule type="containsBlanks" priority="91" stopIfTrue="1">
      <formula>LEN(TRIM(AR9))=0</formula>
    </cfRule>
    <cfRule type="cellIs" dxfId="97" priority="92" stopIfTrue="1" operator="greaterThan">
      <formula>-30</formula>
    </cfRule>
    <cfRule type="cellIs" dxfId="96" priority="93" stopIfTrue="1" operator="between">
      <formula>-33</formula>
      <formula>-30</formula>
    </cfRule>
  </conditionalFormatting>
  <conditionalFormatting sqref="BA7">
    <cfRule type="containsBlanks" priority="88" stopIfTrue="1">
      <formula>LEN(TRIM(BA7))=0</formula>
    </cfRule>
    <cfRule type="cellIs" dxfId="95" priority="89" stopIfTrue="1" operator="greaterThan">
      <formula>-30</formula>
    </cfRule>
    <cfRule type="cellIs" dxfId="94" priority="90" stopIfTrue="1" operator="between">
      <formula>-33</formula>
      <formula>-30</formula>
    </cfRule>
  </conditionalFormatting>
  <conditionalFormatting sqref="BA8">
    <cfRule type="containsBlanks" priority="85" stopIfTrue="1">
      <formula>LEN(TRIM(BA8))=0</formula>
    </cfRule>
    <cfRule type="cellIs" dxfId="93" priority="86" stopIfTrue="1" operator="greaterThan">
      <formula>-30</formula>
    </cfRule>
    <cfRule type="cellIs" dxfId="92" priority="87" stopIfTrue="1" operator="between">
      <formula>-33</formula>
      <formula>-30</formula>
    </cfRule>
  </conditionalFormatting>
  <conditionalFormatting sqref="BA9">
    <cfRule type="containsBlanks" priority="82" stopIfTrue="1">
      <formula>LEN(TRIM(BA9))=0</formula>
    </cfRule>
    <cfRule type="cellIs" dxfId="91" priority="83" stopIfTrue="1" operator="greaterThan">
      <formula>-30</formula>
    </cfRule>
    <cfRule type="cellIs" dxfId="90" priority="84" stopIfTrue="1" operator="between">
      <formula>-33</formula>
      <formula>-30</formula>
    </cfRule>
  </conditionalFormatting>
  <conditionalFormatting sqref="BJ7">
    <cfRule type="containsBlanks" priority="79" stopIfTrue="1">
      <formula>LEN(TRIM(BJ7))=0</formula>
    </cfRule>
    <cfRule type="cellIs" dxfId="89" priority="80" stopIfTrue="1" operator="greaterThan">
      <formula>-30</formula>
    </cfRule>
    <cfRule type="cellIs" dxfId="88" priority="81" stopIfTrue="1" operator="between">
      <formula>-33</formula>
      <formula>-30</formula>
    </cfRule>
  </conditionalFormatting>
  <conditionalFormatting sqref="BJ8">
    <cfRule type="containsBlanks" priority="76" stopIfTrue="1">
      <formula>LEN(TRIM(BJ8))=0</formula>
    </cfRule>
    <cfRule type="cellIs" dxfId="87" priority="77" stopIfTrue="1" operator="greaterThan">
      <formula>-30</formula>
    </cfRule>
    <cfRule type="cellIs" dxfId="86" priority="78" stopIfTrue="1" operator="between">
      <formula>-33</formula>
      <formula>-30</formula>
    </cfRule>
  </conditionalFormatting>
  <conditionalFormatting sqref="BJ9">
    <cfRule type="containsBlanks" priority="73" stopIfTrue="1">
      <formula>LEN(TRIM(BJ9))=0</formula>
    </cfRule>
    <cfRule type="cellIs" dxfId="85" priority="74" stopIfTrue="1" operator="greaterThan">
      <formula>-30</formula>
    </cfRule>
    <cfRule type="cellIs" dxfId="84" priority="75" stopIfTrue="1" operator="between">
      <formula>-33</formula>
      <formula>-30</formula>
    </cfRule>
  </conditionalFormatting>
  <conditionalFormatting sqref="BS7">
    <cfRule type="containsBlanks" priority="70" stopIfTrue="1">
      <formula>LEN(TRIM(BS7))=0</formula>
    </cfRule>
    <cfRule type="cellIs" dxfId="83" priority="71" stopIfTrue="1" operator="greaterThan">
      <formula>-30</formula>
    </cfRule>
    <cfRule type="cellIs" dxfId="82" priority="72" stopIfTrue="1" operator="between">
      <formula>-33</formula>
      <formula>-30</formula>
    </cfRule>
  </conditionalFormatting>
  <conditionalFormatting sqref="BS8">
    <cfRule type="containsBlanks" priority="67" stopIfTrue="1">
      <formula>LEN(TRIM(BS8))=0</formula>
    </cfRule>
    <cfRule type="cellIs" dxfId="81" priority="68" stopIfTrue="1" operator="greaterThan">
      <formula>-30</formula>
    </cfRule>
    <cfRule type="cellIs" dxfId="80" priority="69" stopIfTrue="1" operator="between">
      <formula>-33</formula>
      <formula>-30</formula>
    </cfRule>
  </conditionalFormatting>
  <conditionalFormatting sqref="BS9">
    <cfRule type="containsBlanks" priority="64" stopIfTrue="1">
      <formula>LEN(TRIM(BS9))=0</formula>
    </cfRule>
    <cfRule type="cellIs" dxfId="79" priority="65" stopIfTrue="1" operator="greaterThan">
      <formula>-30</formula>
    </cfRule>
    <cfRule type="cellIs" dxfId="78" priority="66" stopIfTrue="1" operator="between">
      <formula>-33</formula>
      <formula>-30</formula>
    </cfRule>
  </conditionalFormatting>
  <conditionalFormatting sqref="CB7">
    <cfRule type="containsBlanks" priority="61" stopIfTrue="1">
      <formula>LEN(TRIM(CB7))=0</formula>
    </cfRule>
    <cfRule type="cellIs" dxfId="77" priority="62" stopIfTrue="1" operator="greaterThan">
      <formula>-30</formula>
    </cfRule>
    <cfRule type="cellIs" dxfId="76" priority="63" stopIfTrue="1" operator="between">
      <formula>-33</formula>
      <formula>-30</formula>
    </cfRule>
  </conditionalFormatting>
  <conditionalFormatting sqref="CB8">
    <cfRule type="containsBlanks" priority="58" stopIfTrue="1">
      <formula>LEN(TRIM(CB8))=0</formula>
    </cfRule>
    <cfRule type="cellIs" dxfId="75" priority="59" stopIfTrue="1" operator="greaterThan">
      <formula>-30</formula>
    </cfRule>
    <cfRule type="cellIs" dxfId="74" priority="60" stopIfTrue="1" operator="between">
      <formula>-33</formula>
      <formula>-30</formula>
    </cfRule>
  </conditionalFormatting>
  <conditionalFormatting sqref="CB9">
    <cfRule type="containsBlanks" priority="55" stopIfTrue="1">
      <formula>LEN(TRIM(CB9))=0</formula>
    </cfRule>
    <cfRule type="cellIs" dxfId="73" priority="56" stopIfTrue="1" operator="greaterThan">
      <formula>-30</formula>
    </cfRule>
    <cfRule type="cellIs" dxfId="72" priority="57" stopIfTrue="1" operator="between">
      <formula>-33</formula>
      <formula>-30</formula>
    </cfRule>
  </conditionalFormatting>
  <conditionalFormatting sqref="H10">
    <cfRule type="containsBlanks" priority="52" stopIfTrue="1">
      <formula>LEN(TRIM(H10))=0</formula>
    </cfRule>
    <cfRule type="cellIs" dxfId="71" priority="53" stopIfTrue="1" operator="greaterThan">
      <formula>-30</formula>
    </cfRule>
    <cfRule type="cellIs" dxfId="70" priority="54" stopIfTrue="1" operator="between">
      <formula>-33</formula>
      <formula>-30</formula>
    </cfRule>
  </conditionalFormatting>
  <conditionalFormatting sqref="Q10">
    <cfRule type="containsBlanks" priority="49" stopIfTrue="1">
      <formula>LEN(TRIM(Q10))=0</formula>
    </cfRule>
    <cfRule type="cellIs" dxfId="69" priority="50" stopIfTrue="1" operator="greaterThan">
      <formula>-30</formula>
    </cfRule>
    <cfRule type="cellIs" dxfId="68" priority="51" stopIfTrue="1" operator="between">
      <formula>-33</formula>
      <formula>-30</formula>
    </cfRule>
  </conditionalFormatting>
  <conditionalFormatting sqref="Z10">
    <cfRule type="containsBlanks" priority="46" stopIfTrue="1">
      <formula>LEN(TRIM(Z10))=0</formula>
    </cfRule>
    <cfRule type="cellIs" dxfId="67" priority="47" stopIfTrue="1" operator="greaterThan">
      <formula>-30</formula>
    </cfRule>
    <cfRule type="cellIs" dxfId="66" priority="48" stopIfTrue="1" operator="between">
      <formula>-33</formula>
      <formula>-30</formula>
    </cfRule>
  </conditionalFormatting>
  <conditionalFormatting sqref="AI10">
    <cfRule type="containsBlanks" priority="43" stopIfTrue="1">
      <formula>LEN(TRIM(AI10))=0</formula>
    </cfRule>
    <cfRule type="cellIs" dxfId="65" priority="44" stopIfTrue="1" operator="greaterThan">
      <formula>-30</formula>
    </cfRule>
    <cfRule type="cellIs" dxfId="64" priority="45" stopIfTrue="1" operator="between">
      <formula>-33</formula>
      <formula>-30</formula>
    </cfRule>
  </conditionalFormatting>
  <conditionalFormatting sqref="AR10">
    <cfRule type="containsBlanks" priority="40" stopIfTrue="1">
      <formula>LEN(TRIM(AR10))=0</formula>
    </cfRule>
    <cfRule type="cellIs" dxfId="63" priority="41" stopIfTrue="1" operator="greaterThan">
      <formula>-30</formula>
    </cfRule>
    <cfRule type="cellIs" dxfId="62" priority="42" stopIfTrue="1" operator="between">
      <formula>-33</formula>
      <formula>-30</formula>
    </cfRule>
  </conditionalFormatting>
  <conditionalFormatting sqref="BA10">
    <cfRule type="containsBlanks" priority="37" stopIfTrue="1">
      <formula>LEN(TRIM(BA10))=0</formula>
    </cfRule>
    <cfRule type="cellIs" dxfId="61" priority="38" stopIfTrue="1" operator="greaterThan">
      <formula>-30</formula>
    </cfRule>
    <cfRule type="cellIs" dxfId="60" priority="39" stopIfTrue="1" operator="between">
      <formula>-33</formula>
      <formula>-30</formula>
    </cfRule>
  </conditionalFormatting>
  <conditionalFormatting sqref="BJ10">
    <cfRule type="containsBlanks" priority="34" stopIfTrue="1">
      <formula>LEN(TRIM(BJ10))=0</formula>
    </cfRule>
    <cfRule type="cellIs" dxfId="59" priority="35" stopIfTrue="1" operator="greaterThan">
      <formula>-30</formula>
    </cfRule>
    <cfRule type="cellIs" dxfId="58" priority="36" stopIfTrue="1" operator="between">
      <formula>-33</formula>
      <formula>-30</formula>
    </cfRule>
  </conditionalFormatting>
  <conditionalFormatting sqref="BS10">
    <cfRule type="containsBlanks" priority="31" stopIfTrue="1">
      <formula>LEN(TRIM(BS10))=0</formula>
    </cfRule>
    <cfRule type="cellIs" dxfId="57" priority="32" stopIfTrue="1" operator="greaterThan">
      <formula>-30</formula>
    </cfRule>
    <cfRule type="cellIs" dxfId="56" priority="33" stopIfTrue="1" operator="between">
      <formula>-33</formula>
      <formula>-30</formula>
    </cfRule>
  </conditionalFormatting>
  <conditionalFormatting sqref="CB10">
    <cfRule type="containsBlanks" priority="28" stopIfTrue="1">
      <formula>LEN(TRIM(CB10))=0</formula>
    </cfRule>
    <cfRule type="cellIs" dxfId="55" priority="29" stopIfTrue="1" operator="greaterThan">
      <formula>-30</formula>
    </cfRule>
    <cfRule type="cellIs" dxfId="54" priority="30" stopIfTrue="1" operator="between">
      <formula>-33</formula>
      <formula>-30</formula>
    </cfRule>
  </conditionalFormatting>
  <dataValidations disablePrompts="1" count="1">
    <dataValidation type="list" allowBlank="1" showInputMessage="1" showErrorMessage="1" sqref="G5 P5 AH5 Y5">
      <formula1>"Low,Mid,High"</formula1>
    </dataValidation>
  </dataValidations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CC368"/>
  <sheetViews>
    <sheetView zoomScale="80" zoomScaleNormal="80" workbookViewId="0">
      <selection activeCell="H7" sqref="H7:H17"/>
    </sheetView>
  </sheetViews>
  <sheetFormatPr defaultRowHeight="13.5"/>
  <cols>
    <col min="3" max="3" width="9.875" bestFit="1" customWidth="1"/>
    <col min="4" max="4" width="9" customWidth="1"/>
    <col min="9" max="9" width="7.625" bestFit="1" customWidth="1"/>
    <col min="10" max="10" width="7.75" bestFit="1" customWidth="1"/>
    <col min="11" max="11" width="8" bestFit="1" customWidth="1"/>
    <col min="12" max="12" width="9.875" bestFit="1" customWidth="1"/>
    <col min="13" max="13" width="9" customWidth="1"/>
    <col min="18" max="18" width="7.625" bestFit="1" customWidth="1"/>
    <col min="19" max="19" width="7.75" bestFit="1" customWidth="1"/>
    <col min="20" max="20" width="8" bestFit="1" customWidth="1"/>
    <col min="21" max="21" width="9.875" bestFit="1" customWidth="1"/>
    <col min="22" max="22" width="9" customWidth="1"/>
    <col min="27" max="27" width="7.625" bestFit="1" customWidth="1"/>
    <col min="259" max="259" width="9.875" bestFit="1" customWidth="1"/>
    <col min="260" max="260" width="9" customWidth="1"/>
    <col min="265" max="265" width="7.625" bestFit="1" customWidth="1"/>
    <col min="266" max="266" width="7.75" bestFit="1" customWidth="1"/>
    <col min="267" max="267" width="8" bestFit="1" customWidth="1"/>
    <col min="268" max="268" width="9.875" bestFit="1" customWidth="1"/>
    <col min="269" max="269" width="9" customWidth="1"/>
    <col min="274" max="274" width="7.625" bestFit="1" customWidth="1"/>
    <col min="275" max="275" width="7.75" bestFit="1" customWidth="1"/>
    <col min="276" max="276" width="8" bestFit="1" customWidth="1"/>
    <col min="277" max="277" width="9.875" bestFit="1" customWidth="1"/>
    <col min="278" max="278" width="9" customWidth="1"/>
    <col min="283" max="283" width="7.625" bestFit="1" customWidth="1"/>
    <col min="515" max="515" width="9.875" bestFit="1" customWidth="1"/>
    <col min="516" max="516" width="9" customWidth="1"/>
    <col min="521" max="521" width="7.625" bestFit="1" customWidth="1"/>
    <col min="522" max="522" width="7.75" bestFit="1" customWidth="1"/>
    <col min="523" max="523" width="8" bestFit="1" customWidth="1"/>
    <col min="524" max="524" width="9.875" bestFit="1" customWidth="1"/>
    <col min="525" max="525" width="9" customWidth="1"/>
    <col min="530" max="530" width="7.625" bestFit="1" customWidth="1"/>
    <col min="531" max="531" width="7.75" bestFit="1" customWidth="1"/>
    <col min="532" max="532" width="8" bestFit="1" customWidth="1"/>
    <col min="533" max="533" width="9.875" bestFit="1" customWidth="1"/>
    <col min="534" max="534" width="9" customWidth="1"/>
    <col min="539" max="539" width="7.625" bestFit="1" customWidth="1"/>
    <col min="771" max="771" width="9.875" bestFit="1" customWidth="1"/>
    <col min="772" max="772" width="9" customWidth="1"/>
    <col min="777" max="777" width="7.625" bestFit="1" customWidth="1"/>
    <col min="778" max="778" width="7.75" bestFit="1" customWidth="1"/>
    <col min="779" max="779" width="8" bestFit="1" customWidth="1"/>
    <col min="780" max="780" width="9.875" bestFit="1" customWidth="1"/>
    <col min="781" max="781" width="9" customWidth="1"/>
    <col min="786" max="786" width="7.625" bestFit="1" customWidth="1"/>
    <col min="787" max="787" width="7.75" bestFit="1" customWidth="1"/>
    <col min="788" max="788" width="8" bestFit="1" customWidth="1"/>
    <col min="789" max="789" width="9.875" bestFit="1" customWidth="1"/>
    <col min="790" max="790" width="9" customWidth="1"/>
    <col min="795" max="795" width="7.625" bestFit="1" customWidth="1"/>
    <col min="1027" max="1027" width="9.875" bestFit="1" customWidth="1"/>
    <col min="1028" max="1028" width="9" customWidth="1"/>
    <col min="1033" max="1033" width="7.625" bestFit="1" customWidth="1"/>
    <col min="1034" max="1034" width="7.75" bestFit="1" customWidth="1"/>
    <col min="1035" max="1035" width="8" bestFit="1" customWidth="1"/>
    <col min="1036" max="1036" width="9.875" bestFit="1" customWidth="1"/>
    <col min="1037" max="1037" width="9" customWidth="1"/>
    <col min="1042" max="1042" width="7.625" bestFit="1" customWidth="1"/>
    <col min="1043" max="1043" width="7.75" bestFit="1" customWidth="1"/>
    <col min="1044" max="1044" width="8" bestFit="1" customWidth="1"/>
    <col min="1045" max="1045" width="9.875" bestFit="1" customWidth="1"/>
    <col min="1046" max="1046" width="9" customWidth="1"/>
    <col min="1051" max="1051" width="7.625" bestFit="1" customWidth="1"/>
    <col min="1283" max="1283" width="9.875" bestFit="1" customWidth="1"/>
    <col min="1284" max="1284" width="9" customWidth="1"/>
    <col min="1289" max="1289" width="7.625" bestFit="1" customWidth="1"/>
    <col min="1290" max="1290" width="7.75" bestFit="1" customWidth="1"/>
    <col min="1291" max="1291" width="8" bestFit="1" customWidth="1"/>
    <col min="1292" max="1292" width="9.875" bestFit="1" customWidth="1"/>
    <col min="1293" max="1293" width="9" customWidth="1"/>
    <col min="1298" max="1298" width="7.625" bestFit="1" customWidth="1"/>
    <col min="1299" max="1299" width="7.75" bestFit="1" customWidth="1"/>
    <col min="1300" max="1300" width="8" bestFit="1" customWidth="1"/>
    <col min="1301" max="1301" width="9.875" bestFit="1" customWidth="1"/>
    <col min="1302" max="1302" width="9" customWidth="1"/>
    <col min="1307" max="1307" width="7.625" bestFit="1" customWidth="1"/>
    <col min="1539" max="1539" width="9.875" bestFit="1" customWidth="1"/>
    <col min="1540" max="1540" width="9" customWidth="1"/>
    <col min="1545" max="1545" width="7.625" bestFit="1" customWidth="1"/>
    <col min="1546" max="1546" width="7.75" bestFit="1" customWidth="1"/>
    <col min="1547" max="1547" width="8" bestFit="1" customWidth="1"/>
    <col min="1548" max="1548" width="9.875" bestFit="1" customWidth="1"/>
    <col min="1549" max="1549" width="9" customWidth="1"/>
    <col min="1554" max="1554" width="7.625" bestFit="1" customWidth="1"/>
    <col min="1555" max="1555" width="7.75" bestFit="1" customWidth="1"/>
    <col min="1556" max="1556" width="8" bestFit="1" customWidth="1"/>
    <col min="1557" max="1557" width="9.875" bestFit="1" customWidth="1"/>
    <col min="1558" max="1558" width="9" customWidth="1"/>
    <col min="1563" max="1563" width="7.625" bestFit="1" customWidth="1"/>
    <col min="1795" max="1795" width="9.875" bestFit="1" customWidth="1"/>
    <col min="1796" max="1796" width="9" customWidth="1"/>
    <col min="1801" max="1801" width="7.625" bestFit="1" customWidth="1"/>
    <col min="1802" max="1802" width="7.75" bestFit="1" customWidth="1"/>
    <col min="1803" max="1803" width="8" bestFit="1" customWidth="1"/>
    <col min="1804" max="1804" width="9.875" bestFit="1" customWidth="1"/>
    <col min="1805" max="1805" width="9" customWidth="1"/>
    <col min="1810" max="1810" width="7.625" bestFit="1" customWidth="1"/>
    <col min="1811" max="1811" width="7.75" bestFit="1" customWidth="1"/>
    <col min="1812" max="1812" width="8" bestFit="1" customWidth="1"/>
    <col min="1813" max="1813" width="9.875" bestFit="1" customWidth="1"/>
    <col min="1814" max="1814" width="9" customWidth="1"/>
    <col min="1819" max="1819" width="7.625" bestFit="1" customWidth="1"/>
    <col min="2051" max="2051" width="9.875" bestFit="1" customWidth="1"/>
    <col min="2052" max="2052" width="9" customWidth="1"/>
    <col min="2057" max="2057" width="7.625" bestFit="1" customWidth="1"/>
    <col min="2058" max="2058" width="7.75" bestFit="1" customWidth="1"/>
    <col min="2059" max="2059" width="8" bestFit="1" customWidth="1"/>
    <col min="2060" max="2060" width="9.875" bestFit="1" customWidth="1"/>
    <col min="2061" max="2061" width="9" customWidth="1"/>
    <col min="2066" max="2066" width="7.625" bestFit="1" customWidth="1"/>
    <col min="2067" max="2067" width="7.75" bestFit="1" customWidth="1"/>
    <col min="2068" max="2068" width="8" bestFit="1" customWidth="1"/>
    <col min="2069" max="2069" width="9.875" bestFit="1" customWidth="1"/>
    <col min="2070" max="2070" width="9" customWidth="1"/>
    <col min="2075" max="2075" width="7.625" bestFit="1" customWidth="1"/>
    <col min="2307" max="2307" width="9.875" bestFit="1" customWidth="1"/>
    <col min="2308" max="2308" width="9" customWidth="1"/>
    <col min="2313" max="2313" width="7.625" bestFit="1" customWidth="1"/>
    <col min="2314" max="2314" width="7.75" bestFit="1" customWidth="1"/>
    <col min="2315" max="2315" width="8" bestFit="1" customWidth="1"/>
    <col min="2316" max="2316" width="9.875" bestFit="1" customWidth="1"/>
    <col min="2317" max="2317" width="9" customWidth="1"/>
    <col min="2322" max="2322" width="7.625" bestFit="1" customWidth="1"/>
    <col min="2323" max="2323" width="7.75" bestFit="1" customWidth="1"/>
    <col min="2324" max="2324" width="8" bestFit="1" customWidth="1"/>
    <col min="2325" max="2325" width="9.875" bestFit="1" customWidth="1"/>
    <col min="2326" max="2326" width="9" customWidth="1"/>
    <col min="2331" max="2331" width="7.625" bestFit="1" customWidth="1"/>
    <col min="2563" max="2563" width="9.875" bestFit="1" customWidth="1"/>
    <col min="2564" max="2564" width="9" customWidth="1"/>
    <col min="2569" max="2569" width="7.625" bestFit="1" customWidth="1"/>
    <col min="2570" max="2570" width="7.75" bestFit="1" customWidth="1"/>
    <col min="2571" max="2571" width="8" bestFit="1" customWidth="1"/>
    <col min="2572" max="2572" width="9.875" bestFit="1" customWidth="1"/>
    <col min="2573" max="2573" width="9" customWidth="1"/>
    <col min="2578" max="2578" width="7.625" bestFit="1" customWidth="1"/>
    <col min="2579" max="2579" width="7.75" bestFit="1" customWidth="1"/>
    <col min="2580" max="2580" width="8" bestFit="1" customWidth="1"/>
    <col min="2581" max="2581" width="9.875" bestFit="1" customWidth="1"/>
    <col min="2582" max="2582" width="9" customWidth="1"/>
    <col min="2587" max="2587" width="7.625" bestFit="1" customWidth="1"/>
    <col min="2819" max="2819" width="9.875" bestFit="1" customWidth="1"/>
    <col min="2820" max="2820" width="9" customWidth="1"/>
    <col min="2825" max="2825" width="7.625" bestFit="1" customWidth="1"/>
    <col min="2826" max="2826" width="7.75" bestFit="1" customWidth="1"/>
    <col min="2827" max="2827" width="8" bestFit="1" customWidth="1"/>
    <col min="2828" max="2828" width="9.875" bestFit="1" customWidth="1"/>
    <col min="2829" max="2829" width="9" customWidth="1"/>
    <col min="2834" max="2834" width="7.625" bestFit="1" customWidth="1"/>
    <col min="2835" max="2835" width="7.75" bestFit="1" customWidth="1"/>
    <col min="2836" max="2836" width="8" bestFit="1" customWidth="1"/>
    <col min="2837" max="2837" width="9.875" bestFit="1" customWidth="1"/>
    <col min="2838" max="2838" width="9" customWidth="1"/>
    <col min="2843" max="2843" width="7.625" bestFit="1" customWidth="1"/>
    <col min="3075" max="3075" width="9.875" bestFit="1" customWidth="1"/>
    <col min="3076" max="3076" width="9" customWidth="1"/>
    <col min="3081" max="3081" width="7.625" bestFit="1" customWidth="1"/>
    <col min="3082" max="3082" width="7.75" bestFit="1" customWidth="1"/>
    <col min="3083" max="3083" width="8" bestFit="1" customWidth="1"/>
    <col min="3084" max="3084" width="9.875" bestFit="1" customWidth="1"/>
    <col min="3085" max="3085" width="9" customWidth="1"/>
    <col min="3090" max="3090" width="7.625" bestFit="1" customWidth="1"/>
    <col min="3091" max="3091" width="7.75" bestFit="1" customWidth="1"/>
    <col min="3092" max="3092" width="8" bestFit="1" customWidth="1"/>
    <col min="3093" max="3093" width="9.875" bestFit="1" customWidth="1"/>
    <col min="3094" max="3094" width="9" customWidth="1"/>
    <col min="3099" max="3099" width="7.625" bestFit="1" customWidth="1"/>
    <col min="3331" max="3331" width="9.875" bestFit="1" customWidth="1"/>
    <col min="3332" max="3332" width="9" customWidth="1"/>
    <col min="3337" max="3337" width="7.625" bestFit="1" customWidth="1"/>
    <col min="3338" max="3338" width="7.75" bestFit="1" customWidth="1"/>
    <col min="3339" max="3339" width="8" bestFit="1" customWidth="1"/>
    <col min="3340" max="3340" width="9.875" bestFit="1" customWidth="1"/>
    <col min="3341" max="3341" width="9" customWidth="1"/>
    <col min="3346" max="3346" width="7.625" bestFit="1" customWidth="1"/>
    <col min="3347" max="3347" width="7.75" bestFit="1" customWidth="1"/>
    <col min="3348" max="3348" width="8" bestFit="1" customWidth="1"/>
    <col min="3349" max="3349" width="9.875" bestFit="1" customWidth="1"/>
    <col min="3350" max="3350" width="9" customWidth="1"/>
    <col min="3355" max="3355" width="7.625" bestFit="1" customWidth="1"/>
    <col min="3587" max="3587" width="9.875" bestFit="1" customWidth="1"/>
    <col min="3588" max="3588" width="9" customWidth="1"/>
    <col min="3593" max="3593" width="7.625" bestFit="1" customWidth="1"/>
    <col min="3594" max="3594" width="7.75" bestFit="1" customWidth="1"/>
    <col min="3595" max="3595" width="8" bestFit="1" customWidth="1"/>
    <col min="3596" max="3596" width="9.875" bestFit="1" customWidth="1"/>
    <col min="3597" max="3597" width="9" customWidth="1"/>
    <col min="3602" max="3602" width="7.625" bestFit="1" customWidth="1"/>
    <col min="3603" max="3603" width="7.75" bestFit="1" customWidth="1"/>
    <col min="3604" max="3604" width="8" bestFit="1" customWidth="1"/>
    <col min="3605" max="3605" width="9.875" bestFit="1" customWidth="1"/>
    <col min="3606" max="3606" width="9" customWidth="1"/>
    <col min="3611" max="3611" width="7.625" bestFit="1" customWidth="1"/>
    <col min="3843" max="3843" width="9.875" bestFit="1" customWidth="1"/>
    <col min="3844" max="3844" width="9" customWidth="1"/>
    <col min="3849" max="3849" width="7.625" bestFit="1" customWidth="1"/>
    <col min="3850" max="3850" width="7.75" bestFit="1" customWidth="1"/>
    <col min="3851" max="3851" width="8" bestFit="1" customWidth="1"/>
    <col min="3852" max="3852" width="9.875" bestFit="1" customWidth="1"/>
    <col min="3853" max="3853" width="9" customWidth="1"/>
    <col min="3858" max="3858" width="7.625" bestFit="1" customWidth="1"/>
    <col min="3859" max="3859" width="7.75" bestFit="1" customWidth="1"/>
    <col min="3860" max="3860" width="8" bestFit="1" customWidth="1"/>
    <col min="3861" max="3861" width="9.875" bestFit="1" customWidth="1"/>
    <col min="3862" max="3862" width="9" customWidth="1"/>
    <col min="3867" max="3867" width="7.625" bestFit="1" customWidth="1"/>
    <col min="4099" max="4099" width="9.875" bestFit="1" customWidth="1"/>
    <col min="4100" max="4100" width="9" customWidth="1"/>
    <col min="4105" max="4105" width="7.625" bestFit="1" customWidth="1"/>
    <col min="4106" max="4106" width="7.75" bestFit="1" customWidth="1"/>
    <col min="4107" max="4107" width="8" bestFit="1" customWidth="1"/>
    <col min="4108" max="4108" width="9.875" bestFit="1" customWidth="1"/>
    <col min="4109" max="4109" width="9" customWidth="1"/>
    <col min="4114" max="4114" width="7.625" bestFit="1" customWidth="1"/>
    <col min="4115" max="4115" width="7.75" bestFit="1" customWidth="1"/>
    <col min="4116" max="4116" width="8" bestFit="1" customWidth="1"/>
    <col min="4117" max="4117" width="9.875" bestFit="1" customWidth="1"/>
    <col min="4118" max="4118" width="9" customWidth="1"/>
    <col min="4123" max="4123" width="7.625" bestFit="1" customWidth="1"/>
    <col min="4355" max="4355" width="9.875" bestFit="1" customWidth="1"/>
    <col min="4356" max="4356" width="9" customWidth="1"/>
    <col min="4361" max="4361" width="7.625" bestFit="1" customWidth="1"/>
    <col min="4362" max="4362" width="7.75" bestFit="1" customWidth="1"/>
    <col min="4363" max="4363" width="8" bestFit="1" customWidth="1"/>
    <col min="4364" max="4364" width="9.875" bestFit="1" customWidth="1"/>
    <col min="4365" max="4365" width="9" customWidth="1"/>
    <col min="4370" max="4370" width="7.625" bestFit="1" customWidth="1"/>
    <col min="4371" max="4371" width="7.75" bestFit="1" customWidth="1"/>
    <col min="4372" max="4372" width="8" bestFit="1" customWidth="1"/>
    <col min="4373" max="4373" width="9.875" bestFit="1" customWidth="1"/>
    <col min="4374" max="4374" width="9" customWidth="1"/>
    <col min="4379" max="4379" width="7.625" bestFit="1" customWidth="1"/>
    <col min="4611" max="4611" width="9.875" bestFit="1" customWidth="1"/>
    <col min="4612" max="4612" width="9" customWidth="1"/>
    <col min="4617" max="4617" width="7.625" bestFit="1" customWidth="1"/>
    <col min="4618" max="4618" width="7.75" bestFit="1" customWidth="1"/>
    <col min="4619" max="4619" width="8" bestFit="1" customWidth="1"/>
    <col min="4620" max="4620" width="9.875" bestFit="1" customWidth="1"/>
    <col min="4621" max="4621" width="9" customWidth="1"/>
    <col min="4626" max="4626" width="7.625" bestFit="1" customWidth="1"/>
    <col min="4627" max="4627" width="7.75" bestFit="1" customWidth="1"/>
    <col min="4628" max="4628" width="8" bestFit="1" customWidth="1"/>
    <col min="4629" max="4629" width="9.875" bestFit="1" customWidth="1"/>
    <col min="4630" max="4630" width="9" customWidth="1"/>
    <col min="4635" max="4635" width="7.625" bestFit="1" customWidth="1"/>
    <col min="4867" max="4867" width="9.875" bestFit="1" customWidth="1"/>
    <col min="4868" max="4868" width="9" customWidth="1"/>
    <col min="4873" max="4873" width="7.625" bestFit="1" customWidth="1"/>
    <col min="4874" max="4874" width="7.75" bestFit="1" customWidth="1"/>
    <col min="4875" max="4875" width="8" bestFit="1" customWidth="1"/>
    <col min="4876" max="4876" width="9.875" bestFit="1" customWidth="1"/>
    <col min="4877" max="4877" width="9" customWidth="1"/>
    <col min="4882" max="4882" width="7.625" bestFit="1" customWidth="1"/>
    <col min="4883" max="4883" width="7.75" bestFit="1" customWidth="1"/>
    <col min="4884" max="4884" width="8" bestFit="1" customWidth="1"/>
    <col min="4885" max="4885" width="9.875" bestFit="1" customWidth="1"/>
    <col min="4886" max="4886" width="9" customWidth="1"/>
    <col min="4891" max="4891" width="7.625" bestFit="1" customWidth="1"/>
    <col min="5123" max="5123" width="9.875" bestFit="1" customWidth="1"/>
    <col min="5124" max="5124" width="9" customWidth="1"/>
    <col min="5129" max="5129" width="7.625" bestFit="1" customWidth="1"/>
    <col min="5130" max="5130" width="7.75" bestFit="1" customWidth="1"/>
    <col min="5131" max="5131" width="8" bestFit="1" customWidth="1"/>
    <col min="5132" max="5132" width="9.875" bestFit="1" customWidth="1"/>
    <col min="5133" max="5133" width="9" customWidth="1"/>
    <col min="5138" max="5138" width="7.625" bestFit="1" customWidth="1"/>
    <col min="5139" max="5139" width="7.75" bestFit="1" customWidth="1"/>
    <col min="5140" max="5140" width="8" bestFit="1" customWidth="1"/>
    <col min="5141" max="5141" width="9.875" bestFit="1" customWidth="1"/>
    <col min="5142" max="5142" width="9" customWidth="1"/>
    <col min="5147" max="5147" width="7.625" bestFit="1" customWidth="1"/>
    <col min="5379" max="5379" width="9.875" bestFit="1" customWidth="1"/>
    <col min="5380" max="5380" width="9" customWidth="1"/>
    <col min="5385" max="5385" width="7.625" bestFit="1" customWidth="1"/>
    <col min="5386" max="5386" width="7.75" bestFit="1" customWidth="1"/>
    <col min="5387" max="5387" width="8" bestFit="1" customWidth="1"/>
    <col min="5388" max="5388" width="9.875" bestFit="1" customWidth="1"/>
    <col min="5389" max="5389" width="9" customWidth="1"/>
    <col min="5394" max="5394" width="7.625" bestFit="1" customWidth="1"/>
    <col min="5395" max="5395" width="7.75" bestFit="1" customWidth="1"/>
    <col min="5396" max="5396" width="8" bestFit="1" customWidth="1"/>
    <col min="5397" max="5397" width="9.875" bestFit="1" customWidth="1"/>
    <col min="5398" max="5398" width="9" customWidth="1"/>
    <col min="5403" max="5403" width="7.625" bestFit="1" customWidth="1"/>
    <col min="5635" max="5635" width="9.875" bestFit="1" customWidth="1"/>
    <col min="5636" max="5636" width="9" customWidth="1"/>
    <col min="5641" max="5641" width="7.625" bestFit="1" customWidth="1"/>
    <col min="5642" max="5642" width="7.75" bestFit="1" customWidth="1"/>
    <col min="5643" max="5643" width="8" bestFit="1" customWidth="1"/>
    <col min="5644" max="5644" width="9.875" bestFit="1" customWidth="1"/>
    <col min="5645" max="5645" width="9" customWidth="1"/>
    <col min="5650" max="5650" width="7.625" bestFit="1" customWidth="1"/>
    <col min="5651" max="5651" width="7.75" bestFit="1" customWidth="1"/>
    <col min="5652" max="5652" width="8" bestFit="1" customWidth="1"/>
    <col min="5653" max="5653" width="9.875" bestFit="1" customWidth="1"/>
    <col min="5654" max="5654" width="9" customWidth="1"/>
    <col min="5659" max="5659" width="7.625" bestFit="1" customWidth="1"/>
    <col min="5891" max="5891" width="9.875" bestFit="1" customWidth="1"/>
    <col min="5892" max="5892" width="9" customWidth="1"/>
    <col min="5897" max="5897" width="7.625" bestFit="1" customWidth="1"/>
    <col min="5898" max="5898" width="7.75" bestFit="1" customWidth="1"/>
    <col min="5899" max="5899" width="8" bestFit="1" customWidth="1"/>
    <col min="5900" max="5900" width="9.875" bestFit="1" customWidth="1"/>
    <col min="5901" max="5901" width="9" customWidth="1"/>
    <col min="5906" max="5906" width="7.625" bestFit="1" customWidth="1"/>
    <col min="5907" max="5907" width="7.75" bestFit="1" customWidth="1"/>
    <col min="5908" max="5908" width="8" bestFit="1" customWidth="1"/>
    <col min="5909" max="5909" width="9.875" bestFit="1" customWidth="1"/>
    <col min="5910" max="5910" width="9" customWidth="1"/>
    <col min="5915" max="5915" width="7.625" bestFit="1" customWidth="1"/>
    <col min="6147" max="6147" width="9.875" bestFit="1" customWidth="1"/>
    <col min="6148" max="6148" width="9" customWidth="1"/>
    <col min="6153" max="6153" width="7.625" bestFit="1" customWidth="1"/>
    <col min="6154" max="6154" width="7.75" bestFit="1" customWidth="1"/>
    <col min="6155" max="6155" width="8" bestFit="1" customWidth="1"/>
    <col min="6156" max="6156" width="9.875" bestFit="1" customWidth="1"/>
    <col min="6157" max="6157" width="9" customWidth="1"/>
    <col min="6162" max="6162" width="7.625" bestFit="1" customWidth="1"/>
    <col min="6163" max="6163" width="7.75" bestFit="1" customWidth="1"/>
    <col min="6164" max="6164" width="8" bestFit="1" customWidth="1"/>
    <col min="6165" max="6165" width="9.875" bestFit="1" customWidth="1"/>
    <col min="6166" max="6166" width="9" customWidth="1"/>
    <col min="6171" max="6171" width="7.625" bestFit="1" customWidth="1"/>
    <col min="6403" max="6403" width="9.875" bestFit="1" customWidth="1"/>
    <col min="6404" max="6404" width="9" customWidth="1"/>
    <col min="6409" max="6409" width="7.625" bestFit="1" customWidth="1"/>
    <col min="6410" max="6410" width="7.75" bestFit="1" customWidth="1"/>
    <col min="6411" max="6411" width="8" bestFit="1" customWidth="1"/>
    <col min="6412" max="6412" width="9.875" bestFit="1" customWidth="1"/>
    <col min="6413" max="6413" width="9" customWidth="1"/>
    <col min="6418" max="6418" width="7.625" bestFit="1" customWidth="1"/>
    <col min="6419" max="6419" width="7.75" bestFit="1" customWidth="1"/>
    <col min="6420" max="6420" width="8" bestFit="1" customWidth="1"/>
    <col min="6421" max="6421" width="9.875" bestFit="1" customWidth="1"/>
    <col min="6422" max="6422" width="9" customWidth="1"/>
    <col min="6427" max="6427" width="7.625" bestFit="1" customWidth="1"/>
    <col min="6659" max="6659" width="9.875" bestFit="1" customWidth="1"/>
    <col min="6660" max="6660" width="9" customWidth="1"/>
    <col min="6665" max="6665" width="7.625" bestFit="1" customWidth="1"/>
    <col min="6666" max="6666" width="7.75" bestFit="1" customWidth="1"/>
    <col min="6667" max="6667" width="8" bestFit="1" customWidth="1"/>
    <col min="6668" max="6668" width="9.875" bestFit="1" customWidth="1"/>
    <col min="6669" max="6669" width="9" customWidth="1"/>
    <col min="6674" max="6674" width="7.625" bestFit="1" customWidth="1"/>
    <col min="6675" max="6675" width="7.75" bestFit="1" customWidth="1"/>
    <col min="6676" max="6676" width="8" bestFit="1" customWidth="1"/>
    <col min="6677" max="6677" width="9.875" bestFit="1" customWidth="1"/>
    <col min="6678" max="6678" width="9" customWidth="1"/>
    <col min="6683" max="6683" width="7.625" bestFit="1" customWidth="1"/>
    <col min="6915" max="6915" width="9.875" bestFit="1" customWidth="1"/>
    <col min="6916" max="6916" width="9" customWidth="1"/>
    <col min="6921" max="6921" width="7.625" bestFit="1" customWidth="1"/>
    <col min="6922" max="6922" width="7.75" bestFit="1" customWidth="1"/>
    <col min="6923" max="6923" width="8" bestFit="1" customWidth="1"/>
    <col min="6924" max="6924" width="9.875" bestFit="1" customWidth="1"/>
    <col min="6925" max="6925" width="9" customWidth="1"/>
    <col min="6930" max="6930" width="7.625" bestFit="1" customWidth="1"/>
    <col min="6931" max="6931" width="7.75" bestFit="1" customWidth="1"/>
    <col min="6932" max="6932" width="8" bestFit="1" customWidth="1"/>
    <col min="6933" max="6933" width="9.875" bestFit="1" customWidth="1"/>
    <col min="6934" max="6934" width="9" customWidth="1"/>
    <col min="6939" max="6939" width="7.625" bestFit="1" customWidth="1"/>
    <col min="7171" max="7171" width="9.875" bestFit="1" customWidth="1"/>
    <col min="7172" max="7172" width="9" customWidth="1"/>
    <col min="7177" max="7177" width="7.625" bestFit="1" customWidth="1"/>
    <col min="7178" max="7178" width="7.75" bestFit="1" customWidth="1"/>
    <col min="7179" max="7179" width="8" bestFit="1" customWidth="1"/>
    <col min="7180" max="7180" width="9.875" bestFit="1" customWidth="1"/>
    <col min="7181" max="7181" width="9" customWidth="1"/>
    <col min="7186" max="7186" width="7.625" bestFit="1" customWidth="1"/>
    <col min="7187" max="7187" width="7.75" bestFit="1" customWidth="1"/>
    <col min="7188" max="7188" width="8" bestFit="1" customWidth="1"/>
    <col min="7189" max="7189" width="9.875" bestFit="1" customWidth="1"/>
    <col min="7190" max="7190" width="9" customWidth="1"/>
    <col min="7195" max="7195" width="7.625" bestFit="1" customWidth="1"/>
    <col min="7427" max="7427" width="9.875" bestFit="1" customWidth="1"/>
    <col min="7428" max="7428" width="9" customWidth="1"/>
    <col min="7433" max="7433" width="7.625" bestFit="1" customWidth="1"/>
    <col min="7434" max="7434" width="7.75" bestFit="1" customWidth="1"/>
    <col min="7435" max="7435" width="8" bestFit="1" customWidth="1"/>
    <col min="7436" max="7436" width="9.875" bestFit="1" customWidth="1"/>
    <col min="7437" max="7437" width="9" customWidth="1"/>
    <col min="7442" max="7442" width="7.625" bestFit="1" customWidth="1"/>
    <col min="7443" max="7443" width="7.75" bestFit="1" customWidth="1"/>
    <col min="7444" max="7444" width="8" bestFit="1" customWidth="1"/>
    <col min="7445" max="7445" width="9.875" bestFit="1" customWidth="1"/>
    <col min="7446" max="7446" width="9" customWidth="1"/>
    <col min="7451" max="7451" width="7.625" bestFit="1" customWidth="1"/>
    <col min="7683" max="7683" width="9.875" bestFit="1" customWidth="1"/>
    <col min="7684" max="7684" width="9" customWidth="1"/>
    <col min="7689" max="7689" width="7.625" bestFit="1" customWidth="1"/>
    <col min="7690" max="7690" width="7.75" bestFit="1" customWidth="1"/>
    <col min="7691" max="7691" width="8" bestFit="1" customWidth="1"/>
    <col min="7692" max="7692" width="9.875" bestFit="1" customWidth="1"/>
    <col min="7693" max="7693" width="9" customWidth="1"/>
    <col min="7698" max="7698" width="7.625" bestFit="1" customWidth="1"/>
    <col min="7699" max="7699" width="7.75" bestFit="1" customWidth="1"/>
    <col min="7700" max="7700" width="8" bestFit="1" customWidth="1"/>
    <col min="7701" max="7701" width="9.875" bestFit="1" customWidth="1"/>
    <col min="7702" max="7702" width="9" customWidth="1"/>
    <col min="7707" max="7707" width="7.625" bestFit="1" customWidth="1"/>
    <col min="7939" max="7939" width="9.875" bestFit="1" customWidth="1"/>
    <col min="7940" max="7940" width="9" customWidth="1"/>
    <col min="7945" max="7945" width="7.625" bestFit="1" customWidth="1"/>
    <col min="7946" max="7946" width="7.75" bestFit="1" customWidth="1"/>
    <col min="7947" max="7947" width="8" bestFit="1" customWidth="1"/>
    <col min="7948" max="7948" width="9.875" bestFit="1" customWidth="1"/>
    <col min="7949" max="7949" width="9" customWidth="1"/>
    <col min="7954" max="7954" width="7.625" bestFit="1" customWidth="1"/>
    <col min="7955" max="7955" width="7.75" bestFit="1" customWidth="1"/>
    <col min="7956" max="7956" width="8" bestFit="1" customWidth="1"/>
    <col min="7957" max="7957" width="9.875" bestFit="1" customWidth="1"/>
    <col min="7958" max="7958" width="9" customWidth="1"/>
    <col min="7963" max="7963" width="7.625" bestFit="1" customWidth="1"/>
    <col min="8195" max="8195" width="9.875" bestFit="1" customWidth="1"/>
    <col min="8196" max="8196" width="9" customWidth="1"/>
    <col min="8201" max="8201" width="7.625" bestFit="1" customWidth="1"/>
    <col min="8202" max="8202" width="7.75" bestFit="1" customWidth="1"/>
    <col min="8203" max="8203" width="8" bestFit="1" customWidth="1"/>
    <col min="8204" max="8204" width="9.875" bestFit="1" customWidth="1"/>
    <col min="8205" max="8205" width="9" customWidth="1"/>
    <col min="8210" max="8210" width="7.625" bestFit="1" customWidth="1"/>
    <col min="8211" max="8211" width="7.75" bestFit="1" customWidth="1"/>
    <col min="8212" max="8212" width="8" bestFit="1" customWidth="1"/>
    <col min="8213" max="8213" width="9.875" bestFit="1" customWidth="1"/>
    <col min="8214" max="8214" width="9" customWidth="1"/>
    <col min="8219" max="8219" width="7.625" bestFit="1" customWidth="1"/>
    <col min="8451" max="8451" width="9.875" bestFit="1" customWidth="1"/>
    <col min="8452" max="8452" width="9" customWidth="1"/>
    <col min="8457" max="8457" width="7.625" bestFit="1" customWidth="1"/>
    <col min="8458" max="8458" width="7.75" bestFit="1" customWidth="1"/>
    <col min="8459" max="8459" width="8" bestFit="1" customWidth="1"/>
    <col min="8460" max="8460" width="9.875" bestFit="1" customWidth="1"/>
    <col min="8461" max="8461" width="9" customWidth="1"/>
    <col min="8466" max="8466" width="7.625" bestFit="1" customWidth="1"/>
    <col min="8467" max="8467" width="7.75" bestFit="1" customWidth="1"/>
    <col min="8468" max="8468" width="8" bestFit="1" customWidth="1"/>
    <col min="8469" max="8469" width="9.875" bestFit="1" customWidth="1"/>
    <col min="8470" max="8470" width="9" customWidth="1"/>
    <col min="8475" max="8475" width="7.625" bestFit="1" customWidth="1"/>
    <col min="8707" max="8707" width="9.875" bestFit="1" customWidth="1"/>
    <col min="8708" max="8708" width="9" customWidth="1"/>
    <col min="8713" max="8713" width="7.625" bestFit="1" customWidth="1"/>
    <col min="8714" max="8714" width="7.75" bestFit="1" customWidth="1"/>
    <col min="8715" max="8715" width="8" bestFit="1" customWidth="1"/>
    <col min="8716" max="8716" width="9.875" bestFit="1" customWidth="1"/>
    <col min="8717" max="8717" width="9" customWidth="1"/>
    <col min="8722" max="8722" width="7.625" bestFit="1" customWidth="1"/>
    <col min="8723" max="8723" width="7.75" bestFit="1" customWidth="1"/>
    <col min="8724" max="8724" width="8" bestFit="1" customWidth="1"/>
    <col min="8725" max="8725" width="9.875" bestFit="1" customWidth="1"/>
    <col min="8726" max="8726" width="9" customWidth="1"/>
    <col min="8731" max="8731" width="7.625" bestFit="1" customWidth="1"/>
    <col min="8963" max="8963" width="9.875" bestFit="1" customWidth="1"/>
    <col min="8964" max="8964" width="9" customWidth="1"/>
    <col min="8969" max="8969" width="7.625" bestFit="1" customWidth="1"/>
    <col min="8970" max="8970" width="7.75" bestFit="1" customWidth="1"/>
    <col min="8971" max="8971" width="8" bestFit="1" customWidth="1"/>
    <col min="8972" max="8972" width="9.875" bestFit="1" customWidth="1"/>
    <col min="8973" max="8973" width="9" customWidth="1"/>
    <col min="8978" max="8978" width="7.625" bestFit="1" customWidth="1"/>
    <col min="8979" max="8979" width="7.75" bestFit="1" customWidth="1"/>
    <col min="8980" max="8980" width="8" bestFit="1" customWidth="1"/>
    <col min="8981" max="8981" width="9.875" bestFit="1" customWidth="1"/>
    <col min="8982" max="8982" width="9" customWidth="1"/>
    <col min="8987" max="8987" width="7.625" bestFit="1" customWidth="1"/>
    <col min="9219" max="9219" width="9.875" bestFit="1" customWidth="1"/>
    <col min="9220" max="9220" width="9" customWidth="1"/>
    <col min="9225" max="9225" width="7.625" bestFit="1" customWidth="1"/>
    <col min="9226" max="9226" width="7.75" bestFit="1" customWidth="1"/>
    <col min="9227" max="9227" width="8" bestFit="1" customWidth="1"/>
    <col min="9228" max="9228" width="9.875" bestFit="1" customWidth="1"/>
    <col min="9229" max="9229" width="9" customWidth="1"/>
    <col min="9234" max="9234" width="7.625" bestFit="1" customWidth="1"/>
    <col min="9235" max="9235" width="7.75" bestFit="1" customWidth="1"/>
    <col min="9236" max="9236" width="8" bestFit="1" customWidth="1"/>
    <col min="9237" max="9237" width="9.875" bestFit="1" customWidth="1"/>
    <col min="9238" max="9238" width="9" customWidth="1"/>
    <col min="9243" max="9243" width="7.625" bestFit="1" customWidth="1"/>
    <col min="9475" max="9475" width="9.875" bestFit="1" customWidth="1"/>
    <col min="9476" max="9476" width="9" customWidth="1"/>
    <col min="9481" max="9481" width="7.625" bestFit="1" customWidth="1"/>
    <col min="9482" max="9482" width="7.75" bestFit="1" customWidth="1"/>
    <col min="9483" max="9483" width="8" bestFit="1" customWidth="1"/>
    <col min="9484" max="9484" width="9.875" bestFit="1" customWidth="1"/>
    <col min="9485" max="9485" width="9" customWidth="1"/>
    <col min="9490" max="9490" width="7.625" bestFit="1" customWidth="1"/>
    <col min="9491" max="9491" width="7.75" bestFit="1" customWidth="1"/>
    <col min="9492" max="9492" width="8" bestFit="1" customWidth="1"/>
    <col min="9493" max="9493" width="9.875" bestFit="1" customWidth="1"/>
    <col min="9494" max="9494" width="9" customWidth="1"/>
    <col min="9499" max="9499" width="7.625" bestFit="1" customWidth="1"/>
    <col min="9731" max="9731" width="9.875" bestFit="1" customWidth="1"/>
    <col min="9732" max="9732" width="9" customWidth="1"/>
    <col min="9737" max="9737" width="7.625" bestFit="1" customWidth="1"/>
    <col min="9738" max="9738" width="7.75" bestFit="1" customWidth="1"/>
    <col min="9739" max="9739" width="8" bestFit="1" customWidth="1"/>
    <col min="9740" max="9740" width="9.875" bestFit="1" customWidth="1"/>
    <col min="9741" max="9741" width="9" customWidth="1"/>
    <col min="9746" max="9746" width="7.625" bestFit="1" customWidth="1"/>
    <col min="9747" max="9747" width="7.75" bestFit="1" customWidth="1"/>
    <col min="9748" max="9748" width="8" bestFit="1" customWidth="1"/>
    <col min="9749" max="9749" width="9.875" bestFit="1" customWidth="1"/>
    <col min="9750" max="9750" width="9" customWidth="1"/>
    <col min="9755" max="9755" width="7.625" bestFit="1" customWidth="1"/>
    <col min="9987" max="9987" width="9.875" bestFit="1" customWidth="1"/>
    <col min="9988" max="9988" width="9" customWidth="1"/>
    <col min="9993" max="9993" width="7.625" bestFit="1" customWidth="1"/>
    <col min="9994" max="9994" width="7.75" bestFit="1" customWidth="1"/>
    <col min="9995" max="9995" width="8" bestFit="1" customWidth="1"/>
    <col min="9996" max="9996" width="9.875" bestFit="1" customWidth="1"/>
    <col min="9997" max="9997" width="9" customWidth="1"/>
    <col min="10002" max="10002" width="7.625" bestFit="1" customWidth="1"/>
    <col min="10003" max="10003" width="7.75" bestFit="1" customWidth="1"/>
    <col min="10004" max="10004" width="8" bestFit="1" customWidth="1"/>
    <col min="10005" max="10005" width="9.875" bestFit="1" customWidth="1"/>
    <col min="10006" max="10006" width="9" customWidth="1"/>
    <col min="10011" max="10011" width="7.625" bestFit="1" customWidth="1"/>
    <col min="10243" max="10243" width="9.875" bestFit="1" customWidth="1"/>
    <col min="10244" max="10244" width="9" customWidth="1"/>
    <col min="10249" max="10249" width="7.625" bestFit="1" customWidth="1"/>
    <col min="10250" max="10250" width="7.75" bestFit="1" customWidth="1"/>
    <col min="10251" max="10251" width="8" bestFit="1" customWidth="1"/>
    <col min="10252" max="10252" width="9.875" bestFit="1" customWidth="1"/>
    <col min="10253" max="10253" width="9" customWidth="1"/>
    <col min="10258" max="10258" width="7.625" bestFit="1" customWidth="1"/>
    <col min="10259" max="10259" width="7.75" bestFit="1" customWidth="1"/>
    <col min="10260" max="10260" width="8" bestFit="1" customWidth="1"/>
    <col min="10261" max="10261" width="9.875" bestFit="1" customWidth="1"/>
    <col min="10262" max="10262" width="9" customWidth="1"/>
    <col min="10267" max="10267" width="7.625" bestFit="1" customWidth="1"/>
    <col min="10499" max="10499" width="9.875" bestFit="1" customWidth="1"/>
    <col min="10500" max="10500" width="9" customWidth="1"/>
    <col min="10505" max="10505" width="7.625" bestFit="1" customWidth="1"/>
    <col min="10506" max="10506" width="7.75" bestFit="1" customWidth="1"/>
    <col min="10507" max="10507" width="8" bestFit="1" customWidth="1"/>
    <col min="10508" max="10508" width="9.875" bestFit="1" customWidth="1"/>
    <col min="10509" max="10509" width="9" customWidth="1"/>
    <col min="10514" max="10514" width="7.625" bestFit="1" customWidth="1"/>
    <col min="10515" max="10515" width="7.75" bestFit="1" customWidth="1"/>
    <col min="10516" max="10516" width="8" bestFit="1" customWidth="1"/>
    <col min="10517" max="10517" width="9.875" bestFit="1" customWidth="1"/>
    <col min="10518" max="10518" width="9" customWidth="1"/>
    <col min="10523" max="10523" width="7.625" bestFit="1" customWidth="1"/>
    <col min="10755" max="10755" width="9.875" bestFit="1" customWidth="1"/>
    <col min="10756" max="10756" width="9" customWidth="1"/>
    <col min="10761" max="10761" width="7.625" bestFit="1" customWidth="1"/>
    <col min="10762" max="10762" width="7.75" bestFit="1" customWidth="1"/>
    <col min="10763" max="10763" width="8" bestFit="1" customWidth="1"/>
    <col min="10764" max="10764" width="9.875" bestFit="1" customWidth="1"/>
    <col min="10765" max="10765" width="9" customWidth="1"/>
    <col min="10770" max="10770" width="7.625" bestFit="1" customWidth="1"/>
    <col min="10771" max="10771" width="7.75" bestFit="1" customWidth="1"/>
    <col min="10772" max="10772" width="8" bestFit="1" customWidth="1"/>
    <col min="10773" max="10773" width="9.875" bestFit="1" customWidth="1"/>
    <col min="10774" max="10774" width="9" customWidth="1"/>
    <col min="10779" max="10779" width="7.625" bestFit="1" customWidth="1"/>
    <col min="11011" max="11011" width="9.875" bestFit="1" customWidth="1"/>
    <col min="11012" max="11012" width="9" customWidth="1"/>
    <col min="11017" max="11017" width="7.625" bestFit="1" customWidth="1"/>
    <col min="11018" max="11018" width="7.75" bestFit="1" customWidth="1"/>
    <col min="11019" max="11019" width="8" bestFit="1" customWidth="1"/>
    <col min="11020" max="11020" width="9.875" bestFit="1" customWidth="1"/>
    <col min="11021" max="11021" width="9" customWidth="1"/>
    <col min="11026" max="11026" width="7.625" bestFit="1" customWidth="1"/>
    <col min="11027" max="11027" width="7.75" bestFit="1" customWidth="1"/>
    <col min="11028" max="11028" width="8" bestFit="1" customWidth="1"/>
    <col min="11029" max="11029" width="9.875" bestFit="1" customWidth="1"/>
    <col min="11030" max="11030" width="9" customWidth="1"/>
    <col min="11035" max="11035" width="7.625" bestFit="1" customWidth="1"/>
    <col min="11267" max="11267" width="9.875" bestFit="1" customWidth="1"/>
    <col min="11268" max="11268" width="9" customWidth="1"/>
    <col min="11273" max="11273" width="7.625" bestFit="1" customWidth="1"/>
    <col min="11274" max="11274" width="7.75" bestFit="1" customWidth="1"/>
    <col min="11275" max="11275" width="8" bestFit="1" customWidth="1"/>
    <col min="11276" max="11276" width="9.875" bestFit="1" customWidth="1"/>
    <col min="11277" max="11277" width="9" customWidth="1"/>
    <col min="11282" max="11282" width="7.625" bestFit="1" customWidth="1"/>
    <col min="11283" max="11283" width="7.75" bestFit="1" customWidth="1"/>
    <col min="11284" max="11284" width="8" bestFit="1" customWidth="1"/>
    <col min="11285" max="11285" width="9.875" bestFit="1" customWidth="1"/>
    <col min="11286" max="11286" width="9" customWidth="1"/>
    <col min="11291" max="11291" width="7.625" bestFit="1" customWidth="1"/>
    <col min="11523" max="11523" width="9.875" bestFit="1" customWidth="1"/>
    <col min="11524" max="11524" width="9" customWidth="1"/>
    <col min="11529" max="11529" width="7.625" bestFit="1" customWidth="1"/>
    <col min="11530" max="11530" width="7.75" bestFit="1" customWidth="1"/>
    <col min="11531" max="11531" width="8" bestFit="1" customWidth="1"/>
    <col min="11532" max="11532" width="9.875" bestFit="1" customWidth="1"/>
    <col min="11533" max="11533" width="9" customWidth="1"/>
    <col min="11538" max="11538" width="7.625" bestFit="1" customWidth="1"/>
    <col min="11539" max="11539" width="7.75" bestFit="1" customWidth="1"/>
    <col min="11540" max="11540" width="8" bestFit="1" customWidth="1"/>
    <col min="11541" max="11541" width="9.875" bestFit="1" customWidth="1"/>
    <col min="11542" max="11542" width="9" customWidth="1"/>
    <col min="11547" max="11547" width="7.625" bestFit="1" customWidth="1"/>
    <col min="11779" max="11779" width="9.875" bestFit="1" customWidth="1"/>
    <col min="11780" max="11780" width="9" customWidth="1"/>
    <col min="11785" max="11785" width="7.625" bestFit="1" customWidth="1"/>
    <col min="11786" max="11786" width="7.75" bestFit="1" customWidth="1"/>
    <col min="11787" max="11787" width="8" bestFit="1" customWidth="1"/>
    <col min="11788" max="11788" width="9.875" bestFit="1" customWidth="1"/>
    <col min="11789" max="11789" width="9" customWidth="1"/>
    <col min="11794" max="11794" width="7.625" bestFit="1" customWidth="1"/>
    <col min="11795" max="11795" width="7.75" bestFit="1" customWidth="1"/>
    <col min="11796" max="11796" width="8" bestFit="1" customWidth="1"/>
    <col min="11797" max="11797" width="9.875" bestFit="1" customWidth="1"/>
    <col min="11798" max="11798" width="9" customWidth="1"/>
    <col min="11803" max="11803" width="7.625" bestFit="1" customWidth="1"/>
    <col min="12035" max="12035" width="9.875" bestFit="1" customWidth="1"/>
    <col min="12036" max="12036" width="9" customWidth="1"/>
    <col min="12041" max="12041" width="7.625" bestFit="1" customWidth="1"/>
    <col min="12042" max="12042" width="7.75" bestFit="1" customWidth="1"/>
    <col min="12043" max="12043" width="8" bestFit="1" customWidth="1"/>
    <col min="12044" max="12044" width="9.875" bestFit="1" customWidth="1"/>
    <col min="12045" max="12045" width="9" customWidth="1"/>
    <col min="12050" max="12050" width="7.625" bestFit="1" customWidth="1"/>
    <col min="12051" max="12051" width="7.75" bestFit="1" customWidth="1"/>
    <col min="12052" max="12052" width="8" bestFit="1" customWidth="1"/>
    <col min="12053" max="12053" width="9.875" bestFit="1" customWidth="1"/>
    <col min="12054" max="12054" width="9" customWidth="1"/>
    <col min="12059" max="12059" width="7.625" bestFit="1" customWidth="1"/>
    <col min="12291" max="12291" width="9.875" bestFit="1" customWidth="1"/>
    <col min="12292" max="12292" width="9" customWidth="1"/>
    <col min="12297" max="12297" width="7.625" bestFit="1" customWidth="1"/>
    <col min="12298" max="12298" width="7.75" bestFit="1" customWidth="1"/>
    <col min="12299" max="12299" width="8" bestFit="1" customWidth="1"/>
    <col min="12300" max="12300" width="9.875" bestFit="1" customWidth="1"/>
    <col min="12301" max="12301" width="9" customWidth="1"/>
    <col min="12306" max="12306" width="7.625" bestFit="1" customWidth="1"/>
    <col min="12307" max="12307" width="7.75" bestFit="1" customWidth="1"/>
    <col min="12308" max="12308" width="8" bestFit="1" customWidth="1"/>
    <col min="12309" max="12309" width="9.875" bestFit="1" customWidth="1"/>
    <col min="12310" max="12310" width="9" customWidth="1"/>
    <col min="12315" max="12315" width="7.625" bestFit="1" customWidth="1"/>
    <col min="12547" max="12547" width="9.875" bestFit="1" customWidth="1"/>
    <col min="12548" max="12548" width="9" customWidth="1"/>
    <col min="12553" max="12553" width="7.625" bestFit="1" customWidth="1"/>
    <col min="12554" max="12554" width="7.75" bestFit="1" customWidth="1"/>
    <col min="12555" max="12555" width="8" bestFit="1" customWidth="1"/>
    <col min="12556" max="12556" width="9.875" bestFit="1" customWidth="1"/>
    <col min="12557" max="12557" width="9" customWidth="1"/>
    <col min="12562" max="12562" width="7.625" bestFit="1" customWidth="1"/>
    <col min="12563" max="12563" width="7.75" bestFit="1" customWidth="1"/>
    <col min="12564" max="12564" width="8" bestFit="1" customWidth="1"/>
    <col min="12565" max="12565" width="9.875" bestFit="1" customWidth="1"/>
    <col min="12566" max="12566" width="9" customWidth="1"/>
    <col min="12571" max="12571" width="7.625" bestFit="1" customWidth="1"/>
    <col min="12803" max="12803" width="9.875" bestFit="1" customWidth="1"/>
    <col min="12804" max="12804" width="9" customWidth="1"/>
    <col min="12809" max="12809" width="7.625" bestFit="1" customWidth="1"/>
    <col min="12810" max="12810" width="7.75" bestFit="1" customWidth="1"/>
    <col min="12811" max="12811" width="8" bestFit="1" customWidth="1"/>
    <col min="12812" max="12812" width="9.875" bestFit="1" customWidth="1"/>
    <col min="12813" max="12813" width="9" customWidth="1"/>
    <col min="12818" max="12818" width="7.625" bestFit="1" customWidth="1"/>
    <col min="12819" max="12819" width="7.75" bestFit="1" customWidth="1"/>
    <col min="12820" max="12820" width="8" bestFit="1" customWidth="1"/>
    <col min="12821" max="12821" width="9.875" bestFit="1" customWidth="1"/>
    <col min="12822" max="12822" width="9" customWidth="1"/>
    <col min="12827" max="12827" width="7.625" bestFit="1" customWidth="1"/>
    <col min="13059" max="13059" width="9.875" bestFit="1" customWidth="1"/>
    <col min="13060" max="13060" width="9" customWidth="1"/>
    <col min="13065" max="13065" width="7.625" bestFit="1" customWidth="1"/>
    <col min="13066" max="13066" width="7.75" bestFit="1" customWidth="1"/>
    <col min="13067" max="13067" width="8" bestFit="1" customWidth="1"/>
    <col min="13068" max="13068" width="9.875" bestFit="1" customWidth="1"/>
    <col min="13069" max="13069" width="9" customWidth="1"/>
    <col min="13074" max="13074" width="7.625" bestFit="1" customWidth="1"/>
    <col min="13075" max="13075" width="7.75" bestFit="1" customWidth="1"/>
    <col min="13076" max="13076" width="8" bestFit="1" customWidth="1"/>
    <col min="13077" max="13077" width="9.875" bestFit="1" customWidth="1"/>
    <col min="13078" max="13078" width="9" customWidth="1"/>
    <col min="13083" max="13083" width="7.625" bestFit="1" customWidth="1"/>
    <col min="13315" max="13315" width="9.875" bestFit="1" customWidth="1"/>
    <col min="13316" max="13316" width="9" customWidth="1"/>
    <col min="13321" max="13321" width="7.625" bestFit="1" customWidth="1"/>
    <col min="13322" max="13322" width="7.75" bestFit="1" customWidth="1"/>
    <col min="13323" max="13323" width="8" bestFit="1" customWidth="1"/>
    <col min="13324" max="13324" width="9.875" bestFit="1" customWidth="1"/>
    <col min="13325" max="13325" width="9" customWidth="1"/>
    <col min="13330" max="13330" width="7.625" bestFit="1" customWidth="1"/>
    <col min="13331" max="13331" width="7.75" bestFit="1" customWidth="1"/>
    <col min="13332" max="13332" width="8" bestFit="1" customWidth="1"/>
    <col min="13333" max="13333" width="9.875" bestFit="1" customWidth="1"/>
    <col min="13334" max="13334" width="9" customWidth="1"/>
    <col min="13339" max="13339" width="7.625" bestFit="1" customWidth="1"/>
    <col min="13571" max="13571" width="9.875" bestFit="1" customWidth="1"/>
    <col min="13572" max="13572" width="9" customWidth="1"/>
    <col min="13577" max="13577" width="7.625" bestFit="1" customWidth="1"/>
    <col min="13578" max="13578" width="7.75" bestFit="1" customWidth="1"/>
    <col min="13579" max="13579" width="8" bestFit="1" customWidth="1"/>
    <col min="13580" max="13580" width="9.875" bestFit="1" customWidth="1"/>
    <col min="13581" max="13581" width="9" customWidth="1"/>
    <col min="13586" max="13586" width="7.625" bestFit="1" customWidth="1"/>
    <col min="13587" max="13587" width="7.75" bestFit="1" customWidth="1"/>
    <col min="13588" max="13588" width="8" bestFit="1" customWidth="1"/>
    <col min="13589" max="13589" width="9.875" bestFit="1" customWidth="1"/>
    <col min="13590" max="13590" width="9" customWidth="1"/>
    <col min="13595" max="13595" width="7.625" bestFit="1" customWidth="1"/>
    <col min="13827" max="13827" width="9.875" bestFit="1" customWidth="1"/>
    <col min="13828" max="13828" width="9" customWidth="1"/>
    <col min="13833" max="13833" width="7.625" bestFit="1" customWidth="1"/>
    <col min="13834" max="13834" width="7.75" bestFit="1" customWidth="1"/>
    <col min="13835" max="13835" width="8" bestFit="1" customWidth="1"/>
    <col min="13836" max="13836" width="9.875" bestFit="1" customWidth="1"/>
    <col min="13837" max="13837" width="9" customWidth="1"/>
    <col min="13842" max="13842" width="7.625" bestFit="1" customWidth="1"/>
    <col min="13843" max="13843" width="7.75" bestFit="1" customWidth="1"/>
    <col min="13844" max="13844" width="8" bestFit="1" customWidth="1"/>
    <col min="13845" max="13845" width="9.875" bestFit="1" customWidth="1"/>
    <col min="13846" max="13846" width="9" customWidth="1"/>
    <col min="13851" max="13851" width="7.625" bestFit="1" customWidth="1"/>
    <col min="14083" max="14083" width="9.875" bestFit="1" customWidth="1"/>
    <col min="14084" max="14084" width="9" customWidth="1"/>
    <col min="14089" max="14089" width="7.625" bestFit="1" customWidth="1"/>
    <col min="14090" max="14090" width="7.75" bestFit="1" customWidth="1"/>
    <col min="14091" max="14091" width="8" bestFit="1" customWidth="1"/>
    <col min="14092" max="14092" width="9.875" bestFit="1" customWidth="1"/>
    <col min="14093" max="14093" width="9" customWidth="1"/>
    <col min="14098" max="14098" width="7.625" bestFit="1" customWidth="1"/>
    <col min="14099" max="14099" width="7.75" bestFit="1" customWidth="1"/>
    <col min="14100" max="14100" width="8" bestFit="1" customWidth="1"/>
    <col min="14101" max="14101" width="9.875" bestFit="1" customWidth="1"/>
    <col min="14102" max="14102" width="9" customWidth="1"/>
    <col min="14107" max="14107" width="7.625" bestFit="1" customWidth="1"/>
    <col min="14339" max="14339" width="9.875" bestFit="1" customWidth="1"/>
    <col min="14340" max="14340" width="9" customWidth="1"/>
    <col min="14345" max="14345" width="7.625" bestFit="1" customWidth="1"/>
    <col min="14346" max="14346" width="7.75" bestFit="1" customWidth="1"/>
    <col min="14347" max="14347" width="8" bestFit="1" customWidth="1"/>
    <col min="14348" max="14348" width="9.875" bestFit="1" customWidth="1"/>
    <col min="14349" max="14349" width="9" customWidth="1"/>
    <col min="14354" max="14354" width="7.625" bestFit="1" customWidth="1"/>
    <col min="14355" max="14355" width="7.75" bestFit="1" customWidth="1"/>
    <col min="14356" max="14356" width="8" bestFit="1" customWidth="1"/>
    <col min="14357" max="14357" width="9.875" bestFit="1" customWidth="1"/>
    <col min="14358" max="14358" width="9" customWidth="1"/>
    <col min="14363" max="14363" width="7.625" bestFit="1" customWidth="1"/>
    <col min="14595" max="14595" width="9.875" bestFit="1" customWidth="1"/>
    <col min="14596" max="14596" width="9" customWidth="1"/>
    <col min="14601" max="14601" width="7.625" bestFit="1" customWidth="1"/>
    <col min="14602" max="14602" width="7.75" bestFit="1" customWidth="1"/>
    <col min="14603" max="14603" width="8" bestFit="1" customWidth="1"/>
    <col min="14604" max="14604" width="9.875" bestFit="1" customWidth="1"/>
    <col min="14605" max="14605" width="9" customWidth="1"/>
    <col min="14610" max="14610" width="7.625" bestFit="1" customWidth="1"/>
    <col min="14611" max="14611" width="7.75" bestFit="1" customWidth="1"/>
    <col min="14612" max="14612" width="8" bestFit="1" customWidth="1"/>
    <col min="14613" max="14613" width="9.875" bestFit="1" customWidth="1"/>
    <col min="14614" max="14614" width="9" customWidth="1"/>
    <col min="14619" max="14619" width="7.625" bestFit="1" customWidth="1"/>
    <col min="14851" max="14851" width="9.875" bestFit="1" customWidth="1"/>
    <col min="14852" max="14852" width="9" customWidth="1"/>
    <col min="14857" max="14857" width="7.625" bestFit="1" customWidth="1"/>
    <col min="14858" max="14858" width="7.75" bestFit="1" customWidth="1"/>
    <col min="14859" max="14859" width="8" bestFit="1" customWidth="1"/>
    <col min="14860" max="14860" width="9.875" bestFit="1" customWidth="1"/>
    <col min="14861" max="14861" width="9" customWidth="1"/>
    <col min="14866" max="14866" width="7.625" bestFit="1" customWidth="1"/>
    <col min="14867" max="14867" width="7.75" bestFit="1" customWidth="1"/>
    <col min="14868" max="14868" width="8" bestFit="1" customWidth="1"/>
    <col min="14869" max="14869" width="9.875" bestFit="1" customWidth="1"/>
    <col min="14870" max="14870" width="9" customWidth="1"/>
    <col min="14875" max="14875" width="7.625" bestFit="1" customWidth="1"/>
    <col min="15107" max="15107" width="9.875" bestFit="1" customWidth="1"/>
    <col min="15108" max="15108" width="9" customWidth="1"/>
    <col min="15113" max="15113" width="7.625" bestFit="1" customWidth="1"/>
    <col min="15114" max="15114" width="7.75" bestFit="1" customWidth="1"/>
    <col min="15115" max="15115" width="8" bestFit="1" customWidth="1"/>
    <col min="15116" max="15116" width="9.875" bestFit="1" customWidth="1"/>
    <col min="15117" max="15117" width="9" customWidth="1"/>
    <col min="15122" max="15122" width="7.625" bestFit="1" customWidth="1"/>
    <col min="15123" max="15123" width="7.75" bestFit="1" customWidth="1"/>
    <col min="15124" max="15124" width="8" bestFit="1" customWidth="1"/>
    <col min="15125" max="15125" width="9.875" bestFit="1" customWidth="1"/>
    <col min="15126" max="15126" width="9" customWidth="1"/>
    <col min="15131" max="15131" width="7.625" bestFit="1" customWidth="1"/>
    <col min="15363" max="15363" width="9.875" bestFit="1" customWidth="1"/>
    <col min="15364" max="15364" width="9" customWidth="1"/>
    <col min="15369" max="15369" width="7.625" bestFit="1" customWidth="1"/>
    <col min="15370" max="15370" width="7.75" bestFit="1" customWidth="1"/>
    <col min="15371" max="15371" width="8" bestFit="1" customWidth="1"/>
    <col min="15372" max="15372" width="9.875" bestFit="1" customWidth="1"/>
    <col min="15373" max="15373" width="9" customWidth="1"/>
    <col min="15378" max="15378" width="7.625" bestFit="1" customWidth="1"/>
    <col min="15379" max="15379" width="7.75" bestFit="1" customWidth="1"/>
    <col min="15380" max="15380" width="8" bestFit="1" customWidth="1"/>
    <col min="15381" max="15381" width="9.875" bestFit="1" customWidth="1"/>
    <col min="15382" max="15382" width="9" customWidth="1"/>
    <col min="15387" max="15387" width="7.625" bestFit="1" customWidth="1"/>
    <col min="15619" max="15619" width="9.875" bestFit="1" customWidth="1"/>
    <col min="15620" max="15620" width="9" customWidth="1"/>
    <col min="15625" max="15625" width="7.625" bestFit="1" customWidth="1"/>
    <col min="15626" max="15626" width="7.75" bestFit="1" customWidth="1"/>
    <col min="15627" max="15627" width="8" bestFit="1" customWidth="1"/>
    <col min="15628" max="15628" width="9.875" bestFit="1" customWidth="1"/>
    <col min="15629" max="15629" width="9" customWidth="1"/>
    <col min="15634" max="15634" width="7.625" bestFit="1" customWidth="1"/>
    <col min="15635" max="15635" width="7.75" bestFit="1" customWidth="1"/>
    <col min="15636" max="15636" width="8" bestFit="1" customWidth="1"/>
    <col min="15637" max="15637" width="9.875" bestFit="1" customWidth="1"/>
    <col min="15638" max="15638" width="9" customWidth="1"/>
    <col min="15643" max="15643" width="7.625" bestFit="1" customWidth="1"/>
    <col min="15875" max="15875" width="9.875" bestFit="1" customWidth="1"/>
    <col min="15876" max="15876" width="9" customWidth="1"/>
    <col min="15881" max="15881" width="7.625" bestFit="1" customWidth="1"/>
    <col min="15882" max="15882" width="7.75" bestFit="1" customWidth="1"/>
    <col min="15883" max="15883" width="8" bestFit="1" customWidth="1"/>
    <col min="15884" max="15884" width="9.875" bestFit="1" customWidth="1"/>
    <col min="15885" max="15885" width="9" customWidth="1"/>
    <col min="15890" max="15890" width="7.625" bestFit="1" customWidth="1"/>
    <col min="15891" max="15891" width="7.75" bestFit="1" customWidth="1"/>
    <col min="15892" max="15892" width="8" bestFit="1" customWidth="1"/>
    <col min="15893" max="15893" width="9.875" bestFit="1" customWidth="1"/>
    <col min="15894" max="15894" width="9" customWidth="1"/>
    <col min="15899" max="15899" width="7.625" bestFit="1" customWidth="1"/>
    <col min="16131" max="16131" width="9.875" bestFit="1" customWidth="1"/>
    <col min="16132" max="16132" width="9" customWidth="1"/>
    <col min="16137" max="16137" width="7.625" bestFit="1" customWidth="1"/>
    <col min="16138" max="16138" width="7.75" bestFit="1" customWidth="1"/>
    <col min="16139" max="16139" width="8" bestFit="1" customWidth="1"/>
    <col min="16140" max="16140" width="9.875" bestFit="1" customWidth="1"/>
    <col min="16141" max="16141" width="9" customWidth="1"/>
    <col min="16146" max="16146" width="7.625" bestFit="1" customWidth="1"/>
    <col min="16147" max="16147" width="7.75" bestFit="1" customWidth="1"/>
    <col min="16148" max="16148" width="8" bestFit="1" customWidth="1"/>
    <col min="16149" max="16149" width="9.875" bestFit="1" customWidth="1"/>
    <col min="16150" max="16150" width="9" customWidth="1"/>
    <col min="16155" max="16155" width="7.625" bestFit="1" customWidth="1"/>
  </cols>
  <sheetData>
    <row r="1" spans="1:81" s="2" customFormat="1" ht="35.25">
      <c r="A1" s="1" t="s">
        <v>2</v>
      </c>
      <c r="B1" s="94" t="s">
        <v>46</v>
      </c>
      <c r="C1" s="94"/>
      <c r="D1" s="94"/>
      <c r="E1" s="94"/>
      <c r="F1" s="94"/>
      <c r="G1" s="94"/>
      <c r="H1" s="94"/>
      <c r="I1" s="94"/>
      <c r="J1" s="94"/>
      <c r="K1" s="94"/>
    </row>
    <row r="2" spans="1:81" ht="14.25">
      <c r="A2" s="3" t="s">
        <v>23</v>
      </c>
      <c r="B2" s="79" t="s">
        <v>24</v>
      </c>
      <c r="C2" s="80"/>
      <c r="D2" s="80"/>
      <c r="E2" s="80"/>
      <c r="F2" s="80"/>
      <c r="G2" s="80"/>
      <c r="H2" s="80"/>
      <c r="I2" s="80"/>
      <c r="J2" s="80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81" ht="14.25">
      <c r="A3" s="3" t="s">
        <v>0</v>
      </c>
      <c r="B3" s="79" t="s">
        <v>25</v>
      </c>
      <c r="C3" s="80"/>
      <c r="D3" s="80"/>
      <c r="E3" s="80"/>
      <c r="F3" s="80"/>
      <c r="G3" s="80"/>
      <c r="H3" s="80"/>
      <c r="I3" s="80"/>
      <c r="J3" s="80"/>
      <c r="K3" s="1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81" ht="14.25" customHeight="1">
      <c r="A4" s="19" t="s">
        <v>167</v>
      </c>
      <c r="B4" s="5" t="s">
        <v>26</v>
      </c>
      <c r="C4" s="5" t="s">
        <v>27</v>
      </c>
      <c r="D4" s="5" t="s">
        <v>28</v>
      </c>
      <c r="E4" s="5" t="s">
        <v>11</v>
      </c>
      <c r="F4" s="5" t="s">
        <v>12</v>
      </c>
      <c r="G4" s="21" t="s">
        <v>3</v>
      </c>
      <c r="H4" s="38" t="s">
        <v>4</v>
      </c>
      <c r="I4" s="81" t="s">
        <v>29</v>
      </c>
      <c r="J4" s="19" t="s">
        <v>167</v>
      </c>
      <c r="K4" s="20" t="s">
        <v>26</v>
      </c>
      <c r="L4" s="20" t="s">
        <v>27</v>
      </c>
      <c r="M4" s="20" t="s">
        <v>28</v>
      </c>
      <c r="N4" s="20" t="s">
        <v>11</v>
      </c>
      <c r="O4" s="20" t="s">
        <v>12</v>
      </c>
      <c r="P4" s="21" t="s">
        <v>3</v>
      </c>
      <c r="Q4" s="38" t="s">
        <v>4</v>
      </c>
      <c r="R4" s="86" t="s">
        <v>29</v>
      </c>
      <c r="S4" s="19" t="s">
        <v>167</v>
      </c>
      <c r="T4" s="20" t="s">
        <v>26</v>
      </c>
      <c r="U4" s="20" t="s">
        <v>27</v>
      </c>
      <c r="V4" s="20" t="s">
        <v>28</v>
      </c>
      <c r="W4" s="20" t="s">
        <v>11</v>
      </c>
      <c r="X4" s="20" t="s">
        <v>12</v>
      </c>
      <c r="Y4" s="21" t="s">
        <v>3</v>
      </c>
      <c r="Z4" s="38" t="s">
        <v>4</v>
      </c>
      <c r="AA4" s="86" t="s">
        <v>29</v>
      </c>
      <c r="AB4" s="19" t="s">
        <v>167</v>
      </c>
      <c r="AC4" s="20" t="s">
        <v>26</v>
      </c>
      <c r="AD4" s="20" t="s">
        <v>27</v>
      </c>
      <c r="AE4" s="20" t="s">
        <v>28</v>
      </c>
      <c r="AF4" s="20" t="s">
        <v>11</v>
      </c>
      <c r="AG4" s="20" t="s">
        <v>12</v>
      </c>
      <c r="AH4" s="21" t="s">
        <v>3</v>
      </c>
      <c r="AI4" s="38" t="s">
        <v>4</v>
      </c>
      <c r="AJ4" s="81" t="s">
        <v>29</v>
      </c>
      <c r="AK4" s="19" t="s">
        <v>167</v>
      </c>
      <c r="AL4" s="20" t="s">
        <v>26</v>
      </c>
      <c r="AM4" s="20" t="s">
        <v>27</v>
      </c>
      <c r="AN4" s="20" t="s">
        <v>28</v>
      </c>
      <c r="AO4" s="20" t="s">
        <v>11</v>
      </c>
      <c r="AP4" s="20" t="s">
        <v>12</v>
      </c>
      <c r="AQ4" s="21" t="s">
        <v>3</v>
      </c>
      <c r="AR4" s="38" t="s">
        <v>4</v>
      </c>
      <c r="AS4" s="86" t="s">
        <v>29</v>
      </c>
      <c r="AT4" s="19" t="s">
        <v>167</v>
      </c>
      <c r="AU4" s="5" t="s">
        <v>26</v>
      </c>
      <c r="AV4" s="5" t="s">
        <v>27</v>
      </c>
      <c r="AW4" s="5" t="s">
        <v>28</v>
      </c>
      <c r="AX4" s="5" t="s">
        <v>11</v>
      </c>
      <c r="AY4" s="5" t="s">
        <v>12</v>
      </c>
      <c r="AZ4" s="21" t="s">
        <v>3</v>
      </c>
      <c r="BA4" s="38" t="s">
        <v>4</v>
      </c>
      <c r="BB4" s="81" t="s">
        <v>29</v>
      </c>
      <c r="BC4" s="19" t="s">
        <v>167</v>
      </c>
      <c r="BD4" s="20" t="s">
        <v>26</v>
      </c>
      <c r="BE4" s="20" t="s">
        <v>27</v>
      </c>
      <c r="BF4" s="20" t="s">
        <v>28</v>
      </c>
      <c r="BG4" s="20" t="s">
        <v>11</v>
      </c>
      <c r="BH4" s="20" t="s">
        <v>12</v>
      </c>
      <c r="BI4" s="21" t="s">
        <v>3</v>
      </c>
      <c r="BJ4" s="38" t="s">
        <v>4</v>
      </c>
      <c r="BK4" s="81" t="s">
        <v>29</v>
      </c>
      <c r="BL4" s="19" t="s">
        <v>167</v>
      </c>
      <c r="BM4" s="5" t="s">
        <v>26</v>
      </c>
      <c r="BN4" s="5" t="s">
        <v>27</v>
      </c>
      <c r="BO4" s="5" t="s">
        <v>28</v>
      </c>
      <c r="BP4" s="5" t="s">
        <v>11</v>
      </c>
      <c r="BQ4" s="5" t="s">
        <v>12</v>
      </c>
      <c r="BR4" s="21" t="s">
        <v>3</v>
      </c>
      <c r="BS4" s="38" t="s">
        <v>4</v>
      </c>
      <c r="BT4" s="81" t="s">
        <v>29</v>
      </c>
      <c r="BU4" s="19" t="s">
        <v>167</v>
      </c>
      <c r="BV4" s="20" t="s">
        <v>26</v>
      </c>
      <c r="BW4" s="20" t="s">
        <v>27</v>
      </c>
      <c r="BX4" s="20" t="s">
        <v>28</v>
      </c>
      <c r="BY4" s="20" t="s">
        <v>11</v>
      </c>
      <c r="BZ4" s="20" t="s">
        <v>12</v>
      </c>
      <c r="CA4" s="21" t="s">
        <v>3</v>
      </c>
      <c r="CB4" s="38" t="s">
        <v>4</v>
      </c>
      <c r="CC4" s="86" t="s">
        <v>29</v>
      </c>
    </row>
    <row r="5" spans="1:81" ht="15">
      <c r="A5" s="7" t="s">
        <v>30</v>
      </c>
      <c r="B5" s="8">
        <v>39675</v>
      </c>
      <c r="C5" s="8">
        <v>2498.5</v>
      </c>
      <c r="D5" s="4">
        <v>5</v>
      </c>
      <c r="E5" s="8" t="s">
        <v>10</v>
      </c>
      <c r="F5" s="50">
        <v>1</v>
      </c>
      <c r="G5" s="24" t="s">
        <v>15</v>
      </c>
      <c r="H5" s="25" t="s">
        <v>6</v>
      </c>
      <c r="I5" s="82"/>
      <c r="J5" s="22" t="s">
        <v>32</v>
      </c>
      <c r="K5" s="28">
        <v>40620</v>
      </c>
      <c r="L5" s="28">
        <v>2593</v>
      </c>
      <c r="M5" s="23">
        <v>5</v>
      </c>
      <c r="N5" s="28" t="s">
        <v>10</v>
      </c>
      <c r="O5" s="29">
        <v>1</v>
      </c>
      <c r="P5" s="24" t="s">
        <v>15</v>
      </c>
      <c r="Q5" s="25" t="s">
        <v>7</v>
      </c>
      <c r="R5" s="86"/>
      <c r="S5" s="27" t="s">
        <v>31</v>
      </c>
      <c r="T5" s="28">
        <v>41565</v>
      </c>
      <c r="U5" s="28">
        <v>2687.5</v>
      </c>
      <c r="V5" s="23">
        <v>5</v>
      </c>
      <c r="W5" s="28" t="s">
        <v>10</v>
      </c>
      <c r="X5" s="29">
        <v>1</v>
      </c>
      <c r="Y5" s="24" t="s">
        <v>31</v>
      </c>
      <c r="Z5" s="25" t="s">
        <v>7</v>
      </c>
      <c r="AA5" s="86"/>
      <c r="AB5" s="27" t="s">
        <v>30</v>
      </c>
      <c r="AC5" s="8">
        <v>39675</v>
      </c>
      <c r="AD5" s="8">
        <v>2498.5</v>
      </c>
      <c r="AE5" s="23">
        <v>5</v>
      </c>
      <c r="AF5" s="28" t="s">
        <v>10</v>
      </c>
      <c r="AG5" s="29">
        <v>25</v>
      </c>
      <c r="AH5" s="24" t="s">
        <v>30</v>
      </c>
      <c r="AI5" s="25" t="s">
        <v>6</v>
      </c>
      <c r="AJ5" s="82"/>
      <c r="AK5" s="27" t="s">
        <v>31</v>
      </c>
      <c r="AL5" s="28">
        <v>41565</v>
      </c>
      <c r="AM5" s="28">
        <v>2687.5</v>
      </c>
      <c r="AN5" s="23">
        <v>5</v>
      </c>
      <c r="AO5" s="28" t="s">
        <v>10</v>
      </c>
      <c r="AP5" s="29">
        <v>25</v>
      </c>
      <c r="AQ5" s="24" t="s">
        <v>31</v>
      </c>
      <c r="AR5" s="25" t="s">
        <v>7</v>
      </c>
      <c r="AS5" s="86"/>
      <c r="AT5" s="7" t="s">
        <v>30</v>
      </c>
      <c r="AU5" s="8">
        <v>39750</v>
      </c>
      <c r="AV5" s="8">
        <v>2506</v>
      </c>
      <c r="AW5" s="4">
        <v>20</v>
      </c>
      <c r="AX5" s="8" t="s">
        <v>10</v>
      </c>
      <c r="AY5" s="50">
        <v>1</v>
      </c>
      <c r="AZ5" s="24" t="s">
        <v>15</v>
      </c>
      <c r="BA5" s="25" t="s">
        <v>6</v>
      </c>
      <c r="BB5" s="82"/>
      <c r="BC5" s="27" t="s">
        <v>31</v>
      </c>
      <c r="BD5" s="28">
        <v>41490</v>
      </c>
      <c r="BE5" s="28">
        <v>2680</v>
      </c>
      <c r="BF5" s="23">
        <v>20</v>
      </c>
      <c r="BG5" s="28" t="s">
        <v>10</v>
      </c>
      <c r="BH5" s="29">
        <v>1</v>
      </c>
      <c r="BI5" s="24" t="s">
        <v>117</v>
      </c>
      <c r="BJ5" s="25" t="s">
        <v>7</v>
      </c>
      <c r="BK5" s="82"/>
      <c r="BL5" s="7" t="s">
        <v>30</v>
      </c>
      <c r="BM5" s="8">
        <v>39750</v>
      </c>
      <c r="BN5" s="8">
        <v>2506</v>
      </c>
      <c r="BO5" s="4">
        <v>20</v>
      </c>
      <c r="BP5" s="8" t="s">
        <v>10</v>
      </c>
      <c r="BQ5" s="50">
        <v>100</v>
      </c>
      <c r="BR5" s="24" t="s">
        <v>31</v>
      </c>
      <c r="BS5" s="25" t="s">
        <v>6</v>
      </c>
      <c r="BT5" s="82"/>
      <c r="BU5" s="27" t="s">
        <v>31</v>
      </c>
      <c r="BV5" s="28">
        <v>41490</v>
      </c>
      <c r="BW5" s="28">
        <v>2680</v>
      </c>
      <c r="BX5" s="23">
        <v>20</v>
      </c>
      <c r="BY5" s="28" t="s">
        <v>10</v>
      </c>
      <c r="BZ5" s="29">
        <v>100</v>
      </c>
      <c r="CA5" s="24" t="s">
        <v>31</v>
      </c>
      <c r="CB5" s="25" t="s">
        <v>7</v>
      </c>
      <c r="CC5" s="86"/>
    </row>
    <row r="6" spans="1:81" ht="14.25">
      <c r="A6" s="83" t="s">
        <v>16</v>
      </c>
      <c r="B6" s="84"/>
      <c r="C6" s="6" t="s">
        <v>17</v>
      </c>
      <c r="D6" s="6" t="s">
        <v>33</v>
      </c>
      <c r="E6" s="83" t="s">
        <v>34</v>
      </c>
      <c r="F6" s="85"/>
      <c r="G6" s="84"/>
      <c r="H6" s="26" t="s">
        <v>5</v>
      </c>
      <c r="I6" s="2"/>
      <c r="J6" s="83" t="s">
        <v>16</v>
      </c>
      <c r="K6" s="84"/>
      <c r="L6" s="18" t="s">
        <v>17</v>
      </c>
      <c r="M6" s="18" t="s">
        <v>33</v>
      </c>
      <c r="N6" s="83" t="s">
        <v>34</v>
      </c>
      <c r="O6" s="85"/>
      <c r="P6" s="84"/>
      <c r="Q6" s="26" t="s">
        <v>5</v>
      </c>
      <c r="R6" s="19"/>
      <c r="S6" s="83" t="s">
        <v>16</v>
      </c>
      <c r="T6" s="84"/>
      <c r="U6" s="18" t="s">
        <v>17</v>
      </c>
      <c r="V6" s="18" t="s">
        <v>33</v>
      </c>
      <c r="W6" s="83" t="s">
        <v>34</v>
      </c>
      <c r="X6" s="85"/>
      <c r="Y6" s="84"/>
      <c r="Z6" s="26" t="s">
        <v>5</v>
      </c>
      <c r="AA6" s="19"/>
      <c r="AB6" s="83" t="s">
        <v>16</v>
      </c>
      <c r="AC6" s="84"/>
      <c r="AD6" s="18" t="s">
        <v>17</v>
      </c>
      <c r="AE6" s="18" t="s">
        <v>33</v>
      </c>
      <c r="AF6" s="83" t="s">
        <v>34</v>
      </c>
      <c r="AG6" s="85"/>
      <c r="AH6" s="84"/>
      <c r="AI6" s="26" t="s">
        <v>5</v>
      </c>
      <c r="AJ6" s="19"/>
      <c r="AK6" s="83" t="s">
        <v>16</v>
      </c>
      <c r="AL6" s="84"/>
      <c r="AM6" s="18" t="s">
        <v>17</v>
      </c>
      <c r="AN6" s="18" t="s">
        <v>33</v>
      </c>
      <c r="AO6" s="83" t="s">
        <v>34</v>
      </c>
      <c r="AP6" s="85"/>
      <c r="AQ6" s="84"/>
      <c r="AR6" s="26" t="s">
        <v>5</v>
      </c>
      <c r="AS6" s="19"/>
      <c r="AT6" s="83" t="s">
        <v>16</v>
      </c>
      <c r="AU6" s="84"/>
      <c r="AV6" s="6" t="s">
        <v>17</v>
      </c>
      <c r="AW6" s="6" t="s">
        <v>33</v>
      </c>
      <c r="AX6" s="83" t="s">
        <v>34</v>
      </c>
      <c r="AY6" s="85"/>
      <c r="AZ6" s="84"/>
      <c r="BA6" s="26" t="s">
        <v>5</v>
      </c>
      <c r="BB6" s="2"/>
      <c r="BC6" s="83" t="s">
        <v>16</v>
      </c>
      <c r="BD6" s="84"/>
      <c r="BE6" s="18" t="s">
        <v>17</v>
      </c>
      <c r="BF6" s="18" t="s">
        <v>33</v>
      </c>
      <c r="BG6" s="83" t="s">
        <v>34</v>
      </c>
      <c r="BH6" s="85"/>
      <c r="BI6" s="84"/>
      <c r="BJ6" s="26" t="s">
        <v>5</v>
      </c>
      <c r="BK6" s="19"/>
      <c r="BL6" s="83" t="s">
        <v>16</v>
      </c>
      <c r="BM6" s="84"/>
      <c r="BN6" s="6" t="s">
        <v>17</v>
      </c>
      <c r="BO6" s="6" t="s">
        <v>33</v>
      </c>
      <c r="BP6" s="83" t="s">
        <v>34</v>
      </c>
      <c r="BQ6" s="85"/>
      <c r="BR6" s="84"/>
      <c r="BS6" s="26" t="s">
        <v>5</v>
      </c>
      <c r="BT6" s="2"/>
      <c r="BU6" s="83" t="s">
        <v>16</v>
      </c>
      <c r="BV6" s="84"/>
      <c r="BW6" s="18" t="s">
        <v>17</v>
      </c>
      <c r="BX6" s="18" t="s">
        <v>33</v>
      </c>
      <c r="BY6" s="83" t="s">
        <v>34</v>
      </c>
      <c r="BZ6" s="85"/>
      <c r="CA6" s="84"/>
      <c r="CB6" s="26" t="s">
        <v>5</v>
      </c>
      <c r="CC6" s="19"/>
    </row>
    <row r="7" spans="1:81" ht="15">
      <c r="A7" s="54">
        <f>((C5-INT((D5*5)/2)*0.18)-0.2)*2</f>
        <v>4992.2800000000007</v>
      </c>
      <c r="B7" s="54">
        <f>((C5-INT((D5*5)/2)*0.18)+0.2)*2</f>
        <v>4993.08</v>
      </c>
      <c r="C7" s="10" t="s">
        <v>9</v>
      </c>
      <c r="D7" s="10" t="s">
        <v>9</v>
      </c>
      <c r="E7" s="87" t="s">
        <v>35</v>
      </c>
      <c r="F7" s="88"/>
      <c r="G7" s="89"/>
      <c r="H7" s="75"/>
      <c r="I7" s="55" t="s">
        <v>36</v>
      </c>
      <c r="J7" s="54">
        <f>((L5-INT((M5*5)/2)*0.18)-0.2)*2</f>
        <v>5181.2800000000007</v>
      </c>
      <c r="K7" s="54">
        <f>((L5-INT((M5*5)/2)*0.18)+0.2)*2</f>
        <v>5182.08</v>
      </c>
      <c r="L7" s="10" t="s">
        <v>9</v>
      </c>
      <c r="M7" s="10" t="s">
        <v>9</v>
      </c>
      <c r="N7" s="87" t="s">
        <v>35</v>
      </c>
      <c r="O7" s="88"/>
      <c r="P7" s="89"/>
      <c r="Q7" s="75"/>
      <c r="R7" s="55" t="s">
        <v>36</v>
      </c>
      <c r="S7" s="54">
        <f>((U5+INT((V5*5)/2)*0.18)-0.2)*2</f>
        <v>5378.92</v>
      </c>
      <c r="T7" s="54">
        <f>((U5+INT((V5*5)/2)*0.18)+0.2)*2</f>
        <v>5379.7199999999993</v>
      </c>
      <c r="U7" s="10" t="s">
        <v>9</v>
      </c>
      <c r="V7" s="10" t="s">
        <v>9</v>
      </c>
      <c r="W7" s="87" t="s">
        <v>35</v>
      </c>
      <c r="X7" s="88"/>
      <c r="Y7" s="89"/>
      <c r="Z7" s="75"/>
      <c r="AA7" s="55" t="s">
        <v>36</v>
      </c>
      <c r="AB7" s="54">
        <f>(AD5-AE5/2)*2</f>
        <v>4992</v>
      </c>
      <c r="AC7" s="54">
        <f>(AD5+AE5/2)*2</f>
        <v>5002</v>
      </c>
      <c r="AD7" s="10" t="s">
        <v>9</v>
      </c>
      <c r="AE7" s="10" t="s">
        <v>9</v>
      </c>
      <c r="AF7" s="87" t="s">
        <v>35</v>
      </c>
      <c r="AG7" s="88"/>
      <c r="AH7" s="89"/>
      <c r="AI7" s="75"/>
      <c r="AJ7" s="55" t="s">
        <v>36</v>
      </c>
      <c r="AK7" s="54">
        <f>(AM5-AN5/2)*2</f>
        <v>5370</v>
      </c>
      <c r="AL7" s="54">
        <f>(AM5+AN5/2)*2</f>
        <v>5380</v>
      </c>
      <c r="AM7" s="10" t="s">
        <v>9</v>
      </c>
      <c r="AN7" s="10" t="s">
        <v>9</v>
      </c>
      <c r="AO7" s="87" t="s">
        <v>35</v>
      </c>
      <c r="AP7" s="88"/>
      <c r="AQ7" s="89"/>
      <c r="AR7" s="75"/>
      <c r="AS7" s="55" t="s">
        <v>36</v>
      </c>
      <c r="AT7" s="54">
        <f>((AV5-(INT((AW5*5)/2)-0.5)*0.18)-0.2)*2</f>
        <v>4993.7800000000007</v>
      </c>
      <c r="AU7" s="54">
        <f>((AV5-(INT((AW5*5)/2)-0.5)*0.18)+0.2)*2</f>
        <v>4994.58</v>
      </c>
      <c r="AV7" s="10" t="s">
        <v>9</v>
      </c>
      <c r="AW7" s="10" t="s">
        <v>9</v>
      </c>
      <c r="AX7" s="87" t="s">
        <v>35</v>
      </c>
      <c r="AY7" s="88"/>
      <c r="AZ7" s="89"/>
      <c r="BA7" s="75"/>
      <c r="BB7" s="55" t="s">
        <v>36</v>
      </c>
      <c r="BC7" s="54">
        <f>((BE5+(INT((BF5*5)/2)-0.5)*0.18)-0.2)*2</f>
        <v>5377.42</v>
      </c>
      <c r="BD7" s="54">
        <f>((BE5+(INT((BF5*5)/2)-0.5)*0.18)+0.2)*2</f>
        <v>5378.2199999999993</v>
      </c>
      <c r="BE7" s="10" t="s">
        <v>9</v>
      </c>
      <c r="BF7" s="10" t="s">
        <v>9</v>
      </c>
      <c r="BG7" s="87" t="s">
        <v>35</v>
      </c>
      <c r="BH7" s="88"/>
      <c r="BI7" s="89"/>
      <c r="BJ7" s="75"/>
      <c r="BK7" s="55" t="s">
        <v>36</v>
      </c>
      <c r="BL7" s="54">
        <f>(BN5-BO5/2)*2</f>
        <v>4992</v>
      </c>
      <c r="BM7" s="54">
        <f>((BN5+BO5/2)*2)</f>
        <v>5032</v>
      </c>
      <c r="BN7" s="10" t="s">
        <v>9</v>
      </c>
      <c r="BO7" s="10" t="s">
        <v>9</v>
      </c>
      <c r="BP7" s="87" t="s">
        <v>35</v>
      </c>
      <c r="BQ7" s="88"/>
      <c r="BR7" s="89"/>
      <c r="BS7" s="75"/>
      <c r="BT7" s="55" t="s">
        <v>36</v>
      </c>
      <c r="BU7" s="54">
        <f>(BW5-BX5/2)*2</f>
        <v>5340</v>
      </c>
      <c r="BV7" s="54">
        <f>((BW5+BX5/2)*2)</f>
        <v>5380</v>
      </c>
      <c r="BW7" s="10" t="s">
        <v>9</v>
      </c>
      <c r="BX7" s="10" t="s">
        <v>9</v>
      </c>
      <c r="BY7" s="87" t="s">
        <v>35</v>
      </c>
      <c r="BZ7" s="88"/>
      <c r="CA7" s="89"/>
      <c r="CB7" s="75"/>
      <c r="CC7" s="55" t="s">
        <v>36</v>
      </c>
    </row>
    <row r="8" spans="1:81" ht="15">
      <c r="A8" s="54">
        <f>((C5-INT((D5*5)/2)*0.18)-0.2)*3</f>
        <v>7488.420000000001</v>
      </c>
      <c r="B8" s="54">
        <f>((C5-INT((D5*5)/2)*0.18)+0.2)*3</f>
        <v>7489.62</v>
      </c>
      <c r="C8" s="10" t="s">
        <v>9</v>
      </c>
      <c r="D8" s="10" t="s">
        <v>9</v>
      </c>
      <c r="E8" s="87" t="s">
        <v>35</v>
      </c>
      <c r="F8" s="88"/>
      <c r="G8" s="89"/>
      <c r="H8" s="75"/>
      <c r="I8" s="55" t="s">
        <v>37</v>
      </c>
      <c r="J8" s="54">
        <f>((L5-INT((M5*5)/2)*0.18)-0.2)*3</f>
        <v>7771.920000000001</v>
      </c>
      <c r="K8" s="54">
        <f>((L5-INT((M5*5)/2)*0.18)+0.2)*3</f>
        <v>7773.12</v>
      </c>
      <c r="L8" s="10" t="s">
        <v>9</v>
      </c>
      <c r="M8" s="10" t="s">
        <v>9</v>
      </c>
      <c r="N8" s="87" t="s">
        <v>35</v>
      </c>
      <c r="O8" s="88"/>
      <c r="P8" s="89"/>
      <c r="Q8" s="75"/>
      <c r="R8" s="55" t="s">
        <v>37</v>
      </c>
      <c r="S8" s="54">
        <f>((U5+INT((V5*5)/2)*0.18)-0.2)*3</f>
        <v>8068.38</v>
      </c>
      <c r="T8" s="54">
        <f>((U5+INT((V5*5)/2)*0.18)+0.2)*3</f>
        <v>8069.579999999999</v>
      </c>
      <c r="U8" s="10" t="s">
        <v>9</v>
      </c>
      <c r="V8" s="10" t="s">
        <v>9</v>
      </c>
      <c r="W8" s="87" t="s">
        <v>35</v>
      </c>
      <c r="X8" s="88"/>
      <c r="Y8" s="89"/>
      <c r="Z8" s="75"/>
      <c r="AA8" s="55" t="s">
        <v>37</v>
      </c>
      <c r="AB8" s="54">
        <f>(AD5-AE5/2)*3</f>
        <v>7488</v>
      </c>
      <c r="AC8" s="54">
        <f>(AD5+AE5/2)*3</f>
        <v>7503</v>
      </c>
      <c r="AD8" s="10" t="s">
        <v>9</v>
      </c>
      <c r="AE8" s="10" t="s">
        <v>9</v>
      </c>
      <c r="AF8" s="87" t="s">
        <v>35</v>
      </c>
      <c r="AG8" s="88"/>
      <c r="AH8" s="89"/>
      <c r="AI8" s="75"/>
      <c r="AJ8" s="55" t="s">
        <v>37</v>
      </c>
      <c r="AK8" s="54">
        <f>(AM5-AN5/2)*3</f>
        <v>8055</v>
      </c>
      <c r="AL8" s="54">
        <f>(AM5+AN5/2)*3</f>
        <v>8070</v>
      </c>
      <c r="AM8" s="10" t="s">
        <v>9</v>
      </c>
      <c r="AN8" s="10" t="s">
        <v>9</v>
      </c>
      <c r="AO8" s="87" t="s">
        <v>35</v>
      </c>
      <c r="AP8" s="88"/>
      <c r="AQ8" s="89"/>
      <c r="AR8" s="75"/>
      <c r="AS8" s="55" t="s">
        <v>37</v>
      </c>
      <c r="AT8" s="54">
        <f>((AV5-(INT((AW5*5)/2)-0.5)*0.18)-0.2)*3</f>
        <v>7490.670000000001</v>
      </c>
      <c r="AU8" s="54">
        <f>((AV5-(INT((AW5*5)/2)-0.5)*0.18)+0.2)*3</f>
        <v>7491.87</v>
      </c>
      <c r="AV8" s="10" t="s">
        <v>9</v>
      </c>
      <c r="AW8" s="10" t="s">
        <v>9</v>
      </c>
      <c r="AX8" s="87" t="s">
        <v>35</v>
      </c>
      <c r="AY8" s="88"/>
      <c r="AZ8" s="89"/>
      <c r="BA8" s="75"/>
      <c r="BB8" s="55" t="s">
        <v>37</v>
      </c>
      <c r="BC8" s="54">
        <f>((BE5+(INT((BF5*5)/2)-0.5)*0.18)-0.2)*3</f>
        <v>8066.13</v>
      </c>
      <c r="BD8" s="54">
        <f>((BE5+(INT((BF5*5)/2)-0.5)*0.18)+0.2)*3</f>
        <v>8067.329999999999</v>
      </c>
      <c r="BE8" s="10" t="s">
        <v>9</v>
      </c>
      <c r="BF8" s="10" t="s">
        <v>9</v>
      </c>
      <c r="BG8" s="87" t="s">
        <v>35</v>
      </c>
      <c r="BH8" s="88"/>
      <c r="BI8" s="89"/>
      <c r="BJ8" s="75"/>
      <c r="BK8" s="55" t="s">
        <v>37</v>
      </c>
      <c r="BL8" s="54">
        <f>(BN5-BO5/2)*3</f>
        <v>7488</v>
      </c>
      <c r="BM8" s="54">
        <f>(BN5+BO5/2)*3</f>
        <v>7548</v>
      </c>
      <c r="BN8" s="10" t="s">
        <v>9</v>
      </c>
      <c r="BO8" s="10" t="s">
        <v>9</v>
      </c>
      <c r="BP8" s="87" t="s">
        <v>35</v>
      </c>
      <c r="BQ8" s="88"/>
      <c r="BR8" s="89"/>
      <c r="BS8" s="75"/>
      <c r="BT8" s="55" t="s">
        <v>37</v>
      </c>
      <c r="BU8" s="54">
        <f>(BW5-BX5/2)*3</f>
        <v>8010</v>
      </c>
      <c r="BV8" s="54">
        <f>(BW5+BX5/2)*3</f>
        <v>8070</v>
      </c>
      <c r="BW8" s="10" t="s">
        <v>9</v>
      </c>
      <c r="BX8" s="10" t="s">
        <v>9</v>
      </c>
      <c r="BY8" s="87" t="s">
        <v>35</v>
      </c>
      <c r="BZ8" s="88"/>
      <c r="CA8" s="89"/>
      <c r="CB8" s="75"/>
      <c r="CC8" s="55" t="s">
        <v>37</v>
      </c>
    </row>
    <row r="9" spans="1:81" ht="15">
      <c r="A9" s="54">
        <f>((C5-INT((D5*5)/2)*0.18)-0.2)*4</f>
        <v>9984.5600000000013</v>
      </c>
      <c r="B9" s="54">
        <f>((C5-INT((D5*5)/2)*0.18)+0.2)*4</f>
        <v>9986.16</v>
      </c>
      <c r="C9" s="10" t="s">
        <v>9</v>
      </c>
      <c r="D9" s="10" t="s">
        <v>9</v>
      </c>
      <c r="E9" s="90" t="s">
        <v>35</v>
      </c>
      <c r="F9" s="90"/>
      <c r="G9" s="90"/>
      <c r="H9" s="75"/>
      <c r="I9" s="55" t="s">
        <v>38</v>
      </c>
      <c r="J9" s="54">
        <f>((L5-INT((M5*5)/2)*0.18)-0.2)*4</f>
        <v>10362.560000000001</v>
      </c>
      <c r="K9" s="54">
        <f>((L5-INT((M5*5)/2)*0.18)+0.2)*4</f>
        <v>10364.16</v>
      </c>
      <c r="L9" s="10" t="s">
        <v>9</v>
      </c>
      <c r="M9" s="10" t="s">
        <v>9</v>
      </c>
      <c r="N9" s="90" t="s">
        <v>35</v>
      </c>
      <c r="O9" s="90"/>
      <c r="P9" s="90"/>
      <c r="Q9" s="75"/>
      <c r="R9" s="55" t="s">
        <v>38</v>
      </c>
      <c r="S9" s="54">
        <f>((U5+INT((V5*5)/2)*0.18)-0.2)*4</f>
        <v>10757.84</v>
      </c>
      <c r="T9" s="54">
        <f>((U5+INT((V5*5)/2)*0.18)+0.2)*4</f>
        <v>10759.439999999999</v>
      </c>
      <c r="U9" s="10" t="s">
        <v>9</v>
      </c>
      <c r="V9" s="10" t="s">
        <v>9</v>
      </c>
      <c r="W9" s="90" t="s">
        <v>35</v>
      </c>
      <c r="X9" s="90"/>
      <c r="Y9" s="90"/>
      <c r="Z9" s="75"/>
      <c r="AA9" s="55" t="s">
        <v>38</v>
      </c>
      <c r="AB9" s="54">
        <f>(AD5-AE5/2)*4</f>
        <v>9984</v>
      </c>
      <c r="AC9" s="54">
        <f>(AD5+AE5/2)*4</f>
        <v>10004</v>
      </c>
      <c r="AD9" s="10" t="s">
        <v>9</v>
      </c>
      <c r="AE9" s="10" t="s">
        <v>9</v>
      </c>
      <c r="AF9" s="90" t="s">
        <v>35</v>
      </c>
      <c r="AG9" s="90"/>
      <c r="AH9" s="90"/>
      <c r="AI9" s="75"/>
      <c r="AJ9" s="55" t="s">
        <v>38</v>
      </c>
      <c r="AK9" s="54">
        <f>(AM5-AN5/2)*4</f>
        <v>10740</v>
      </c>
      <c r="AL9" s="54">
        <f>(AM5+AN5/2)*4</f>
        <v>10760</v>
      </c>
      <c r="AM9" s="10" t="s">
        <v>9</v>
      </c>
      <c r="AN9" s="10" t="s">
        <v>9</v>
      </c>
      <c r="AO9" s="90" t="s">
        <v>35</v>
      </c>
      <c r="AP9" s="90"/>
      <c r="AQ9" s="90"/>
      <c r="AR9" s="75"/>
      <c r="AS9" s="55" t="s">
        <v>38</v>
      </c>
      <c r="AT9" s="54">
        <f>((AV5-(INT((AW5*5)/2)-0.5)*0.18)-0.2)*4</f>
        <v>9987.5600000000013</v>
      </c>
      <c r="AU9" s="54">
        <f>((AV5-(INT((AW5*5)/2)-0.5)*0.18)+0.2)*4</f>
        <v>9989.16</v>
      </c>
      <c r="AV9" s="10" t="s">
        <v>9</v>
      </c>
      <c r="AW9" s="10" t="s">
        <v>9</v>
      </c>
      <c r="AX9" s="90" t="s">
        <v>35</v>
      </c>
      <c r="AY9" s="90"/>
      <c r="AZ9" s="90"/>
      <c r="BA9" s="75"/>
      <c r="BB9" s="55" t="s">
        <v>38</v>
      </c>
      <c r="BC9" s="54">
        <f>((BE5+(INT((BF5*5)/2)-0.5)*0.18)-0.2)*4</f>
        <v>10754.84</v>
      </c>
      <c r="BD9" s="54">
        <f>((BE5+(INT((BF5*5)/2)-0.5)*0.18)+0.2)*4</f>
        <v>10756.439999999999</v>
      </c>
      <c r="BE9" s="10" t="s">
        <v>9</v>
      </c>
      <c r="BF9" s="10" t="s">
        <v>9</v>
      </c>
      <c r="BG9" s="87" t="s">
        <v>35</v>
      </c>
      <c r="BH9" s="88"/>
      <c r="BI9" s="89"/>
      <c r="BJ9" s="75"/>
      <c r="BK9" s="55" t="s">
        <v>38</v>
      </c>
      <c r="BL9" s="54">
        <f>(BN5-BO5/2)*4</f>
        <v>9984</v>
      </c>
      <c r="BM9" s="54">
        <f>(BN5+BO5/2)*4</f>
        <v>10064</v>
      </c>
      <c r="BN9" s="10" t="s">
        <v>9</v>
      </c>
      <c r="BO9" s="10" t="s">
        <v>9</v>
      </c>
      <c r="BP9" s="90" t="s">
        <v>35</v>
      </c>
      <c r="BQ9" s="90"/>
      <c r="BR9" s="90"/>
      <c r="BS9" s="75"/>
      <c r="BT9" s="55" t="s">
        <v>38</v>
      </c>
      <c r="BU9" s="54">
        <f>(BW5-BX5/2)*4</f>
        <v>10680</v>
      </c>
      <c r="BV9" s="54">
        <f>(BW5+BX5/2)*4</f>
        <v>10760</v>
      </c>
      <c r="BW9" s="10" t="s">
        <v>9</v>
      </c>
      <c r="BX9" s="10" t="s">
        <v>9</v>
      </c>
      <c r="BY9" s="90" t="s">
        <v>35</v>
      </c>
      <c r="BZ9" s="90"/>
      <c r="CA9" s="90"/>
      <c r="CB9" s="75"/>
      <c r="CC9" s="55" t="s">
        <v>38</v>
      </c>
    </row>
    <row r="19" spans="3:6">
      <c r="C19" s="32"/>
      <c r="E19" s="32"/>
      <c r="F19" s="32"/>
    </row>
    <row r="20" spans="3:6">
      <c r="E20" s="32"/>
    </row>
    <row r="21" spans="3:6">
      <c r="E21" s="32"/>
    </row>
    <row r="23" spans="3:6">
      <c r="E23" s="32"/>
    </row>
    <row r="49" spans="1:8">
      <c r="B49" t="s">
        <v>132</v>
      </c>
      <c r="E49" t="s">
        <v>133</v>
      </c>
      <c r="H49" t="s">
        <v>134</v>
      </c>
    </row>
    <row r="50" spans="1:8">
      <c r="A50">
        <v>5378920000</v>
      </c>
      <c r="B50">
        <v>-27.403537750000002</v>
      </c>
      <c r="D50">
        <v>5378920000</v>
      </c>
      <c r="E50">
        <v>-27.441246029999999</v>
      </c>
      <c r="G50">
        <v>5378920000</v>
      </c>
      <c r="H50">
        <v>-27.346992490000002</v>
      </c>
    </row>
    <row r="51" spans="1:8">
      <c r="A51">
        <v>5378922515.7232704</v>
      </c>
      <c r="B51">
        <v>-27.893138889999999</v>
      </c>
      <c r="D51">
        <v>5378922515.7232704</v>
      </c>
      <c r="E51">
        <v>-27.83495331</v>
      </c>
      <c r="G51">
        <v>5378922523.6593056</v>
      </c>
      <c r="H51">
        <v>-27.74199295</v>
      </c>
    </row>
    <row r="52" spans="1:8">
      <c r="A52">
        <v>5378925031.4465408</v>
      </c>
      <c r="B52">
        <v>-27.165012359999999</v>
      </c>
      <c r="D52">
        <v>5378925031.4465408</v>
      </c>
      <c r="E52">
        <v>-27.200145719999998</v>
      </c>
      <c r="G52">
        <v>5378925047.3186111</v>
      </c>
      <c r="H52">
        <v>-27.116764069999999</v>
      </c>
    </row>
    <row r="53" spans="1:8">
      <c r="A53">
        <v>5378927547.1698112</v>
      </c>
      <c r="B53">
        <v>-26.871570590000001</v>
      </c>
      <c r="D53">
        <v>5378927547.1698112</v>
      </c>
      <c r="E53">
        <v>-26.856067660000001</v>
      </c>
      <c r="G53">
        <v>5378927570.9779167</v>
      </c>
      <c r="H53">
        <v>-26.772747039999999</v>
      </c>
    </row>
    <row r="54" spans="1:8">
      <c r="A54">
        <v>5378930062.8930817</v>
      </c>
      <c r="B54">
        <v>-27.076530460000001</v>
      </c>
      <c r="D54">
        <v>5378930062.8930817</v>
      </c>
      <c r="E54">
        <v>-27.037067409999999</v>
      </c>
      <c r="G54">
        <v>5378930094.6372223</v>
      </c>
      <c r="H54">
        <v>-26.965824130000001</v>
      </c>
    </row>
    <row r="55" spans="1:8">
      <c r="A55">
        <v>5378932578.6163521</v>
      </c>
      <c r="B55">
        <v>-27.748779299999999</v>
      </c>
      <c r="D55">
        <v>5378932578.6163521</v>
      </c>
      <c r="E55">
        <v>-27.7387619</v>
      </c>
      <c r="G55">
        <v>5378932618.2965279</v>
      </c>
      <c r="H55">
        <v>-27.654026030000001</v>
      </c>
    </row>
    <row r="56" spans="1:8">
      <c r="A56">
        <v>5378935094.3396225</v>
      </c>
      <c r="B56">
        <v>-27.022727969999998</v>
      </c>
      <c r="D56">
        <v>5378935094.3396225</v>
      </c>
      <c r="E56">
        <v>-26.972045900000001</v>
      </c>
      <c r="G56">
        <v>5378935141.9558334</v>
      </c>
      <c r="H56">
        <v>-26.90844727</v>
      </c>
    </row>
    <row r="57" spans="1:8">
      <c r="A57">
        <v>5378937610.0628929</v>
      </c>
      <c r="B57">
        <v>-27.468650820000001</v>
      </c>
      <c r="D57">
        <v>5378937610.0628929</v>
      </c>
      <c r="E57">
        <v>-27.50294113</v>
      </c>
      <c r="G57">
        <v>5378937665.615139</v>
      </c>
      <c r="H57">
        <v>-27.427143099999999</v>
      </c>
    </row>
    <row r="58" spans="1:8">
      <c r="A58">
        <v>5378940125.7861633</v>
      </c>
      <c r="B58">
        <v>-27.225841519999999</v>
      </c>
      <c r="D58">
        <v>5378940125.7861633</v>
      </c>
      <c r="E58">
        <v>-27.18289566</v>
      </c>
      <c r="G58">
        <v>5378940189.2744446</v>
      </c>
      <c r="H58">
        <v>-27.125728609999999</v>
      </c>
    </row>
    <row r="59" spans="1:8">
      <c r="A59">
        <v>5378942641.5094337</v>
      </c>
      <c r="B59">
        <v>-27.109046939999999</v>
      </c>
      <c r="D59">
        <v>5378942641.5094337</v>
      </c>
      <c r="E59">
        <v>-27.15933609</v>
      </c>
      <c r="G59">
        <v>5378942712.9337502</v>
      </c>
      <c r="H59">
        <v>-27.093372339999998</v>
      </c>
    </row>
    <row r="60" spans="1:8">
      <c r="A60">
        <v>5378945157.2327042</v>
      </c>
      <c r="B60">
        <v>-27.6494751</v>
      </c>
      <c r="D60">
        <v>5378945157.2327042</v>
      </c>
      <c r="E60">
        <v>-27.631134029999998</v>
      </c>
      <c r="G60">
        <v>5378945236.5930557</v>
      </c>
      <c r="H60">
        <v>-27.566642760000001</v>
      </c>
    </row>
    <row r="61" spans="1:8">
      <c r="A61">
        <v>5378947672.9559746</v>
      </c>
      <c r="B61">
        <v>-27.28925323</v>
      </c>
      <c r="D61">
        <v>5378947672.9559746</v>
      </c>
      <c r="E61">
        <v>-27.354160310000001</v>
      </c>
      <c r="G61">
        <v>5378947760.2523613</v>
      </c>
      <c r="H61">
        <v>-27.280105590000002</v>
      </c>
    </row>
    <row r="62" spans="1:8">
      <c r="A62">
        <v>5378950188.679245</v>
      </c>
      <c r="B62">
        <v>-26.540359500000001</v>
      </c>
      <c r="D62">
        <v>5378950188.679245</v>
      </c>
      <c r="E62">
        <v>-26.498405460000001</v>
      </c>
      <c r="G62">
        <v>5378950283.9116669</v>
      </c>
      <c r="H62">
        <v>-26.438377379999999</v>
      </c>
    </row>
    <row r="63" spans="1:8">
      <c r="A63">
        <v>5378952704.4025154</v>
      </c>
      <c r="B63">
        <v>-27.571235659999999</v>
      </c>
      <c r="D63">
        <v>5378952704.4025154</v>
      </c>
      <c r="E63">
        <v>-27.606258390000001</v>
      </c>
      <c r="G63">
        <v>5378952807.5709724</v>
      </c>
      <c r="H63">
        <v>-27.529815670000001</v>
      </c>
    </row>
    <row r="64" spans="1:8">
      <c r="A64">
        <v>5378955220.1257858</v>
      </c>
      <c r="B64">
        <v>-27.471534729999998</v>
      </c>
      <c r="D64">
        <v>5378955220.1257858</v>
      </c>
      <c r="E64">
        <v>-27.47174454</v>
      </c>
      <c r="G64">
        <v>5378955331.230278</v>
      </c>
      <c r="H64">
        <v>-27.385356900000001</v>
      </c>
    </row>
    <row r="65" spans="1:8">
      <c r="A65">
        <v>5378957735.8490562</v>
      </c>
      <c r="B65">
        <v>-28.042976379999999</v>
      </c>
      <c r="D65">
        <v>5378957735.8490562</v>
      </c>
      <c r="E65">
        <v>-28.090175630000001</v>
      </c>
      <c r="G65">
        <v>5378957854.8895836</v>
      </c>
      <c r="H65">
        <v>-27.99993134</v>
      </c>
    </row>
    <row r="66" spans="1:8">
      <c r="A66">
        <v>5378960251.5723267</v>
      </c>
      <c r="B66">
        <v>-26.029140470000002</v>
      </c>
      <c r="D66">
        <v>5378960251.5723267</v>
      </c>
      <c r="E66">
        <v>-25.991661069999999</v>
      </c>
      <c r="G66">
        <v>5378960378.5488892</v>
      </c>
      <c r="H66">
        <v>-25.917869570000001</v>
      </c>
    </row>
    <row r="67" spans="1:8">
      <c r="A67">
        <v>5378962767.2955971</v>
      </c>
      <c r="B67">
        <v>-27.6617012</v>
      </c>
      <c r="D67">
        <v>5378962767.2955971</v>
      </c>
      <c r="E67">
        <v>-27.74423599</v>
      </c>
      <c r="G67">
        <v>5378962902.2081947</v>
      </c>
      <c r="H67">
        <v>-27.65945816</v>
      </c>
    </row>
    <row r="68" spans="1:8">
      <c r="A68">
        <v>5378965283.0188675</v>
      </c>
      <c r="B68">
        <v>-26.876506809999999</v>
      </c>
      <c r="D68">
        <v>5378965283.0188675</v>
      </c>
      <c r="E68">
        <v>-26.881496429999999</v>
      </c>
      <c r="G68">
        <v>5378965425.8675003</v>
      </c>
      <c r="H68">
        <v>-26.80755615</v>
      </c>
    </row>
    <row r="69" spans="1:8">
      <c r="A69">
        <v>5378967798.7421379</v>
      </c>
      <c r="B69">
        <v>-27.174583439999999</v>
      </c>
      <c r="D69">
        <v>5378967798.7421379</v>
      </c>
      <c r="E69">
        <v>-27.18735504</v>
      </c>
      <c r="G69">
        <v>5378967949.5268059</v>
      </c>
      <c r="H69">
        <v>-27.108421329999999</v>
      </c>
    </row>
    <row r="70" spans="1:8">
      <c r="A70">
        <v>5378970314.4654083</v>
      </c>
      <c r="B70">
        <v>-26.77534485</v>
      </c>
      <c r="D70">
        <v>5378970314.4654083</v>
      </c>
      <c r="E70">
        <v>-26.746807100000002</v>
      </c>
      <c r="G70">
        <v>5378970473.1861115</v>
      </c>
      <c r="H70">
        <v>-26.672248840000002</v>
      </c>
    </row>
    <row r="71" spans="1:8">
      <c r="A71">
        <v>5378972830.1886787</v>
      </c>
      <c r="B71">
        <v>-26.595787049999998</v>
      </c>
      <c r="D71">
        <v>5378972830.1886787</v>
      </c>
      <c r="E71">
        <v>-26.583747859999999</v>
      </c>
      <c r="G71">
        <v>5378972996.845417</v>
      </c>
      <c r="H71">
        <v>-26.50667953</v>
      </c>
    </row>
    <row r="72" spans="1:8">
      <c r="A72">
        <v>5378975345.9119492</v>
      </c>
      <c r="B72">
        <v>-28.580711359999999</v>
      </c>
      <c r="D72">
        <v>5378975345.9119492</v>
      </c>
      <c r="E72">
        <v>-28.550697329999998</v>
      </c>
      <c r="G72">
        <v>5378975520.5047226</v>
      </c>
      <c r="H72">
        <v>-28.47820282</v>
      </c>
    </row>
    <row r="73" spans="1:8">
      <c r="A73">
        <v>5378977861.6352196</v>
      </c>
      <c r="B73">
        <v>-26.09676361</v>
      </c>
      <c r="D73">
        <v>5378977861.6352196</v>
      </c>
      <c r="E73">
        <v>-26.077842709999999</v>
      </c>
      <c r="G73">
        <v>5378978044.1640282</v>
      </c>
      <c r="H73">
        <v>-26.006408690000001</v>
      </c>
    </row>
    <row r="74" spans="1:8">
      <c r="A74">
        <v>5378980377.35849</v>
      </c>
      <c r="B74">
        <v>-26.874645229999999</v>
      </c>
      <c r="D74">
        <v>5378980377.35849</v>
      </c>
      <c r="E74">
        <v>-26.910362240000001</v>
      </c>
      <c r="G74">
        <v>5378980567.8233337</v>
      </c>
      <c r="H74">
        <v>-26.82677078</v>
      </c>
    </row>
    <row r="75" spans="1:8">
      <c r="A75">
        <v>5378982893.0817604</v>
      </c>
      <c r="B75">
        <v>-27.278903960000001</v>
      </c>
      <c r="D75">
        <v>5378982893.0817604</v>
      </c>
      <c r="E75">
        <v>-27.31493759</v>
      </c>
      <c r="G75">
        <v>5378983091.4826393</v>
      </c>
      <c r="H75">
        <v>-27.235633849999999</v>
      </c>
    </row>
    <row r="76" spans="1:8">
      <c r="A76">
        <v>5378985408.8050308</v>
      </c>
      <c r="B76">
        <v>-27.22829437</v>
      </c>
      <c r="D76">
        <v>5378985408.8050308</v>
      </c>
      <c r="E76">
        <v>-27.246753689999998</v>
      </c>
      <c r="G76">
        <v>5378985615.1419449</v>
      </c>
      <c r="H76">
        <v>-27.17775726</v>
      </c>
    </row>
    <row r="77" spans="1:8">
      <c r="A77">
        <v>5378987924.5283012</v>
      </c>
      <c r="B77">
        <v>-28.898189540000001</v>
      </c>
      <c r="D77">
        <v>5378987924.5283012</v>
      </c>
      <c r="E77">
        <v>-28.86333084</v>
      </c>
      <c r="G77">
        <v>5378988138.8012505</v>
      </c>
      <c r="H77">
        <v>-28.77869415</v>
      </c>
    </row>
    <row r="78" spans="1:8">
      <c r="A78">
        <v>5378990440.2515717</v>
      </c>
      <c r="B78">
        <v>-26.112983700000001</v>
      </c>
      <c r="D78">
        <v>5378990440.2515717</v>
      </c>
      <c r="E78">
        <v>-26.109092709999999</v>
      </c>
      <c r="G78">
        <v>5378990662.460556</v>
      </c>
      <c r="H78">
        <v>-26.069198610000001</v>
      </c>
    </row>
    <row r="79" spans="1:8">
      <c r="A79">
        <v>5378992955.9748421</v>
      </c>
      <c r="B79">
        <v>-27.8929863</v>
      </c>
      <c r="D79">
        <v>5378992955.9748421</v>
      </c>
      <c r="E79">
        <v>-27.956459049999999</v>
      </c>
      <c r="G79">
        <v>5378993186.1198616</v>
      </c>
      <c r="H79">
        <v>-27.87116623</v>
      </c>
    </row>
    <row r="80" spans="1:8">
      <c r="A80">
        <v>5378995471.6981125</v>
      </c>
      <c r="B80">
        <v>-26.292461400000001</v>
      </c>
      <c r="D80">
        <v>5378995471.6981125</v>
      </c>
      <c r="E80">
        <v>-26.328620910000001</v>
      </c>
      <c r="G80">
        <v>5378995709.7791672</v>
      </c>
      <c r="H80">
        <v>-26.230312349999998</v>
      </c>
    </row>
    <row r="81" spans="1:8">
      <c r="A81">
        <v>5378997987.4213829</v>
      </c>
      <c r="B81">
        <v>-26.73319244</v>
      </c>
      <c r="D81">
        <v>5378997987.4213829</v>
      </c>
      <c r="E81">
        <v>-26.724662779999999</v>
      </c>
      <c r="G81">
        <v>5378998233.4384727</v>
      </c>
      <c r="H81">
        <v>-26.639625550000002</v>
      </c>
    </row>
    <row r="82" spans="1:8">
      <c r="A82">
        <v>5379000503.1446533</v>
      </c>
      <c r="B82">
        <v>-28.328113559999998</v>
      </c>
      <c r="D82">
        <v>5379000503.1446533</v>
      </c>
      <c r="E82">
        <v>-28.357841489999998</v>
      </c>
      <c r="G82">
        <v>5379000757.0977783</v>
      </c>
      <c r="H82">
        <v>-28.268867490000002</v>
      </c>
    </row>
    <row r="83" spans="1:8">
      <c r="A83">
        <v>5379003018.8679237</v>
      </c>
      <c r="B83">
        <v>-27.005989069999998</v>
      </c>
      <c r="D83">
        <v>5379003018.8679237</v>
      </c>
      <c r="E83">
        <v>-27.009948730000001</v>
      </c>
      <c r="G83">
        <v>5379003280.7570839</v>
      </c>
      <c r="H83">
        <v>-26.916587830000001</v>
      </c>
    </row>
    <row r="84" spans="1:8">
      <c r="A84">
        <v>5379005534.5911942</v>
      </c>
      <c r="B84">
        <v>-27.78530121</v>
      </c>
      <c r="D84">
        <v>5379005534.5911942</v>
      </c>
      <c r="E84">
        <v>-27.773262020000001</v>
      </c>
      <c r="G84">
        <v>5379005804.4163895</v>
      </c>
      <c r="H84">
        <v>-27.667354580000001</v>
      </c>
    </row>
    <row r="85" spans="1:8">
      <c r="A85">
        <v>5379008050.3144646</v>
      </c>
      <c r="B85">
        <v>-27.150383000000001</v>
      </c>
      <c r="D85">
        <v>5379008050.3144646</v>
      </c>
      <c r="E85">
        <v>-27.141899110000001</v>
      </c>
      <c r="G85">
        <v>5379008328.075695</v>
      </c>
      <c r="H85">
        <v>-27.04653931</v>
      </c>
    </row>
    <row r="86" spans="1:8">
      <c r="A86">
        <v>5379010566.037735</v>
      </c>
      <c r="B86">
        <v>-27.518455509999999</v>
      </c>
      <c r="D86">
        <v>5379010566.037735</v>
      </c>
      <c r="E86">
        <v>-27.523986820000001</v>
      </c>
      <c r="G86">
        <v>5379010851.7350006</v>
      </c>
      <c r="H86">
        <v>-27.43391037</v>
      </c>
    </row>
    <row r="87" spans="1:8">
      <c r="A87">
        <v>5379013081.7610054</v>
      </c>
      <c r="B87">
        <v>-27.62432098</v>
      </c>
      <c r="D87">
        <v>5379013081.7610054</v>
      </c>
      <c r="E87">
        <v>-27.62755585</v>
      </c>
      <c r="G87">
        <v>5379013375.3943062</v>
      </c>
      <c r="H87">
        <v>-27.556293490000002</v>
      </c>
    </row>
    <row r="88" spans="1:8">
      <c r="A88">
        <v>5379015597.4842758</v>
      </c>
      <c r="B88">
        <v>-28.028491970000001</v>
      </c>
      <c r="D88">
        <v>5379015597.4842758</v>
      </c>
      <c r="E88">
        <v>-27.970909120000002</v>
      </c>
      <c r="G88">
        <v>5379015899.0536118</v>
      </c>
      <c r="H88">
        <v>-27.91302872</v>
      </c>
    </row>
    <row r="89" spans="1:8">
      <c r="A89">
        <v>5379018113.2075462</v>
      </c>
      <c r="B89">
        <v>-26.275459290000001</v>
      </c>
      <c r="D89">
        <v>5379018113.2075462</v>
      </c>
      <c r="E89">
        <v>-26.244754790000002</v>
      </c>
      <c r="G89">
        <v>5379018422.7129173</v>
      </c>
      <c r="H89">
        <v>-26.180763240000001</v>
      </c>
    </row>
    <row r="90" spans="1:8">
      <c r="A90">
        <v>5379020628.9308167</v>
      </c>
      <c r="B90">
        <v>-26.17009354</v>
      </c>
      <c r="D90">
        <v>5379020628.9308167</v>
      </c>
      <c r="E90">
        <v>-26.163215640000001</v>
      </c>
      <c r="G90">
        <v>5379020946.3722229</v>
      </c>
      <c r="H90">
        <v>-26.096984859999999</v>
      </c>
    </row>
    <row r="91" spans="1:8">
      <c r="A91">
        <v>5379023144.6540871</v>
      </c>
      <c r="B91">
        <v>-27.31447601</v>
      </c>
      <c r="D91">
        <v>5379023144.6540871</v>
      </c>
      <c r="E91">
        <v>-27.280796049999999</v>
      </c>
      <c r="G91">
        <v>5379023470.0315285</v>
      </c>
      <c r="H91">
        <v>-27.22803116</v>
      </c>
    </row>
    <row r="92" spans="1:8">
      <c r="A92">
        <v>5379025660.3773575</v>
      </c>
      <c r="B92">
        <v>-26.056293490000002</v>
      </c>
      <c r="D92">
        <v>5379025660.3773575</v>
      </c>
      <c r="E92">
        <v>-26.095115660000001</v>
      </c>
      <c r="G92">
        <v>5379025993.690834</v>
      </c>
      <c r="H92">
        <v>-26.033416750000001</v>
      </c>
    </row>
    <row r="93" spans="1:8">
      <c r="A93">
        <v>5379028176.1006279</v>
      </c>
      <c r="B93">
        <v>-26.33759689</v>
      </c>
      <c r="D93">
        <v>5379028176.1006279</v>
      </c>
      <c r="E93">
        <v>-26.346263889999999</v>
      </c>
      <c r="G93">
        <v>5379028517.3501396</v>
      </c>
      <c r="H93">
        <v>-26.263908390000001</v>
      </c>
    </row>
    <row r="94" spans="1:8">
      <c r="A94">
        <v>5379030691.8238983</v>
      </c>
      <c r="B94">
        <v>-26.813816070000001</v>
      </c>
      <c r="D94">
        <v>5379030691.8238983</v>
      </c>
      <c r="E94">
        <v>-26.76359558</v>
      </c>
      <c r="G94">
        <v>5379031041.0094452</v>
      </c>
      <c r="H94">
        <v>-26.683509829999998</v>
      </c>
    </row>
    <row r="95" spans="1:8">
      <c r="A95">
        <v>5379033207.5471687</v>
      </c>
      <c r="B95">
        <v>-27.129730219999999</v>
      </c>
      <c r="D95">
        <v>5379033207.5471687</v>
      </c>
      <c r="E95">
        <v>-27.115165709999999</v>
      </c>
      <c r="G95">
        <v>5379033564.6687508</v>
      </c>
      <c r="H95">
        <v>-27.070037840000001</v>
      </c>
    </row>
    <row r="96" spans="1:8">
      <c r="A96">
        <v>5379035723.2704391</v>
      </c>
      <c r="B96">
        <v>-26.828067780000001</v>
      </c>
      <c r="D96">
        <v>5379035723.2704391</v>
      </c>
      <c r="E96">
        <v>-26.756893160000001</v>
      </c>
      <c r="G96">
        <v>5379036088.3280563</v>
      </c>
      <c r="H96">
        <v>-26.76082611</v>
      </c>
    </row>
    <row r="97" spans="1:8">
      <c r="A97">
        <v>5379038238.9937096</v>
      </c>
      <c r="B97">
        <v>-27.121398930000002</v>
      </c>
      <c r="D97">
        <v>5379038238.9937096</v>
      </c>
      <c r="E97">
        <v>-26.973506929999999</v>
      </c>
      <c r="G97">
        <v>5379038611.9873619</v>
      </c>
      <c r="H97">
        <v>-26.964389799999999</v>
      </c>
    </row>
    <row r="98" spans="1:8">
      <c r="A98">
        <v>5379040754.71698</v>
      </c>
      <c r="B98">
        <v>-25.717048649999999</v>
      </c>
      <c r="D98">
        <v>5379040754.71698</v>
      </c>
      <c r="E98">
        <v>-25.62138367</v>
      </c>
      <c r="G98">
        <v>5379041135.6466675</v>
      </c>
      <c r="H98">
        <v>-25.603595729999999</v>
      </c>
    </row>
    <row r="99" spans="1:8">
      <c r="A99">
        <v>5379043270.4402504</v>
      </c>
      <c r="B99">
        <v>-26.730125430000001</v>
      </c>
      <c r="D99">
        <v>5379043270.4402504</v>
      </c>
      <c r="E99">
        <v>-26.65159225</v>
      </c>
      <c r="G99">
        <v>5379043659.3059731</v>
      </c>
      <c r="H99">
        <v>-26.6365242</v>
      </c>
    </row>
    <row r="100" spans="1:8">
      <c r="A100">
        <v>5379045786.1635208</v>
      </c>
      <c r="B100">
        <v>-27.30994415</v>
      </c>
      <c r="D100">
        <v>5379045786.1635208</v>
      </c>
      <c r="E100">
        <v>-27.187759400000001</v>
      </c>
      <c r="G100">
        <v>5379046182.9652786</v>
      </c>
      <c r="H100">
        <v>-27.16302872</v>
      </c>
    </row>
    <row r="101" spans="1:8">
      <c r="A101">
        <v>5379048301.8867912</v>
      </c>
      <c r="B101">
        <v>-27.07790756</v>
      </c>
      <c r="D101">
        <v>5379048301.8867912</v>
      </c>
      <c r="E101">
        <v>-27.007461549999999</v>
      </c>
      <c r="G101">
        <v>5379048706.6245842</v>
      </c>
      <c r="H101">
        <v>-26.997989650000001</v>
      </c>
    </row>
    <row r="102" spans="1:8">
      <c r="A102">
        <v>5379050817.6100616</v>
      </c>
      <c r="B102">
        <v>-26.356754299999999</v>
      </c>
      <c r="D102">
        <v>5379050817.6100616</v>
      </c>
      <c r="E102">
        <v>-26.27603912</v>
      </c>
      <c r="G102">
        <v>5379051230.2838898</v>
      </c>
      <c r="H102">
        <v>-26.266944890000001</v>
      </c>
    </row>
    <row r="103" spans="1:8">
      <c r="A103">
        <v>5379053333.3333321</v>
      </c>
      <c r="B103">
        <v>-26.742694849999999</v>
      </c>
      <c r="D103">
        <v>5379053333.3333321</v>
      </c>
      <c r="E103">
        <v>-26.711170200000002</v>
      </c>
      <c r="G103">
        <v>5379053753.9431953</v>
      </c>
      <c r="H103">
        <v>-26.692535400000001</v>
      </c>
    </row>
    <row r="104" spans="1:8">
      <c r="A104">
        <v>5379055849.0566025</v>
      </c>
      <c r="B104">
        <v>-26.360927579999998</v>
      </c>
      <c r="D104">
        <v>5379055849.0566025</v>
      </c>
      <c r="E104">
        <v>-26.280975340000001</v>
      </c>
      <c r="G104">
        <v>5379056277.6025009</v>
      </c>
      <c r="H104">
        <v>-26.25933075</v>
      </c>
    </row>
    <row r="105" spans="1:8">
      <c r="A105">
        <v>5379058364.7798729</v>
      </c>
      <c r="B105">
        <v>-28.091861720000001</v>
      </c>
      <c r="D105">
        <v>5379058364.7798729</v>
      </c>
      <c r="E105">
        <v>-28.066001889999999</v>
      </c>
      <c r="G105">
        <v>5379058801.2618065</v>
      </c>
      <c r="H105">
        <v>-28.040931700000002</v>
      </c>
    </row>
    <row r="106" spans="1:8">
      <c r="A106">
        <v>5379060880.5031433</v>
      </c>
      <c r="B106">
        <v>-26.35047531</v>
      </c>
      <c r="D106">
        <v>5379060880.5031433</v>
      </c>
      <c r="E106">
        <v>-26.277572630000002</v>
      </c>
      <c r="G106">
        <v>5379061324.9211121</v>
      </c>
      <c r="H106">
        <v>-26.251464840000001</v>
      </c>
    </row>
    <row r="107" spans="1:8">
      <c r="A107">
        <v>5379063396.2264137</v>
      </c>
      <c r="B107">
        <v>-25.838047029999998</v>
      </c>
      <c r="D107">
        <v>5379063396.2264137</v>
      </c>
      <c r="E107">
        <v>-25.83367157</v>
      </c>
      <c r="G107">
        <v>5379063848.5804176</v>
      </c>
      <c r="H107">
        <v>-25.793678280000002</v>
      </c>
    </row>
    <row r="108" spans="1:8">
      <c r="A108">
        <v>5379065911.9496841</v>
      </c>
      <c r="B108">
        <v>-26.82682419</v>
      </c>
      <c r="D108">
        <v>5379065911.9496841</v>
      </c>
      <c r="E108">
        <v>-26.763221739999999</v>
      </c>
      <c r="G108">
        <v>5379066372.2397232</v>
      </c>
      <c r="H108">
        <v>-26.732650759999999</v>
      </c>
    </row>
    <row r="109" spans="1:8">
      <c r="A109">
        <v>5379068427.6729546</v>
      </c>
      <c r="B109">
        <v>-26.753234859999999</v>
      </c>
      <c r="D109">
        <v>5379068427.6729546</v>
      </c>
      <c r="E109">
        <v>-26.715892790000002</v>
      </c>
      <c r="G109">
        <v>5379068895.8990288</v>
      </c>
      <c r="H109">
        <v>-26.689628599999999</v>
      </c>
    </row>
    <row r="110" spans="1:8">
      <c r="A110">
        <v>5379070943.396225</v>
      </c>
      <c r="B110">
        <v>-27.129188540000001</v>
      </c>
      <c r="D110">
        <v>5379070943.396225</v>
      </c>
      <c r="E110">
        <v>-27.095252989999999</v>
      </c>
      <c r="G110">
        <v>5379071419.5583344</v>
      </c>
      <c r="H110">
        <v>-27.06131744</v>
      </c>
    </row>
    <row r="111" spans="1:8">
      <c r="A111">
        <v>5379073459.1194954</v>
      </c>
      <c r="B111">
        <v>-26.215431209999998</v>
      </c>
      <c r="D111">
        <v>5379073459.1194954</v>
      </c>
      <c r="E111">
        <v>-26.16970062</v>
      </c>
      <c r="G111">
        <v>5379073943.2176399</v>
      </c>
      <c r="H111">
        <v>-26.13411713</v>
      </c>
    </row>
    <row r="112" spans="1:8">
      <c r="A112">
        <v>5379075974.8427658</v>
      </c>
      <c r="B112">
        <v>-26.404060359999999</v>
      </c>
      <c r="D112">
        <v>5379075974.8427658</v>
      </c>
      <c r="E112">
        <v>-26.35448456</v>
      </c>
      <c r="G112">
        <v>5379076466.8769455</v>
      </c>
      <c r="H112">
        <v>-26.32241058</v>
      </c>
    </row>
    <row r="113" spans="1:8">
      <c r="A113">
        <v>5379078490.5660362</v>
      </c>
      <c r="B113">
        <v>-27.06966019</v>
      </c>
      <c r="D113">
        <v>5379078490.5660362</v>
      </c>
      <c r="E113">
        <v>-26.976936340000002</v>
      </c>
      <c r="G113">
        <v>5379078990.5362511</v>
      </c>
      <c r="H113">
        <v>-26.95505524</v>
      </c>
    </row>
    <row r="114" spans="1:8">
      <c r="A114">
        <v>5379081006.2893066</v>
      </c>
      <c r="B114">
        <v>-26.336597439999998</v>
      </c>
      <c r="D114">
        <v>5379081006.2893066</v>
      </c>
      <c r="E114">
        <v>-26.27290726</v>
      </c>
      <c r="G114">
        <v>5379081514.1955566</v>
      </c>
      <c r="H114">
        <v>-26.24491119</v>
      </c>
    </row>
    <row r="115" spans="1:8">
      <c r="A115">
        <v>5379083522.0125771</v>
      </c>
      <c r="B115">
        <v>-26.13471985</v>
      </c>
      <c r="D115">
        <v>5379083522.0125771</v>
      </c>
      <c r="E115">
        <v>-26.11005402</v>
      </c>
      <c r="G115">
        <v>5379084037.8548622</v>
      </c>
      <c r="H115">
        <v>-26.073551179999999</v>
      </c>
    </row>
    <row r="116" spans="1:8">
      <c r="A116">
        <v>5379086037.7358475</v>
      </c>
      <c r="B116">
        <v>-26.093376159999998</v>
      </c>
      <c r="D116">
        <v>5379086037.7358475</v>
      </c>
      <c r="E116">
        <v>-26.047725679999999</v>
      </c>
      <c r="G116">
        <v>5379086561.5141678</v>
      </c>
      <c r="H116">
        <v>-26.015354160000001</v>
      </c>
    </row>
    <row r="117" spans="1:8">
      <c r="A117">
        <v>5379088553.4591179</v>
      </c>
      <c r="B117">
        <v>-27.921173100000001</v>
      </c>
      <c r="D117">
        <v>5379088553.4591179</v>
      </c>
      <c r="E117">
        <v>-27.874061579999999</v>
      </c>
      <c r="G117">
        <v>5379089085.1734734</v>
      </c>
      <c r="H117">
        <v>-27.83651352</v>
      </c>
    </row>
    <row r="118" spans="1:8">
      <c r="A118">
        <v>5379091069.1823883</v>
      </c>
      <c r="B118">
        <v>-26.065315250000001</v>
      </c>
      <c r="D118">
        <v>5379091069.1823883</v>
      </c>
      <c r="E118">
        <v>-25.954750059999999</v>
      </c>
      <c r="G118">
        <v>5379091608.8327789</v>
      </c>
      <c r="H118">
        <v>-25.91555786</v>
      </c>
    </row>
    <row r="119" spans="1:8">
      <c r="A119">
        <v>5379093584.9056587</v>
      </c>
      <c r="B119">
        <v>-26.014045719999999</v>
      </c>
      <c r="D119">
        <v>5379093584.9056587</v>
      </c>
      <c r="E119">
        <v>-25.970039369999999</v>
      </c>
      <c r="G119">
        <v>5379094132.4920845</v>
      </c>
      <c r="H119">
        <v>-25.933387759999999</v>
      </c>
    </row>
    <row r="120" spans="1:8">
      <c r="A120">
        <v>5379096100.6289291</v>
      </c>
      <c r="B120">
        <v>-26.592823030000002</v>
      </c>
      <c r="D120">
        <v>5379096100.6289291</v>
      </c>
      <c r="E120">
        <v>-26.534595490000001</v>
      </c>
      <c r="G120">
        <v>5379096656.1513901</v>
      </c>
      <c r="H120">
        <v>-26.503215789999999</v>
      </c>
    </row>
    <row r="121" spans="1:8">
      <c r="A121">
        <v>5379098616.3521996</v>
      </c>
      <c r="B121">
        <v>-26.97159576</v>
      </c>
      <c r="D121">
        <v>5379098616.3521996</v>
      </c>
      <c r="E121">
        <v>-26.891738889999999</v>
      </c>
      <c r="G121">
        <v>5379099179.8106956</v>
      </c>
      <c r="H121">
        <v>-26.870994570000001</v>
      </c>
    </row>
    <row r="122" spans="1:8">
      <c r="A122">
        <v>5379101132.07547</v>
      </c>
      <c r="B122">
        <v>-27.851531980000001</v>
      </c>
      <c r="D122">
        <v>5379101132.07547</v>
      </c>
      <c r="E122">
        <v>-27.83606339</v>
      </c>
      <c r="G122">
        <v>5379101703.4700012</v>
      </c>
      <c r="H122">
        <v>-27.820587159999999</v>
      </c>
    </row>
    <row r="123" spans="1:8">
      <c r="A123">
        <v>5379103647.7987404</v>
      </c>
      <c r="B123">
        <v>-25.78377914</v>
      </c>
      <c r="D123">
        <v>5379103647.7987404</v>
      </c>
      <c r="E123">
        <v>-25.70218277</v>
      </c>
      <c r="G123">
        <v>5379104227.1293068</v>
      </c>
      <c r="H123">
        <v>-25.689807890000001</v>
      </c>
    </row>
    <row r="124" spans="1:8">
      <c r="A124">
        <v>5379106163.5220108</v>
      </c>
      <c r="B124">
        <v>-27.17735291</v>
      </c>
      <c r="D124">
        <v>5379106163.5220108</v>
      </c>
      <c r="E124">
        <v>-27.14392853</v>
      </c>
      <c r="G124">
        <v>5379106750.7886124</v>
      </c>
      <c r="H124">
        <v>-27.113029480000002</v>
      </c>
    </row>
    <row r="125" spans="1:8">
      <c r="A125">
        <v>5379108679.2452812</v>
      </c>
      <c r="B125">
        <v>-26.048835749999999</v>
      </c>
      <c r="D125">
        <v>5379108679.2452812</v>
      </c>
      <c r="E125">
        <v>-25.987434390000001</v>
      </c>
      <c r="G125">
        <v>5379109274.4479179</v>
      </c>
      <c r="H125">
        <v>-25.959838869999999</v>
      </c>
    </row>
    <row r="126" spans="1:8">
      <c r="A126">
        <v>5379111194.9685516</v>
      </c>
      <c r="B126">
        <v>-26.799148559999999</v>
      </c>
      <c r="D126">
        <v>5379111194.9685516</v>
      </c>
      <c r="E126">
        <v>-26.753318790000002</v>
      </c>
      <c r="G126">
        <v>5379111798.1072235</v>
      </c>
      <c r="H126">
        <v>-26.725196839999999</v>
      </c>
    </row>
    <row r="127" spans="1:8">
      <c r="A127">
        <v>5379113710.6918221</v>
      </c>
      <c r="B127">
        <v>-26.601715089999999</v>
      </c>
      <c r="D127">
        <v>5379113710.6918221</v>
      </c>
      <c r="E127">
        <v>-26.551872249999999</v>
      </c>
      <c r="G127">
        <v>5379114321.7665291</v>
      </c>
      <c r="H127">
        <v>-26.522945400000001</v>
      </c>
    </row>
    <row r="128" spans="1:8">
      <c r="A128">
        <v>5379116226.4150925</v>
      </c>
      <c r="B128">
        <v>-26.615367890000002</v>
      </c>
      <c r="D128">
        <v>5379116226.4150925</v>
      </c>
      <c r="E128">
        <v>-26.548591609999999</v>
      </c>
      <c r="G128">
        <v>5379116845.4258347</v>
      </c>
      <c r="H128">
        <v>-26.50349808</v>
      </c>
    </row>
    <row r="129" spans="1:8">
      <c r="A129">
        <v>5379118742.1383629</v>
      </c>
      <c r="B129">
        <v>-26.984779360000001</v>
      </c>
      <c r="D129">
        <v>5379118742.1383629</v>
      </c>
      <c r="E129">
        <v>-26.884578699999999</v>
      </c>
      <c r="G129">
        <v>5379119369.0851402</v>
      </c>
      <c r="H129">
        <v>-26.825901030000001</v>
      </c>
    </row>
    <row r="130" spans="1:8">
      <c r="A130">
        <v>5379121257.8616333</v>
      </c>
      <c r="B130">
        <v>-27.011226650000001</v>
      </c>
      <c r="D130">
        <v>5379121257.8616333</v>
      </c>
      <c r="E130">
        <v>-26.93723679</v>
      </c>
      <c r="G130">
        <v>5379121892.7444458</v>
      </c>
      <c r="H130">
        <v>-26.90901947</v>
      </c>
    </row>
    <row r="131" spans="1:8">
      <c r="A131">
        <v>5379123773.5849037</v>
      </c>
      <c r="B131">
        <v>-27.086353299999999</v>
      </c>
      <c r="D131">
        <v>5379123773.5849037</v>
      </c>
      <c r="E131">
        <v>-27.000587459999998</v>
      </c>
      <c r="G131">
        <v>5379124416.4037514</v>
      </c>
      <c r="H131">
        <v>-26.991455080000001</v>
      </c>
    </row>
    <row r="132" spans="1:8">
      <c r="A132">
        <v>5379126289.3081741</v>
      </c>
      <c r="B132">
        <v>-26.95729828</v>
      </c>
      <c r="D132">
        <v>5379126289.3081741</v>
      </c>
      <c r="E132">
        <v>-26.876361849999999</v>
      </c>
      <c r="G132">
        <v>5379126940.0630569</v>
      </c>
      <c r="H132">
        <v>-26.862644199999998</v>
      </c>
    </row>
    <row r="133" spans="1:8">
      <c r="A133">
        <v>5379128805.0314445</v>
      </c>
      <c r="B133">
        <v>-27.512985230000002</v>
      </c>
      <c r="D133">
        <v>5379128805.0314445</v>
      </c>
      <c r="E133">
        <v>-27.439228060000001</v>
      </c>
      <c r="G133">
        <v>5379129463.7223625</v>
      </c>
      <c r="H133">
        <v>-27.431095119999998</v>
      </c>
    </row>
    <row r="134" spans="1:8">
      <c r="A134">
        <v>5379131320.754715</v>
      </c>
      <c r="B134">
        <v>-26.654636379999999</v>
      </c>
      <c r="D134">
        <v>5379131320.754715</v>
      </c>
      <c r="E134">
        <v>-26.57320786</v>
      </c>
      <c r="G134">
        <v>5379131987.3816681</v>
      </c>
      <c r="H134">
        <v>-26.546714779999999</v>
      </c>
    </row>
    <row r="135" spans="1:8">
      <c r="A135">
        <v>5379133836.4779854</v>
      </c>
      <c r="B135">
        <v>-25.579875950000002</v>
      </c>
      <c r="D135">
        <v>5379133836.4779854</v>
      </c>
      <c r="E135">
        <v>-25.519065860000001</v>
      </c>
      <c r="G135">
        <v>5379134511.0409737</v>
      </c>
      <c r="H135">
        <v>-25.518867490000002</v>
      </c>
    </row>
    <row r="136" spans="1:8">
      <c r="A136">
        <v>5379136352.2012558</v>
      </c>
      <c r="B136">
        <v>-26.203712459999998</v>
      </c>
      <c r="D136">
        <v>5379136352.2012558</v>
      </c>
      <c r="E136">
        <v>-26.176200869999999</v>
      </c>
      <c r="G136">
        <v>5379137034.7002792</v>
      </c>
      <c r="H136">
        <v>-26.17189407</v>
      </c>
    </row>
    <row r="137" spans="1:8">
      <c r="A137">
        <v>5379138867.9245262</v>
      </c>
      <c r="B137">
        <v>-25.44029999</v>
      </c>
      <c r="D137">
        <v>5379138867.9245262</v>
      </c>
      <c r="E137">
        <v>-25.357921600000001</v>
      </c>
      <c r="G137">
        <v>5379139558.3595848</v>
      </c>
      <c r="H137">
        <v>-25.353187559999999</v>
      </c>
    </row>
    <row r="138" spans="1:8">
      <c r="A138">
        <v>5379141383.6477966</v>
      </c>
      <c r="B138">
        <v>-26.403282170000001</v>
      </c>
      <c r="D138">
        <v>5379141383.6477966</v>
      </c>
      <c r="E138">
        <v>-26.3121109</v>
      </c>
      <c r="G138">
        <v>5379142082.0188904</v>
      </c>
      <c r="H138">
        <v>-26.305679319999999</v>
      </c>
    </row>
    <row r="139" spans="1:8">
      <c r="A139">
        <v>5379143899.371067</v>
      </c>
      <c r="B139">
        <v>-26.27792358</v>
      </c>
      <c r="D139">
        <v>5379143899.371067</v>
      </c>
      <c r="E139">
        <v>-26.252189640000001</v>
      </c>
      <c r="G139">
        <v>5379144605.678196</v>
      </c>
      <c r="H139">
        <v>-26.243034359999999</v>
      </c>
    </row>
    <row r="140" spans="1:8">
      <c r="A140">
        <v>5379146415.0943375</v>
      </c>
      <c r="B140">
        <v>-26.12189102</v>
      </c>
      <c r="D140">
        <v>5379146415.0943375</v>
      </c>
      <c r="E140">
        <v>-26.1229744</v>
      </c>
      <c r="G140">
        <v>5379147129.3375015</v>
      </c>
      <c r="H140">
        <v>-26.125713350000002</v>
      </c>
    </row>
    <row r="141" spans="1:8">
      <c r="A141">
        <v>5379148930.8176079</v>
      </c>
      <c r="B141">
        <v>-26.339416499999999</v>
      </c>
      <c r="D141">
        <v>5379148930.8176079</v>
      </c>
      <c r="E141">
        <v>-26.330699920000001</v>
      </c>
      <c r="G141">
        <v>5379149652.9968071</v>
      </c>
      <c r="H141">
        <v>-26.266677860000001</v>
      </c>
    </row>
    <row r="142" spans="1:8">
      <c r="A142">
        <v>5379151446.5408783</v>
      </c>
      <c r="B142">
        <v>-26.577224730000001</v>
      </c>
      <c r="D142">
        <v>5379151446.5408783</v>
      </c>
      <c r="E142">
        <v>-26.58723831</v>
      </c>
      <c r="G142">
        <v>5379152176.6561127</v>
      </c>
      <c r="H142">
        <v>-26.531593319999999</v>
      </c>
    </row>
    <row r="143" spans="1:8">
      <c r="A143">
        <v>5379153962.2641487</v>
      </c>
      <c r="B143">
        <v>-25.358131409999999</v>
      </c>
      <c r="D143">
        <v>5379153962.2641487</v>
      </c>
      <c r="E143">
        <v>-25.35018921</v>
      </c>
      <c r="G143">
        <v>5379154700.3154182</v>
      </c>
      <c r="H143">
        <v>-25.289169309999998</v>
      </c>
    </row>
    <row r="144" spans="1:8">
      <c r="A144">
        <v>5379156477.9874191</v>
      </c>
      <c r="B144">
        <v>-26.48244476</v>
      </c>
      <c r="D144">
        <v>5379156477.9874191</v>
      </c>
      <c r="E144">
        <v>-26.43402481</v>
      </c>
      <c r="G144">
        <v>5379157223.9747238</v>
      </c>
      <c r="H144">
        <v>-26.37953568</v>
      </c>
    </row>
    <row r="145" spans="1:8">
      <c r="A145">
        <v>5379158993.7106895</v>
      </c>
      <c r="B145">
        <v>-26.918926240000001</v>
      </c>
      <c r="D145">
        <v>5379158993.7106895</v>
      </c>
      <c r="E145">
        <v>-26.96411896</v>
      </c>
      <c r="G145">
        <v>5379159747.6340294</v>
      </c>
      <c r="H145">
        <v>-26.912239069999998</v>
      </c>
    </row>
    <row r="146" spans="1:8">
      <c r="A146">
        <v>5379161509.43396</v>
      </c>
      <c r="B146">
        <v>-25.916656490000001</v>
      </c>
      <c r="D146">
        <v>5379161509.43396</v>
      </c>
      <c r="E146">
        <v>-25.888927460000001</v>
      </c>
      <c r="G146">
        <v>5379162271.293335</v>
      </c>
      <c r="H146">
        <v>-25.83347702</v>
      </c>
    </row>
    <row r="147" spans="1:8">
      <c r="A147">
        <v>5379164025.1572304</v>
      </c>
      <c r="B147">
        <v>-26.174274440000001</v>
      </c>
      <c r="D147">
        <v>5379164025.1572304</v>
      </c>
      <c r="E147">
        <v>-26.202503199999999</v>
      </c>
      <c r="G147">
        <v>5379164794.9526405</v>
      </c>
      <c r="H147">
        <v>-26.158100130000001</v>
      </c>
    </row>
    <row r="148" spans="1:8">
      <c r="A148">
        <v>5379166540.8805008</v>
      </c>
      <c r="B148">
        <v>-25.93776703</v>
      </c>
      <c r="D148">
        <v>5379166540.8805008</v>
      </c>
      <c r="E148">
        <v>-25.99204636</v>
      </c>
      <c r="G148">
        <v>5379167318.6119461</v>
      </c>
      <c r="H148">
        <v>-25.961433410000001</v>
      </c>
    </row>
    <row r="149" spans="1:8">
      <c r="A149">
        <v>5379169056.6037712</v>
      </c>
      <c r="B149">
        <v>-26.572040560000001</v>
      </c>
      <c r="D149">
        <v>5379169056.6037712</v>
      </c>
      <c r="E149">
        <v>-26.622287750000002</v>
      </c>
      <c r="G149">
        <v>5379169842.2712517</v>
      </c>
      <c r="H149">
        <v>-26.58372116</v>
      </c>
    </row>
    <row r="150" spans="1:8">
      <c r="A150">
        <v>5379171572.3270416</v>
      </c>
      <c r="B150">
        <v>-26.580528260000001</v>
      </c>
      <c r="D150">
        <v>5379171572.3270416</v>
      </c>
      <c r="E150">
        <v>-26.631610869999999</v>
      </c>
      <c r="G150">
        <v>5379172365.9305573</v>
      </c>
      <c r="H150">
        <v>-26.581737520000001</v>
      </c>
    </row>
    <row r="151" spans="1:8">
      <c r="A151">
        <v>5379174088.050312</v>
      </c>
      <c r="B151">
        <v>-25.98369598</v>
      </c>
      <c r="D151">
        <v>5379174088.050312</v>
      </c>
      <c r="E151">
        <v>-26.047809600000001</v>
      </c>
      <c r="G151">
        <v>5379174889.5898628</v>
      </c>
      <c r="H151">
        <v>-25.984676360000002</v>
      </c>
    </row>
    <row r="152" spans="1:8">
      <c r="A152">
        <v>5379176603.7735825</v>
      </c>
      <c r="B152">
        <v>-25.996631619999999</v>
      </c>
      <c r="D152">
        <v>5379176603.7735825</v>
      </c>
      <c r="E152">
        <v>-26.061229709999999</v>
      </c>
      <c r="G152">
        <v>5379177413.2491684</v>
      </c>
      <c r="H152">
        <v>-26.059612269999999</v>
      </c>
    </row>
    <row r="153" spans="1:8">
      <c r="A153">
        <v>5379179119.4968529</v>
      </c>
      <c r="B153">
        <v>-25.363880160000001</v>
      </c>
      <c r="D153">
        <v>5379179119.4968529</v>
      </c>
      <c r="E153">
        <v>-25.42840958</v>
      </c>
      <c r="G153">
        <v>5379179936.908474</v>
      </c>
      <c r="H153">
        <v>-25.385162350000002</v>
      </c>
    </row>
    <row r="154" spans="1:8">
      <c r="A154">
        <v>5379181635.2201233</v>
      </c>
      <c r="B154">
        <v>-26.964176179999999</v>
      </c>
      <c r="D154">
        <v>5379181635.2201233</v>
      </c>
      <c r="E154">
        <v>-27.019737240000001</v>
      </c>
      <c r="G154">
        <v>5379182460.5677795</v>
      </c>
      <c r="H154">
        <v>-27.03055573</v>
      </c>
    </row>
    <row r="155" spans="1:8">
      <c r="A155">
        <v>5379184150.9433937</v>
      </c>
      <c r="B155">
        <v>-26.9670372</v>
      </c>
      <c r="D155">
        <v>5379184150.9433937</v>
      </c>
      <c r="E155">
        <v>-27.022117609999999</v>
      </c>
      <c r="G155">
        <v>5379184984.2270851</v>
      </c>
      <c r="H155">
        <v>-26.926612850000001</v>
      </c>
    </row>
    <row r="156" spans="1:8">
      <c r="A156">
        <v>5379186666.6666641</v>
      </c>
      <c r="B156">
        <v>-25.91683197</v>
      </c>
      <c r="D156">
        <v>5379186666.6666641</v>
      </c>
      <c r="E156">
        <v>-25.955505370000001</v>
      </c>
      <c r="G156">
        <v>5379187507.8863907</v>
      </c>
      <c r="H156">
        <v>-25.944412230000001</v>
      </c>
    </row>
    <row r="157" spans="1:8">
      <c r="A157">
        <v>5379189182.3899345</v>
      </c>
      <c r="B157">
        <v>-26.16676331</v>
      </c>
      <c r="D157">
        <v>5379189182.3899345</v>
      </c>
      <c r="E157">
        <v>-26.206565860000001</v>
      </c>
      <c r="G157">
        <v>5379190031.5456963</v>
      </c>
      <c r="H157">
        <v>-26.183460239999999</v>
      </c>
    </row>
    <row r="158" spans="1:8">
      <c r="A158">
        <v>5379191698.113205</v>
      </c>
      <c r="B158">
        <v>-25.885978699999999</v>
      </c>
      <c r="D158">
        <v>5379191698.113205</v>
      </c>
      <c r="E158">
        <v>-25.921138760000002</v>
      </c>
      <c r="G158">
        <v>5379192555.2050018</v>
      </c>
      <c r="H158">
        <v>-25.909423830000001</v>
      </c>
    </row>
    <row r="159" spans="1:8">
      <c r="A159">
        <v>5379194213.8364754</v>
      </c>
      <c r="B159">
        <v>-25.979846949999999</v>
      </c>
      <c r="D159">
        <v>5379194213.8364754</v>
      </c>
      <c r="E159">
        <v>-26.027427670000002</v>
      </c>
      <c r="G159">
        <v>5379195078.8643074</v>
      </c>
      <c r="H159">
        <v>-25.986164089999999</v>
      </c>
    </row>
    <row r="160" spans="1:8">
      <c r="A160">
        <v>5379196729.5597458</v>
      </c>
      <c r="B160">
        <v>-26.201187130000001</v>
      </c>
      <c r="D160">
        <v>5379196729.5597458</v>
      </c>
      <c r="E160">
        <v>-26.21935272</v>
      </c>
      <c r="G160">
        <v>5379197602.523613</v>
      </c>
      <c r="H160">
        <v>-26.178092960000001</v>
      </c>
    </row>
    <row r="161" spans="1:8">
      <c r="A161">
        <v>5379199245.2830162</v>
      </c>
      <c r="B161">
        <v>-26.52220917</v>
      </c>
      <c r="D161">
        <v>5379199245.2830162</v>
      </c>
      <c r="E161">
        <v>-26.492851259999998</v>
      </c>
      <c r="G161">
        <v>5379200126.1829185</v>
      </c>
      <c r="H161">
        <v>-26.528400420000001</v>
      </c>
    </row>
    <row r="162" spans="1:8">
      <c r="A162">
        <v>5379201761.0062866</v>
      </c>
      <c r="B162">
        <v>-26.687747959999999</v>
      </c>
      <c r="D162">
        <v>5379201761.0062866</v>
      </c>
      <c r="E162">
        <v>-26.668373110000001</v>
      </c>
      <c r="G162">
        <v>5379202649.8422241</v>
      </c>
      <c r="H162">
        <v>-26.61566925</v>
      </c>
    </row>
    <row r="163" spans="1:8">
      <c r="A163">
        <v>5379204276.729557</v>
      </c>
      <c r="B163">
        <v>-26.276527399999999</v>
      </c>
      <c r="D163">
        <v>5379204276.729557</v>
      </c>
      <c r="E163">
        <v>-26.246921539999999</v>
      </c>
      <c r="G163">
        <v>5379205173.5015297</v>
      </c>
      <c r="H163">
        <v>-26.235515589999999</v>
      </c>
    </row>
    <row r="164" spans="1:8">
      <c r="A164">
        <v>5379206792.4528275</v>
      </c>
      <c r="B164">
        <v>-27.026947020000001</v>
      </c>
      <c r="D164">
        <v>5379206792.4528275</v>
      </c>
      <c r="E164">
        <v>-27.003791809999999</v>
      </c>
      <c r="G164">
        <v>5379207697.1608353</v>
      </c>
      <c r="H164">
        <v>-26.992317199999999</v>
      </c>
    </row>
    <row r="165" spans="1:8">
      <c r="A165">
        <v>5379209308.1760979</v>
      </c>
      <c r="B165">
        <v>-26.514041899999999</v>
      </c>
      <c r="D165">
        <v>5379209308.1760979</v>
      </c>
      <c r="E165">
        <v>-26.463768009999999</v>
      </c>
      <c r="G165">
        <v>5379210220.8201408</v>
      </c>
      <c r="H165">
        <v>-26.48758698</v>
      </c>
    </row>
    <row r="166" spans="1:8">
      <c r="A166">
        <v>5379211823.8993683</v>
      </c>
      <c r="B166">
        <v>-27.64369202</v>
      </c>
      <c r="D166">
        <v>5379211823.8993683</v>
      </c>
      <c r="E166">
        <v>-27.596096039999999</v>
      </c>
      <c r="G166">
        <v>5379212744.4794464</v>
      </c>
      <c r="H166">
        <v>-27.62953186</v>
      </c>
    </row>
    <row r="167" spans="1:8">
      <c r="A167">
        <v>5379214339.6226387</v>
      </c>
      <c r="B167">
        <v>-26.032207490000001</v>
      </c>
      <c r="D167">
        <v>5379214339.6226387</v>
      </c>
      <c r="E167">
        <v>-26.006259920000002</v>
      </c>
      <c r="G167">
        <v>5379215268.138752</v>
      </c>
      <c r="H167">
        <v>-26.041290279999998</v>
      </c>
    </row>
    <row r="168" spans="1:8">
      <c r="A168">
        <v>5379216855.3459091</v>
      </c>
      <c r="B168">
        <v>-25.1875</v>
      </c>
      <c r="D168">
        <v>5379216855.3459091</v>
      </c>
      <c r="E168">
        <v>-25.157569890000001</v>
      </c>
      <c r="G168">
        <v>5379217791.7980576</v>
      </c>
      <c r="H168">
        <v>-25.199851989999999</v>
      </c>
    </row>
    <row r="169" spans="1:8">
      <c r="A169">
        <v>5379219371.0691795</v>
      </c>
      <c r="B169">
        <v>-25.641765589999999</v>
      </c>
      <c r="D169">
        <v>5379219371.0691795</v>
      </c>
      <c r="E169">
        <v>-25.610111239999998</v>
      </c>
      <c r="G169">
        <v>5379220315.4573631</v>
      </c>
      <c r="H169">
        <v>-25.62613297</v>
      </c>
    </row>
    <row r="170" spans="1:8">
      <c r="A170">
        <v>5379221886.79245</v>
      </c>
      <c r="B170">
        <v>-25.636928560000001</v>
      </c>
      <c r="D170">
        <v>5379221886.79245</v>
      </c>
      <c r="E170">
        <v>-25.60139465</v>
      </c>
      <c r="G170">
        <v>5379222839.1166687</v>
      </c>
      <c r="H170">
        <v>-25.649879460000001</v>
      </c>
    </row>
    <row r="171" spans="1:8">
      <c r="A171">
        <v>5379224402.5157204</v>
      </c>
      <c r="B171">
        <v>-26.40552521</v>
      </c>
      <c r="D171">
        <v>5379224402.5157204</v>
      </c>
      <c r="E171">
        <v>-26.3841629</v>
      </c>
      <c r="G171">
        <v>5379225362.7759743</v>
      </c>
      <c r="H171">
        <v>-26.446125030000001</v>
      </c>
    </row>
    <row r="172" spans="1:8">
      <c r="A172">
        <v>5379226918.2389908</v>
      </c>
      <c r="B172">
        <v>-25.536563869999998</v>
      </c>
      <c r="D172">
        <v>5379226918.2389908</v>
      </c>
      <c r="E172">
        <v>-25.529628750000001</v>
      </c>
      <c r="G172">
        <v>5379227886.4352798</v>
      </c>
      <c r="H172">
        <v>-25.523643490000001</v>
      </c>
    </row>
    <row r="173" spans="1:8">
      <c r="A173">
        <v>5379229433.9622612</v>
      </c>
      <c r="B173">
        <v>-25.90220261</v>
      </c>
      <c r="D173">
        <v>5379229433.9622612</v>
      </c>
      <c r="E173">
        <v>-25.899230960000001</v>
      </c>
      <c r="G173">
        <v>5379230410.0945854</v>
      </c>
      <c r="H173">
        <v>-25.931106570000001</v>
      </c>
    </row>
    <row r="174" spans="1:8">
      <c r="A174">
        <v>5379231949.6855316</v>
      </c>
      <c r="B174">
        <v>-26.078170780000001</v>
      </c>
      <c r="D174">
        <v>5379231949.6855316</v>
      </c>
      <c r="E174">
        <v>-25.939846039999999</v>
      </c>
      <c r="G174">
        <v>5379232933.753891</v>
      </c>
      <c r="H174">
        <v>-26.03322601</v>
      </c>
    </row>
    <row r="175" spans="1:8">
      <c r="A175">
        <v>5379234465.408802</v>
      </c>
      <c r="B175">
        <v>-26.362426760000002</v>
      </c>
      <c r="D175">
        <v>5379234465.408802</v>
      </c>
      <c r="E175">
        <v>-26.225635530000002</v>
      </c>
      <c r="G175">
        <v>5379235457.4131966</v>
      </c>
      <c r="H175">
        <v>-26.322853089999999</v>
      </c>
    </row>
    <row r="176" spans="1:8">
      <c r="A176">
        <v>5379236981.1320724</v>
      </c>
      <c r="B176">
        <v>-25.808902740000001</v>
      </c>
      <c r="D176">
        <v>5379236981.1320724</v>
      </c>
      <c r="E176">
        <v>-25.680427550000001</v>
      </c>
      <c r="G176">
        <v>5379237981.0725021</v>
      </c>
      <c r="H176">
        <v>-25.780494690000001</v>
      </c>
    </row>
    <row r="177" spans="1:8">
      <c r="A177">
        <v>5379239496.8553429</v>
      </c>
      <c r="B177">
        <v>-26.133842470000001</v>
      </c>
      <c r="D177">
        <v>5379239496.8553429</v>
      </c>
      <c r="E177">
        <v>-26.023883820000002</v>
      </c>
      <c r="G177">
        <v>5379240504.7318077</v>
      </c>
      <c r="H177">
        <v>-26.109001159999998</v>
      </c>
    </row>
    <row r="178" spans="1:8">
      <c r="A178">
        <v>5379242012.5786133</v>
      </c>
      <c r="B178">
        <v>-26.234996800000001</v>
      </c>
      <c r="D178">
        <v>5379242012.5786133</v>
      </c>
      <c r="E178">
        <v>-26.10906219</v>
      </c>
      <c r="G178">
        <v>5379243028.3911133</v>
      </c>
      <c r="H178">
        <v>-26.23560333</v>
      </c>
    </row>
    <row r="179" spans="1:8">
      <c r="A179">
        <v>5379244528.3018837</v>
      </c>
      <c r="B179">
        <v>-25.64766693</v>
      </c>
      <c r="D179">
        <v>5379244528.3018837</v>
      </c>
      <c r="E179">
        <v>-25.540836330000001</v>
      </c>
      <c r="G179">
        <v>5379245552.0504189</v>
      </c>
      <c r="H179">
        <v>-25.614337920000001</v>
      </c>
    </row>
    <row r="180" spans="1:8">
      <c r="A180">
        <v>5379247044.0251541</v>
      </c>
      <c r="B180">
        <v>-26.676017760000001</v>
      </c>
      <c r="D180">
        <v>5379247044.0251541</v>
      </c>
      <c r="E180">
        <v>-26.550556180000001</v>
      </c>
      <c r="G180">
        <v>5379248075.7097244</v>
      </c>
      <c r="H180">
        <v>-26.69724274</v>
      </c>
    </row>
    <row r="181" spans="1:8">
      <c r="A181">
        <v>5379249559.7484245</v>
      </c>
      <c r="B181">
        <v>-25.409084320000002</v>
      </c>
      <c r="D181">
        <v>5379249559.7484245</v>
      </c>
      <c r="E181">
        <v>-25.32238388</v>
      </c>
      <c r="G181">
        <v>5379250599.36903</v>
      </c>
      <c r="H181">
        <v>-25.357887269999999</v>
      </c>
    </row>
    <row r="182" spans="1:8">
      <c r="A182">
        <v>5379252075.4716949</v>
      </c>
      <c r="B182">
        <v>-26.428997039999999</v>
      </c>
      <c r="D182">
        <v>5379252075.4716949</v>
      </c>
      <c r="E182">
        <v>-26.343761440000002</v>
      </c>
      <c r="G182">
        <v>5379253123.0283356</v>
      </c>
      <c r="H182">
        <v>-26.437229160000001</v>
      </c>
    </row>
    <row r="183" spans="1:8">
      <c r="A183">
        <v>5379254591.1949654</v>
      </c>
      <c r="B183">
        <v>-26.417869570000001</v>
      </c>
      <c r="D183">
        <v>5379254591.1949654</v>
      </c>
      <c r="E183">
        <v>-26.349342350000001</v>
      </c>
      <c r="G183">
        <v>5379255646.6876411</v>
      </c>
      <c r="H183">
        <v>-26.406578060000001</v>
      </c>
    </row>
    <row r="184" spans="1:8">
      <c r="A184">
        <v>5379257106.9182358</v>
      </c>
      <c r="B184">
        <v>-26.033134459999999</v>
      </c>
      <c r="D184">
        <v>5379257106.9182358</v>
      </c>
      <c r="E184">
        <v>-25.955509190000001</v>
      </c>
      <c r="G184">
        <v>5379258170.3469467</v>
      </c>
      <c r="H184">
        <v>-26.026363369999999</v>
      </c>
    </row>
    <row r="185" spans="1:8">
      <c r="A185">
        <v>5379259622.6415062</v>
      </c>
      <c r="B185">
        <v>-25.978870390000001</v>
      </c>
      <c r="D185">
        <v>5379259622.6415062</v>
      </c>
      <c r="E185">
        <v>-25.913658139999999</v>
      </c>
      <c r="G185">
        <v>5379260694.0062523</v>
      </c>
      <c r="H185">
        <v>-25.937793729999999</v>
      </c>
    </row>
    <row r="186" spans="1:8">
      <c r="A186">
        <v>5379262138.3647766</v>
      </c>
      <c r="B186">
        <v>-26.057601930000001</v>
      </c>
      <c r="D186">
        <v>5379262138.3647766</v>
      </c>
      <c r="E186">
        <v>-25.981101989999999</v>
      </c>
      <c r="G186">
        <v>5379263217.6655579</v>
      </c>
      <c r="H186">
        <v>-26.092411040000002</v>
      </c>
    </row>
    <row r="187" spans="1:8">
      <c r="A187">
        <v>5379264654.088047</v>
      </c>
      <c r="B187">
        <v>-26.005924220000001</v>
      </c>
      <c r="D187">
        <v>5379264654.088047</v>
      </c>
      <c r="E187">
        <v>-25.955257419999999</v>
      </c>
      <c r="G187">
        <v>5379265741.3248634</v>
      </c>
      <c r="H187">
        <v>-25.967914579999999</v>
      </c>
    </row>
    <row r="188" spans="1:8">
      <c r="A188">
        <v>5379267169.8113174</v>
      </c>
      <c r="B188">
        <v>-26.573753360000001</v>
      </c>
      <c r="D188">
        <v>5379267169.8113174</v>
      </c>
      <c r="E188">
        <v>-26.509178160000001</v>
      </c>
      <c r="G188">
        <v>5379268264.984169</v>
      </c>
      <c r="H188">
        <v>-26.625488279999999</v>
      </c>
    </row>
    <row r="189" spans="1:8">
      <c r="A189">
        <v>5379269685.5345879</v>
      </c>
      <c r="B189">
        <v>-25.694675449999998</v>
      </c>
      <c r="D189">
        <v>5379269685.5345879</v>
      </c>
      <c r="E189">
        <v>-25.6308136</v>
      </c>
      <c r="G189">
        <v>5379270788.6434746</v>
      </c>
      <c r="H189">
        <v>-25.62121964</v>
      </c>
    </row>
    <row r="190" spans="1:8">
      <c r="A190">
        <v>5379272201.2578583</v>
      </c>
      <c r="B190">
        <v>-25.226905819999999</v>
      </c>
      <c r="D190">
        <v>5379272201.2578583</v>
      </c>
      <c r="E190">
        <v>-25.15362167</v>
      </c>
      <c r="G190">
        <v>5379273312.3027802</v>
      </c>
      <c r="H190">
        <v>-25.234367370000001</v>
      </c>
    </row>
    <row r="191" spans="1:8">
      <c r="A191">
        <v>5379274716.9811287</v>
      </c>
      <c r="B191">
        <v>-26.77208328</v>
      </c>
      <c r="D191">
        <v>5379274716.9811287</v>
      </c>
      <c r="E191">
        <v>-26.700382229999999</v>
      </c>
      <c r="G191">
        <v>5379275835.9620857</v>
      </c>
      <c r="H191">
        <v>-26.832477570000002</v>
      </c>
    </row>
    <row r="192" spans="1:8">
      <c r="A192">
        <v>5379277232.7043991</v>
      </c>
      <c r="B192">
        <v>-25.730308529999999</v>
      </c>
      <c r="D192">
        <v>5379277232.7043991</v>
      </c>
      <c r="E192">
        <v>-25.65983963</v>
      </c>
      <c r="G192">
        <v>5379278359.6213913</v>
      </c>
      <c r="H192">
        <v>-25.683055880000001</v>
      </c>
    </row>
    <row r="193" spans="1:8">
      <c r="A193">
        <v>5379279748.4276695</v>
      </c>
      <c r="B193">
        <v>-25.39961624</v>
      </c>
      <c r="D193">
        <v>5379279748.4276695</v>
      </c>
      <c r="E193">
        <v>-25.347610469999999</v>
      </c>
      <c r="G193">
        <v>5379280883.2806969</v>
      </c>
      <c r="H193">
        <v>-25.415336610000001</v>
      </c>
    </row>
    <row r="194" spans="1:8">
      <c r="A194">
        <v>5379282264.1509399</v>
      </c>
      <c r="B194">
        <v>-26.324790950000001</v>
      </c>
      <c r="D194">
        <v>5379282264.1509399</v>
      </c>
      <c r="E194">
        <v>-26.24923325</v>
      </c>
      <c r="G194">
        <v>5379283406.9400024</v>
      </c>
      <c r="H194">
        <v>-26.34960938</v>
      </c>
    </row>
    <row r="195" spans="1:8">
      <c r="A195">
        <v>5379284779.8742104</v>
      </c>
      <c r="B195">
        <v>-26.436019900000002</v>
      </c>
      <c r="D195">
        <v>5379284779.8742104</v>
      </c>
      <c r="E195">
        <v>-26.346954350000001</v>
      </c>
      <c r="G195">
        <v>5379285930.599308</v>
      </c>
      <c r="H195">
        <v>-26.4048996</v>
      </c>
    </row>
    <row r="196" spans="1:8">
      <c r="A196">
        <v>5379287295.5974808</v>
      </c>
      <c r="B196">
        <v>-25.539093019999999</v>
      </c>
      <c r="D196">
        <v>5379287295.5974808</v>
      </c>
      <c r="E196">
        <v>-25.476459500000001</v>
      </c>
      <c r="G196">
        <v>5379288454.2586136</v>
      </c>
      <c r="H196">
        <v>-25.593116760000001</v>
      </c>
    </row>
    <row r="197" spans="1:8">
      <c r="A197">
        <v>5379289811.3207512</v>
      </c>
      <c r="B197">
        <v>-25.696353909999999</v>
      </c>
      <c r="D197">
        <v>5379289811.3207512</v>
      </c>
      <c r="E197">
        <v>-25.639770510000002</v>
      </c>
      <c r="G197">
        <v>5379290977.9179192</v>
      </c>
      <c r="H197">
        <v>-25.67221451</v>
      </c>
    </row>
    <row r="198" spans="1:8">
      <c r="A198">
        <v>5379292327.0440216</v>
      </c>
      <c r="B198">
        <v>-25.373497010000001</v>
      </c>
      <c r="D198">
        <v>5379292327.0440216</v>
      </c>
      <c r="E198">
        <v>-25.321548459999999</v>
      </c>
      <c r="G198">
        <v>5379293501.5772247</v>
      </c>
      <c r="H198">
        <v>-25.35540009</v>
      </c>
    </row>
    <row r="199" spans="1:8">
      <c r="A199">
        <v>5379294842.767292</v>
      </c>
      <c r="B199">
        <v>-27.257244109999998</v>
      </c>
      <c r="D199">
        <v>5379294842.767292</v>
      </c>
      <c r="E199">
        <v>-27.186202999999999</v>
      </c>
      <c r="G199">
        <v>5379296025.2365303</v>
      </c>
      <c r="H199">
        <v>-27.249629970000001</v>
      </c>
    </row>
    <row r="200" spans="1:8">
      <c r="A200">
        <v>5379297358.4905624</v>
      </c>
      <c r="B200">
        <v>-26.163658139999999</v>
      </c>
      <c r="D200">
        <v>5379297358.4905624</v>
      </c>
      <c r="E200">
        <v>-26.096195219999998</v>
      </c>
      <c r="G200">
        <v>5379298548.8958359</v>
      </c>
      <c r="H200">
        <v>-26.158222200000001</v>
      </c>
    </row>
    <row r="201" spans="1:8">
      <c r="A201">
        <v>5379299874.2138329</v>
      </c>
      <c r="B201">
        <v>-25.534324649999999</v>
      </c>
      <c r="D201">
        <v>5379299874.2138329</v>
      </c>
      <c r="E201">
        <v>-25.455513</v>
      </c>
      <c r="G201">
        <v>5379301072.5551414</v>
      </c>
      <c r="H201">
        <v>-25.501579280000001</v>
      </c>
    </row>
    <row r="202" spans="1:8">
      <c r="A202">
        <v>5379302389.9371033</v>
      </c>
      <c r="B202">
        <v>-26.361141199999999</v>
      </c>
      <c r="D202">
        <v>5379302389.9371033</v>
      </c>
      <c r="E202">
        <v>-26.273227689999999</v>
      </c>
      <c r="G202">
        <v>5379303596.214447</v>
      </c>
      <c r="H202">
        <v>-26.342433929999999</v>
      </c>
    </row>
    <row r="203" spans="1:8">
      <c r="A203">
        <v>5379304905.6603737</v>
      </c>
      <c r="B203">
        <v>-25.959400179999999</v>
      </c>
      <c r="D203">
        <v>5379304905.6603737</v>
      </c>
      <c r="E203">
        <v>-25.859195710000002</v>
      </c>
      <c r="G203">
        <v>5379306119.8737526</v>
      </c>
      <c r="H203">
        <v>-25.913440699999999</v>
      </c>
    </row>
    <row r="204" spans="1:8">
      <c r="A204">
        <v>5379307421.3836441</v>
      </c>
      <c r="B204">
        <v>-25.47196198</v>
      </c>
      <c r="D204">
        <v>5379307421.3836441</v>
      </c>
      <c r="E204">
        <v>-25.361370090000001</v>
      </c>
      <c r="G204">
        <v>5379308643.5330582</v>
      </c>
      <c r="H204">
        <v>-25.395320890000001</v>
      </c>
    </row>
    <row r="205" spans="1:8">
      <c r="A205">
        <v>5379309937.1069145</v>
      </c>
      <c r="B205">
        <v>-26.211669919999999</v>
      </c>
      <c r="D205">
        <v>5379309937.1069145</v>
      </c>
      <c r="E205">
        <v>-26.095352170000002</v>
      </c>
      <c r="G205">
        <v>5379311167.1923637</v>
      </c>
      <c r="H205">
        <v>-26.187458039999999</v>
      </c>
    </row>
    <row r="206" spans="1:8">
      <c r="A206">
        <v>5379312452.8301849</v>
      </c>
      <c r="B206">
        <v>-26.391746520000002</v>
      </c>
      <c r="D206">
        <v>5379312452.8301849</v>
      </c>
      <c r="E206">
        <v>-26.265148159999999</v>
      </c>
      <c r="G206">
        <v>5379313690.8516693</v>
      </c>
      <c r="H206">
        <v>-26.36309052</v>
      </c>
    </row>
    <row r="207" spans="1:8">
      <c r="A207">
        <v>5379314968.5534554</v>
      </c>
      <c r="B207">
        <v>-26.753173830000001</v>
      </c>
      <c r="D207">
        <v>5379314968.5534554</v>
      </c>
      <c r="E207">
        <v>-26.638805390000002</v>
      </c>
      <c r="G207">
        <v>5379316214.5109749</v>
      </c>
      <c r="H207">
        <v>-26.617359159999999</v>
      </c>
    </row>
    <row r="208" spans="1:8">
      <c r="A208">
        <v>5379317484.2767258</v>
      </c>
      <c r="B208">
        <v>-25.353279109999999</v>
      </c>
      <c r="D208">
        <v>5379317484.2767258</v>
      </c>
      <c r="E208">
        <v>-25.231323239999998</v>
      </c>
      <c r="G208">
        <v>5379318738.1702805</v>
      </c>
      <c r="H208">
        <v>-25.26073074</v>
      </c>
    </row>
    <row r="209" spans="1:8">
      <c r="A209">
        <v>5379319999.9999962</v>
      </c>
      <c r="B209">
        <v>-26.840866089999999</v>
      </c>
      <c r="D209">
        <v>5379319999.9999962</v>
      </c>
      <c r="E209">
        <v>-26.710685730000002</v>
      </c>
      <c r="G209">
        <v>5379321261.829586</v>
      </c>
      <c r="H209">
        <v>-26.759159090000001</v>
      </c>
    </row>
    <row r="210" spans="1:8">
      <c r="A210">
        <v>5379322515.7232666</v>
      </c>
      <c r="B210">
        <v>-26.432086940000001</v>
      </c>
      <c r="D210">
        <v>5379322515.7232666</v>
      </c>
      <c r="E210">
        <v>-26.314388279999999</v>
      </c>
      <c r="G210">
        <v>5379323785.4888916</v>
      </c>
      <c r="H210">
        <v>-26.437633510000001</v>
      </c>
    </row>
    <row r="211" spans="1:8">
      <c r="A211">
        <v>5379325031.446537</v>
      </c>
      <c r="B211">
        <v>-26.99939346</v>
      </c>
      <c r="D211">
        <v>5379325031.446537</v>
      </c>
      <c r="E211">
        <v>-26.89817047</v>
      </c>
      <c r="G211">
        <v>5379326309.1481972</v>
      </c>
      <c r="H211">
        <v>-26.898334500000001</v>
      </c>
    </row>
    <row r="212" spans="1:8">
      <c r="A212">
        <v>5379327547.1698074</v>
      </c>
      <c r="B212">
        <v>-26.144683839999999</v>
      </c>
      <c r="D212">
        <v>5379327547.1698074</v>
      </c>
      <c r="E212">
        <v>-26.03665161</v>
      </c>
      <c r="G212">
        <v>5379328832.8075027</v>
      </c>
      <c r="H212">
        <v>-26.091114040000001</v>
      </c>
    </row>
    <row r="213" spans="1:8">
      <c r="A213">
        <v>5379330062.8930779</v>
      </c>
      <c r="B213">
        <v>-25.713893890000001</v>
      </c>
      <c r="D213">
        <v>5379330062.8930779</v>
      </c>
      <c r="E213">
        <v>-25.597988130000001</v>
      </c>
      <c r="G213">
        <v>5379331356.4668083</v>
      </c>
      <c r="H213">
        <v>-25.65803528</v>
      </c>
    </row>
    <row r="214" spans="1:8">
      <c r="A214">
        <v>5379332578.6163483</v>
      </c>
      <c r="B214">
        <v>-25.087028499999999</v>
      </c>
      <c r="D214">
        <v>5379332578.6163483</v>
      </c>
      <c r="E214">
        <v>-24.934429170000001</v>
      </c>
      <c r="G214">
        <v>5379333880.1261139</v>
      </c>
      <c r="H214">
        <v>-25.021404270000001</v>
      </c>
    </row>
    <row r="215" spans="1:8">
      <c r="A215">
        <v>5379335094.3396187</v>
      </c>
      <c r="B215">
        <v>-25.905509949999999</v>
      </c>
      <c r="D215">
        <v>5379335094.3396187</v>
      </c>
      <c r="E215">
        <v>-25.762741089999999</v>
      </c>
      <c r="G215">
        <v>5379336403.7854195</v>
      </c>
      <c r="H215">
        <v>-25.830493929999999</v>
      </c>
    </row>
    <row r="216" spans="1:8">
      <c r="A216">
        <v>5379337610.0628891</v>
      </c>
      <c r="B216">
        <v>-25.618522639999998</v>
      </c>
      <c r="D216">
        <v>5379337610.0628891</v>
      </c>
      <c r="E216">
        <v>-25.500587459999998</v>
      </c>
      <c r="G216">
        <v>5379338927.444725</v>
      </c>
      <c r="H216">
        <v>-25.505744929999999</v>
      </c>
    </row>
    <row r="217" spans="1:8">
      <c r="A217">
        <v>5379340125.7861595</v>
      </c>
      <c r="B217">
        <v>-25.53014374</v>
      </c>
      <c r="D217">
        <v>5379340125.7861595</v>
      </c>
      <c r="E217">
        <v>-25.421787259999999</v>
      </c>
      <c r="G217">
        <v>5379341451.1040306</v>
      </c>
      <c r="H217">
        <v>-25.502082819999998</v>
      </c>
    </row>
    <row r="218" spans="1:8">
      <c r="A218">
        <v>5379342641.5094299</v>
      </c>
      <c r="B218">
        <v>-25.485977170000002</v>
      </c>
      <c r="D218">
        <v>5379342641.5094299</v>
      </c>
      <c r="E218">
        <v>-25.432769780000001</v>
      </c>
      <c r="G218">
        <v>5379343974.7633362</v>
      </c>
      <c r="H218">
        <v>-25.469562530000001</v>
      </c>
    </row>
    <row r="219" spans="1:8">
      <c r="A219">
        <v>5379345157.2327003</v>
      </c>
      <c r="B219">
        <v>-25.651287079999999</v>
      </c>
      <c r="D219">
        <v>5379345157.2327003</v>
      </c>
      <c r="E219">
        <v>-25.62049103</v>
      </c>
      <c r="G219">
        <v>5379346498.4226418</v>
      </c>
      <c r="H219">
        <v>-25.666709900000001</v>
      </c>
    </row>
    <row r="220" spans="1:8">
      <c r="A220">
        <v>5379347672.9559708</v>
      </c>
      <c r="B220">
        <v>-25.733673100000001</v>
      </c>
      <c r="D220">
        <v>5379347672.9559708</v>
      </c>
      <c r="E220">
        <v>-25.735618590000001</v>
      </c>
      <c r="G220">
        <v>5379349022.0819473</v>
      </c>
      <c r="H220">
        <v>-25.68346786</v>
      </c>
    </row>
    <row r="221" spans="1:8">
      <c r="A221">
        <v>5379350188.6792412</v>
      </c>
      <c r="B221">
        <v>-25.366256709999998</v>
      </c>
      <c r="D221">
        <v>5379350188.6792412</v>
      </c>
      <c r="E221">
        <v>-25.358173369999999</v>
      </c>
      <c r="G221">
        <v>5379351545.7412529</v>
      </c>
      <c r="H221">
        <v>-25.313865660000001</v>
      </c>
    </row>
    <row r="222" spans="1:8">
      <c r="A222">
        <v>5379352704.4025116</v>
      </c>
      <c r="B222">
        <v>-26.017967219999999</v>
      </c>
      <c r="D222">
        <v>5379352704.4025116</v>
      </c>
      <c r="E222">
        <v>-25.992027279999999</v>
      </c>
      <c r="G222">
        <v>5379354069.4005585</v>
      </c>
      <c r="H222">
        <v>-25.996398930000002</v>
      </c>
    </row>
    <row r="223" spans="1:8">
      <c r="A223">
        <v>5379355220.125782</v>
      </c>
      <c r="B223">
        <v>-25.981784820000001</v>
      </c>
      <c r="D223">
        <v>5379355220.125782</v>
      </c>
      <c r="E223">
        <v>-25.973224640000002</v>
      </c>
      <c r="G223">
        <v>5379356593.059864</v>
      </c>
      <c r="H223">
        <v>-25.983276369999999</v>
      </c>
    </row>
    <row r="224" spans="1:8">
      <c r="A224">
        <v>5379357735.8490524</v>
      </c>
      <c r="B224">
        <v>-25.92163086</v>
      </c>
      <c r="D224">
        <v>5379357735.8490524</v>
      </c>
      <c r="E224">
        <v>-25.907669070000001</v>
      </c>
      <c r="G224">
        <v>5379359116.7191696</v>
      </c>
      <c r="H224">
        <v>-25.89472198</v>
      </c>
    </row>
    <row r="225" spans="1:8">
      <c r="A225">
        <v>5379360251.5723228</v>
      </c>
      <c r="B225">
        <v>-25.736480709999999</v>
      </c>
      <c r="D225">
        <v>5379360251.5723228</v>
      </c>
      <c r="E225">
        <v>-25.725326540000001</v>
      </c>
      <c r="G225">
        <v>5379361640.3784752</v>
      </c>
      <c r="H225">
        <v>-25.644668580000001</v>
      </c>
    </row>
    <row r="226" spans="1:8">
      <c r="A226">
        <v>5379362767.2955933</v>
      </c>
      <c r="B226">
        <v>-24.940238950000001</v>
      </c>
      <c r="D226">
        <v>5379362767.2955933</v>
      </c>
      <c r="E226">
        <v>-24.929103850000001</v>
      </c>
      <c r="G226">
        <v>5379364164.0377808</v>
      </c>
      <c r="H226">
        <v>-24.954414369999999</v>
      </c>
    </row>
    <row r="227" spans="1:8">
      <c r="A227">
        <v>5379365283.0188637</v>
      </c>
      <c r="B227">
        <v>-26.039806370000001</v>
      </c>
      <c r="D227">
        <v>5379365283.0188637</v>
      </c>
      <c r="E227">
        <v>-26.025306700000002</v>
      </c>
      <c r="G227">
        <v>5379366687.6970863</v>
      </c>
      <c r="H227">
        <v>-25.965415950000001</v>
      </c>
    </row>
    <row r="228" spans="1:8">
      <c r="A228">
        <v>5379367798.7421341</v>
      </c>
      <c r="B228">
        <v>-26.218166350000001</v>
      </c>
      <c r="D228">
        <v>5379367798.7421341</v>
      </c>
      <c r="E228">
        <v>-26.20767975</v>
      </c>
      <c r="G228">
        <v>5379369211.3563919</v>
      </c>
      <c r="H228">
        <v>-26.174114230000001</v>
      </c>
    </row>
    <row r="229" spans="1:8">
      <c r="A229">
        <v>5379370314.4654045</v>
      </c>
      <c r="B229">
        <v>-25.89294434</v>
      </c>
      <c r="D229">
        <v>5379370314.4654045</v>
      </c>
      <c r="E229">
        <v>-25.888530729999999</v>
      </c>
      <c r="G229">
        <v>5379371735.0156975</v>
      </c>
      <c r="H229">
        <v>-25.873558039999999</v>
      </c>
    </row>
    <row r="230" spans="1:8">
      <c r="A230">
        <v>5379372830.1886749</v>
      </c>
      <c r="B230">
        <v>-25.45124817</v>
      </c>
      <c r="D230">
        <v>5379372830.1886749</v>
      </c>
      <c r="E230">
        <v>-25.446056370000001</v>
      </c>
      <c r="G230">
        <v>5379374258.6750031</v>
      </c>
      <c r="H230">
        <v>-25.410663599999999</v>
      </c>
    </row>
    <row r="231" spans="1:8">
      <c r="A231">
        <v>5379375345.9119453</v>
      </c>
      <c r="B231">
        <v>-25.751117709999999</v>
      </c>
      <c r="D231">
        <v>5379375345.9119453</v>
      </c>
      <c r="E231">
        <v>-25.748161320000001</v>
      </c>
      <c r="G231">
        <v>5379376782.3343086</v>
      </c>
      <c r="H231">
        <v>-25.709884639999999</v>
      </c>
    </row>
    <row r="232" spans="1:8">
      <c r="A232">
        <v>5379377861.6352158</v>
      </c>
      <c r="B232">
        <v>-25.938419339999999</v>
      </c>
      <c r="D232">
        <v>5379377861.6352158</v>
      </c>
      <c r="E232">
        <v>-25.934745790000001</v>
      </c>
      <c r="G232">
        <v>5379379305.9936142</v>
      </c>
      <c r="H232">
        <v>-25.93386078</v>
      </c>
    </row>
    <row r="233" spans="1:8">
      <c r="A233">
        <v>5379380377.3584862</v>
      </c>
      <c r="B233">
        <v>-26.23316956</v>
      </c>
      <c r="D233">
        <v>5379380377.3584862</v>
      </c>
      <c r="E233">
        <v>-26.237682339999999</v>
      </c>
      <c r="G233">
        <v>5379381829.6529198</v>
      </c>
      <c r="H233">
        <v>-26.166404719999999</v>
      </c>
    </row>
    <row r="234" spans="1:8">
      <c r="A234">
        <v>5379382893.0817566</v>
      </c>
      <c r="B234">
        <v>-25.732383729999999</v>
      </c>
      <c r="D234">
        <v>5379382893.0817566</v>
      </c>
      <c r="E234">
        <v>-25.730304719999999</v>
      </c>
      <c r="G234">
        <v>5379384353.3122253</v>
      </c>
      <c r="H234">
        <v>-25.750549320000001</v>
      </c>
    </row>
    <row r="235" spans="1:8">
      <c r="A235">
        <v>5379385408.805027</v>
      </c>
      <c r="B235">
        <v>-25.032951350000001</v>
      </c>
      <c r="D235">
        <v>5379385408.805027</v>
      </c>
      <c r="E235">
        <v>-25.038200379999999</v>
      </c>
      <c r="G235">
        <v>5379386876.9715309</v>
      </c>
      <c r="H235">
        <v>-24.997596739999999</v>
      </c>
    </row>
    <row r="236" spans="1:8">
      <c r="A236">
        <v>5379387924.5282974</v>
      </c>
      <c r="B236">
        <v>-26.072624210000001</v>
      </c>
      <c r="D236">
        <v>5379387924.5282974</v>
      </c>
      <c r="E236">
        <v>-26.096290589999999</v>
      </c>
      <c r="G236">
        <v>5379389400.6308365</v>
      </c>
      <c r="H236">
        <v>-25.995883939999999</v>
      </c>
    </row>
    <row r="237" spans="1:8">
      <c r="A237">
        <v>5379390440.2515678</v>
      </c>
      <c r="B237">
        <v>-25.10657501</v>
      </c>
      <c r="D237">
        <v>5379390440.2515678</v>
      </c>
      <c r="E237">
        <v>-25.117145539999999</v>
      </c>
      <c r="G237">
        <v>5379391924.2901421</v>
      </c>
      <c r="H237">
        <v>-25.10120392</v>
      </c>
    </row>
    <row r="238" spans="1:8">
      <c r="A238">
        <v>5379392955.9748383</v>
      </c>
      <c r="B238">
        <v>-25.887382509999998</v>
      </c>
      <c r="D238">
        <v>5379392955.9748383</v>
      </c>
      <c r="E238">
        <v>-25.90109253</v>
      </c>
      <c r="G238">
        <v>5379394447.9494476</v>
      </c>
      <c r="H238">
        <v>-25.824333190000001</v>
      </c>
    </row>
    <row r="239" spans="1:8">
      <c r="A239">
        <v>5379395471.6981087</v>
      </c>
      <c r="B239">
        <v>-25.461414340000001</v>
      </c>
      <c r="D239">
        <v>5379395471.6981087</v>
      </c>
      <c r="E239">
        <v>-25.49848175</v>
      </c>
      <c r="G239">
        <v>5379396971.6087532</v>
      </c>
      <c r="H239">
        <v>-25.450992580000001</v>
      </c>
    </row>
    <row r="240" spans="1:8">
      <c r="A240">
        <v>5379397987.4213791</v>
      </c>
      <c r="B240">
        <v>-26.221527099999999</v>
      </c>
      <c r="D240">
        <v>5379397987.4213791</v>
      </c>
      <c r="E240">
        <v>-26.224689479999999</v>
      </c>
      <c r="G240">
        <v>5379399495.2680588</v>
      </c>
      <c r="H240">
        <v>-26.149372100000001</v>
      </c>
    </row>
    <row r="241" spans="1:8">
      <c r="A241">
        <v>5379400503.1446495</v>
      </c>
      <c r="B241">
        <v>-25.683078770000002</v>
      </c>
      <c r="D241">
        <v>5379400503.1446495</v>
      </c>
      <c r="E241">
        <v>-25.683055880000001</v>
      </c>
      <c r="G241">
        <v>5379402018.9273643</v>
      </c>
      <c r="H241">
        <v>-25.654350279999999</v>
      </c>
    </row>
    <row r="242" spans="1:8">
      <c r="A242">
        <v>5379403018.8679199</v>
      </c>
      <c r="B242">
        <v>-24.935340879999998</v>
      </c>
      <c r="D242">
        <v>5379403018.8679199</v>
      </c>
      <c r="E242">
        <v>-24.92974091</v>
      </c>
      <c r="G242">
        <v>5379404542.5866699</v>
      </c>
      <c r="H242">
        <v>-24.904624940000001</v>
      </c>
    </row>
    <row r="243" spans="1:8">
      <c r="A243">
        <v>5379405534.5911903</v>
      </c>
      <c r="B243">
        <v>-25.55782318</v>
      </c>
      <c r="D243">
        <v>5379405534.5911903</v>
      </c>
      <c r="E243">
        <v>-25.574089050000001</v>
      </c>
      <c r="G243">
        <v>5379407066.2459755</v>
      </c>
      <c r="H243">
        <v>-25.62348175</v>
      </c>
    </row>
    <row r="244" spans="1:8">
      <c r="A244">
        <v>5379408050.3144608</v>
      </c>
      <c r="B244">
        <v>-26.235866550000001</v>
      </c>
      <c r="D244">
        <v>5379408050.3144608</v>
      </c>
      <c r="E244">
        <v>-26.242485049999999</v>
      </c>
      <c r="G244">
        <v>5379409589.9052811</v>
      </c>
      <c r="H244">
        <v>-26.19526291</v>
      </c>
    </row>
    <row r="245" spans="1:8">
      <c r="A245">
        <v>5379410566.0377312</v>
      </c>
      <c r="B245">
        <v>-25.62321472</v>
      </c>
      <c r="D245">
        <v>5379410566.0377312</v>
      </c>
      <c r="E245">
        <v>-25.645145419999999</v>
      </c>
      <c r="G245">
        <v>5379412113.5645866</v>
      </c>
      <c r="H245">
        <v>-25.58301926</v>
      </c>
    </row>
    <row r="246" spans="1:8">
      <c r="A246">
        <v>5379413081.7610016</v>
      </c>
      <c r="B246">
        <v>-26.059032439999999</v>
      </c>
      <c r="D246">
        <v>5379413081.7610016</v>
      </c>
      <c r="E246">
        <v>-26.09355927</v>
      </c>
      <c r="G246">
        <v>5379414637.2238922</v>
      </c>
      <c r="H246">
        <v>-26.075096129999999</v>
      </c>
    </row>
    <row r="247" spans="1:8">
      <c r="A247">
        <v>5379415597.484272</v>
      </c>
      <c r="B247">
        <v>-25.309303280000002</v>
      </c>
      <c r="D247">
        <v>5379415597.484272</v>
      </c>
      <c r="E247">
        <v>-25.347816470000001</v>
      </c>
      <c r="G247">
        <v>5379417160.8831978</v>
      </c>
      <c r="H247">
        <v>-25.250202179999999</v>
      </c>
    </row>
    <row r="248" spans="1:8">
      <c r="A248">
        <v>5379418113.2075424</v>
      </c>
      <c r="B248">
        <v>-26.160671229999998</v>
      </c>
      <c r="D248">
        <v>5379418113.2075424</v>
      </c>
      <c r="E248">
        <v>-26.18790817</v>
      </c>
      <c r="G248">
        <v>5379419684.5425034</v>
      </c>
      <c r="H248">
        <v>-26.157108310000002</v>
      </c>
    </row>
    <row r="249" spans="1:8">
      <c r="A249">
        <v>5379420628.9308128</v>
      </c>
      <c r="B249">
        <v>-25.484260559999999</v>
      </c>
      <c r="D249">
        <v>5379420628.9308128</v>
      </c>
      <c r="E249">
        <v>-25.524902340000001</v>
      </c>
      <c r="G249">
        <v>5379422208.2018089</v>
      </c>
      <c r="H249">
        <v>-25.517036439999998</v>
      </c>
    </row>
    <row r="250" spans="1:8">
      <c r="A250">
        <v>5379423144.6540833</v>
      </c>
      <c r="B250">
        <v>-25.09615707</v>
      </c>
      <c r="D250">
        <v>5379423144.6540833</v>
      </c>
      <c r="E250">
        <v>-25.078987120000001</v>
      </c>
      <c r="G250">
        <v>5379424731.8611145</v>
      </c>
      <c r="H250">
        <v>-25.010662079999999</v>
      </c>
    </row>
    <row r="251" spans="1:8">
      <c r="A251">
        <v>5379425660.3773537</v>
      </c>
      <c r="B251">
        <v>-25.379878999999999</v>
      </c>
      <c r="D251">
        <v>5379425660.3773537</v>
      </c>
      <c r="E251">
        <v>-25.381866460000001</v>
      </c>
      <c r="G251">
        <v>5379427255.5204201</v>
      </c>
      <c r="H251">
        <v>-25.41314697</v>
      </c>
    </row>
    <row r="252" spans="1:8">
      <c r="A252">
        <v>5379428176.1006241</v>
      </c>
      <c r="B252">
        <v>-26.214839940000001</v>
      </c>
      <c r="D252">
        <v>5379428176.1006241</v>
      </c>
      <c r="E252">
        <v>-26.136775969999999</v>
      </c>
      <c r="G252">
        <v>5379429779.1797256</v>
      </c>
      <c r="H252">
        <v>-26.189216609999999</v>
      </c>
    </row>
    <row r="253" spans="1:8">
      <c r="A253">
        <v>5379430691.8238945</v>
      </c>
      <c r="B253">
        <v>-25.341693880000001</v>
      </c>
      <c r="D253">
        <v>5379430691.8238945</v>
      </c>
      <c r="E253">
        <v>-25.26869202</v>
      </c>
      <c r="G253">
        <v>5379432302.8390312</v>
      </c>
      <c r="H253">
        <v>-25.385498049999999</v>
      </c>
    </row>
    <row r="254" spans="1:8">
      <c r="A254">
        <v>5379433207.5471649</v>
      </c>
      <c r="B254">
        <v>-25.32229233</v>
      </c>
      <c r="D254">
        <v>5379433207.5471649</v>
      </c>
      <c r="E254">
        <v>-25.248909000000001</v>
      </c>
      <c r="G254">
        <v>5379434826.4983368</v>
      </c>
      <c r="H254">
        <v>-25.379577640000001</v>
      </c>
    </row>
    <row r="255" spans="1:8">
      <c r="A255">
        <v>5379435723.2704353</v>
      </c>
      <c r="B255">
        <v>-25.269935610000001</v>
      </c>
      <c r="D255">
        <v>5379435723.2704353</v>
      </c>
      <c r="E255">
        <v>-25.205982209999998</v>
      </c>
      <c r="G255">
        <v>5379437350.1576424</v>
      </c>
      <c r="H255">
        <v>-25.244808200000001</v>
      </c>
    </row>
    <row r="256" spans="1:8">
      <c r="A256">
        <v>5379438238.9937057</v>
      </c>
      <c r="B256">
        <v>-27.290088650000001</v>
      </c>
      <c r="D256">
        <v>5379438238.9937057</v>
      </c>
      <c r="E256">
        <v>-27.196483610000001</v>
      </c>
      <c r="G256">
        <v>5379439873.8169479</v>
      </c>
      <c r="H256">
        <v>-27.318027499999999</v>
      </c>
    </row>
    <row r="257" spans="1:8">
      <c r="A257">
        <v>5379440754.7169762</v>
      </c>
      <c r="B257">
        <v>-25.183082580000001</v>
      </c>
      <c r="D257">
        <v>5379440754.7169762</v>
      </c>
      <c r="E257">
        <v>-25.147533419999998</v>
      </c>
      <c r="G257">
        <v>5379442397.4762535</v>
      </c>
      <c r="H257">
        <v>-25.217731480000001</v>
      </c>
    </row>
    <row r="258" spans="1:8">
      <c r="A258">
        <v>5379443270.4402466</v>
      </c>
      <c r="B258">
        <v>-25.792732239999999</v>
      </c>
      <c r="D258">
        <v>5379443270.4402466</v>
      </c>
      <c r="E258">
        <v>-25.747703550000001</v>
      </c>
      <c r="G258">
        <v>5379444921.1355591</v>
      </c>
      <c r="H258">
        <v>-25.896282200000002</v>
      </c>
    </row>
    <row r="259" spans="1:8">
      <c r="A259">
        <v>5379445786.163517</v>
      </c>
      <c r="B259">
        <v>-25.270862579999999</v>
      </c>
      <c r="D259">
        <v>5379445786.163517</v>
      </c>
      <c r="E259">
        <v>-25.23688507</v>
      </c>
      <c r="G259">
        <v>5379447444.7948647</v>
      </c>
      <c r="H259">
        <v>-25.262577060000002</v>
      </c>
    </row>
    <row r="260" spans="1:8">
      <c r="A260">
        <v>5379448301.8867874</v>
      </c>
      <c r="B260">
        <v>-25.135452269999998</v>
      </c>
      <c r="D260">
        <v>5379448301.8867874</v>
      </c>
      <c r="E260">
        <v>-25.11239243</v>
      </c>
      <c r="G260">
        <v>5379449968.4541702</v>
      </c>
      <c r="H260">
        <v>-25.16119003</v>
      </c>
    </row>
    <row r="261" spans="1:8">
      <c r="A261">
        <v>5379450817.6100578</v>
      </c>
      <c r="B261">
        <v>-26.183319090000001</v>
      </c>
      <c r="D261">
        <v>5379450817.6100578</v>
      </c>
      <c r="E261">
        <v>-26.156349179999999</v>
      </c>
      <c r="G261">
        <v>5379452492.1134758</v>
      </c>
      <c r="H261">
        <v>-26.212581629999999</v>
      </c>
    </row>
    <row r="262" spans="1:8">
      <c r="A262">
        <v>5379453333.3333282</v>
      </c>
      <c r="B262">
        <v>-26.05738449</v>
      </c>
      <c r="D262">
        <v>5379453333.3333282</v>
      </c>
      <c r="E262">
        <v>-26.031841279999998</v>
      </c>
      <c r="G262">
        <v>5379455015.7727814</v>
      </c>
      <c r="H262">
        <v>-26.096431729999999</v>
      </c>
    </row>
    <row r="263" spans="1:8">
      <c r="A263">
        <v>5379455849.0565987</v>
      </c>
      <c r="B263">
        <v>-25.17583466</v>
      </c>
      <c r="D263">
        <v>5379455849.0565987</v>
      </c>
      <c r="E263">
        <v>-25.148841860000001</v>
      </c>
      <c r="G263">
        <v>5379457539.4320869</v>
      </c>
      <c r="H263">
        <v>-25.26261139</v>
      </c>
    </row>
    <row r="264" spans="1:8">
      <c r="A264">
        <v>5379458364.7798691</v>
      </c>
      <c r="B264">
        <v>-25.66553497</v>
      </c>
      <c r="D264">
        <v>5379458364.7798691</v>
      </c>
      <c r="E264">
        <v>-25.62490845</v>
      </c>
      <c r="G264">
        <v>5379460063.0913925</v>
      </c>
      <c r="H264">
        <v>-25.65184021</v>
      </c>
    </row>
    <row r="265" spans="1:8">
      <c r="A265">
        <v>5379460880.5031395</v>
      </c>
      <c r="B265">
        <v>-26.225181580000001</v>
      </c>
      <c r="D265">
        <v>5379460880.5031395</v>
      </c>
      <c r="E265">
        <v>-26.185173030000001</v>
      </c>
      <c r="G265">
        <v>5379462586.7506981</v>
      </c>
      <c r="H265">
        <v>-26.239250179999999</v>
      </c>
    </row>
    <row r="266" spans="1:8">
      <c r="A266">
        <v>5379463396.2264099</v>
      </c>
      <c r="B266">
        <v>-25.864067080000002</v>
      </c>
      <c r="D266">
        <v>5379463396.2264099</v>
      </c>
      <c r="E266">
        <v>-25.827888489999999</v>
      </c>
      <c r="G266">
        <v>5379465110.4100037</v>
      </c>
      <c r="H266">
        <v>-25.93584061</v>
      </c>
    </row>
    <row r="267" spans="1:8">
      <c r="A267">
        <v>5379465911.9496803</v>
      </c>
      <c r="B267">
        <v>-25.839664460000002</v>
      </c>
      <c r="D267">
        <v>5379465911.9496803</v>
      </c>
      <c r="E267">
        <v>-25.793506619999999</v>
      </c>
      <c r="G267">
        <v>5379467634.0693092</v>
      </c>
      <c r="H267">
        <v>-25.808971410000002</v>
      </c>
    </row>
    <row r="268" spans="1:8">
      <c r="A268">
        <v>5379468427.6729507</v>
      </c>
      <c r="B268">
        <v>-25.163566589999999</v>
      </c>
      <c r="D268">
        <v>5379468427.6729507</v>
      </c>
      <c r="E268">
        <v>-25.100658419999998</v>
      </c>
      <c r="G268">
        <v>5379470157.7286148</v>
      </c>
      <c r="H268">
        <v>-25.205554960000001</v>
      </c>
    </row>
    <row r="269" spans="1:8">
      <c r="A269">
        <v>5379470943.3962212</v>
      </c>
      <c r="B269">
        <v>-25.855834959999999</v>
      </c>
      <c r="D269">
        <v>5379470943.3962212</v>
      </c>
      <c r="E269">
        <v>-25.79632187</v>
      </c>
      <c r="G269">
        <v>5379472681.3879204</v>
      </c>
      <c r="H269">
        <v>-25.858013150000001</v>
      </c>
    </row>
    <row r="270" spans="1:8">
      <c r="A270">
        <v>5379473459.1194916</v>
      </c>
      <c r="B270">
        <v>-25.708915709999999</v>
      </c>
      <c r="D270">
        <v>5379473459.1194916</v>
      </c>
      <c r="E270">
        <v>-25.651077269999998</v>
      </c>
      <c r="G270">
        <v>5379475205.047226</v>
      </c>
      <c r="H270">
        <v>-25.741401669999998</v>
      </c>
    </row>
    <row r="271" spans="1:8">
      <c r="A271">
        <v>5379475974.842762</v>
      </c>
      <c r="B271">
        <v>-25.404232029999999</v>
      </c>
      <c r="D271">
        <v>5379475974.842762</v>
      </c>
      <c r="E271">
        <v>-25.35300827</v>
      </c>
      <c r="G271">
        <v>5379477728.7065315</v>
      </c>
      <c r="H271">
        <v>-25.424102779999998</v>
      </c>
    </row>
    <row r="272" spans="1:8">
      <c r="A272">
        <v>5379478490.5660324</v>
      </c>
      <c r="B272">
        <v>-25.28004456</v>
      </c>
      <c r="D272">
        <v>5379478490.5660324</v>
      </c>
      <c r="E272">
        <v>-25.225914</v>
      </c>
      <c r="G272">
        <v>5379480252.3658371</v>
      </c>
      <c r="H272">
        <v>-25.27599335</v>
      </c>
    </row>
    <row r="273" spans="1:8">
      <c r="A273">
        <v>5379481006.2893028</v>
      </c>
      <c r="B273">
        <v>-25.789436340000002</v>
      </c>
      <c r="D273">
        <v>5379481006.2893028</v>
      </c>
      <c r="E273">
        <v>-25.719528199999999</v>
      </c>
      <c r="G273">
        <v>5379482776.0251427</v>
      </c>
      <c r="H273">
        <v>-25.78783417</v>
      </c>
    </row>
    <row r="274" spans="1:8">
      <c r="A274">
        <v>5379483522.0125732</v>
      </c>
      <c r="B274">
        <v>-25.68896866</v>
      </c>
      <c r="D274">
        <v>5379483522.0125732</v>
      </c>
      <c r="E274">
        <v>-25.62751007</v>
      </c>
      <c r="G274">
        <v>5379485299.6844482</v>
      </c>
      <c r="H274">
        <v>-25.719512940000001</v>
      </c>
    </row>
    <row r="275" spans="1:8">
      <c r="A275">
        <v>5379486037.7358437</v>
      </c>
      <c r="B275">
        <v>-25.587871549999999</v>
      </c>
      <c r="D275">
        <v>5379486037.7358437</v>
      </c>
      <c r="E275">
        <v>-25.52213669</v>
      </c>
      <c r="G275">
        <v>5379487823.3437538</v>
      </c>
      <c r="H275">
        <v>-25.606113430000001</v>
      </c>
    </row>
    <row r="276" spans="1:8">
      <c r="A276">
        <v>5379488553.4591141</v>
      </c>
      <c r="B276">
        <v>-25.39488983</v>
      </c>
      <c r="D276">
        <v>5379488553.4591141</v>
      </c>
      <c r="E276">
        <v>-25.342819209999998</v>
      </c>
      <c r="G276">
        <v>5379490347.0030594</v>
      </c>
      <c r="H276">
        <v>-25.35086823</v>
      </c>
    </row>
    <row r="277" spans="1:8">
      <c r="A277">
        <v>5379491069.1823845</v>
      </c>
      <c r="B277">
        <v>-26.374717709999999</v>
      </c>
      <c r="D277">
        <v>5379491069.1823845</v>
      </c>
      <c r="E277">
        <v>-26.309623720000001</v>
      </c>
      <c r="G277">
        <v>5379492870.662365</v>
      </c>
      <c r="H277">
        <v>-26.397533419999998</v>
      </c>
    </row>
    <row r="278" spans="1:8">
      <c r="A278">
        <v>5379493584.9056549</v>
      </c>
      <c r="B278">
        <v>-25.098537449999998</v>
      </c>
      <c r="D278">
        <v>5379493584.9056549</v>
      </c>
      <c r="E278">
        <v>-25.044380189999998</v>
      </c>
      <c r="G278">
        <v>5379495394.3216705</v>
      </c>
      <c r="H278">
        <v>-25.103904719999999</v>
      </c>
    </row>
    <row r="279" spans="1:8">
      <c r="A279">
        <v>5379496100.6289253</v>
      </c>
      <c r="B279">
        <v>-26.49845886</v>
      </c>
      <c r="D279">
        <v>5379496100.6289253</v>
      </c>
      <c r="E279">
        <v>-26.43284225</v>
      </c>
      <c r="G279">
        <v>5379497917.9809761</v>
      </c>
      <c r="H279">
        <v>-26.51377106</v>
      </c>
    </row>
    <row r="280" spans="1:8">
      <c r="A280">
        <v>5379498616.3521957</v>
      </c>
      <c r="B280">
        <v>-25.6922493</v>
      </c>
      <c r="D280">
        <v>5379498616.3521957</v>
      </c>
      <c r="E280">
        <v>-25.623542789999998</v>
      </c>
      <c r="G280">
        <v>5379500441.6402817</v>
      </c>
      <c r="H280">
        <v>-25.726219180000001</v>
      </c>
    </row>
    <row r="281" spans="1:8">
      <c r="A281">
        <v>5379501132.0754662</v>
      </c>
      <c r="B281">
        <v>-25.201164250000001</v>
      </c>
      <c r="D281">
        <v>5379501132.0754662</v>
      </c>
      <c r="E281">
        <v>-25.15176773</v>
      </c>
      <c r="G281">
        <v>5379502965.2995872</v>
      </c>
      <c r="H281">
        <v>-25.18477631</v>
      </c>
    </row>
    <row r="282" spans="1:8">
      <c r="A282">
        <v>5379503647.7987366</v>
      </c>
      <c r="B282">
        <v>-26.0104866</v>
      </c>
      <c r="D282">
        <v>5379503647.7987366</v>
      </c>
      <c r="E282">
        <v>-25.937469480000001</v>
      </c>
      <c r="G282">
        <v>5379505488.9588928</v>
      </c>
      <c r="H282">
        <v>-26.028118129999999</v>
      </c>
    </row>
    <row r="283" spans="1:8">
      <c r="A283">
        <v>5379506163.522007</v>
      </c>
      <c r="B283">
        <v>-25.037220000000001</v>
      </c>
      <c r="D283">
        <v>5379506163.522007</v>
      </c>
      <c r="E283">
        <v>-24.986560820000001</v>
      </c>
      <c r="G283">
        <v>5379508012.6181984</v>
      </c>
      <c r="H283">
        <v>-25.052787779999999</v>
      </c>
    </row>
    <row r="284" spans="1:8">
      <c r="A284">
        <v>5379508679.2452774</v>
      </c>
      <c r="B284">
        <v>-26.9255867</v>
      </c>
      <c r="D284">
        <v>5379508679.2452774</v>
      </c>
      <c r="E284">
        <v>-26.834838869999999</v>
      </c>
      <c r="G284">
        <v>5379510536.277504</v>
      </c>
      <c r="H284">
        <v>-26.838516240000001</v>
      </c>
    </row>
    <row r="285" spans="1:8">
      <c r="A285">
        <v>5379511194.9685478</v>
      </c>
      <c r="B285">
        <v>-25.317272190000001</v>
      </c>
      <c r="D285">
        <v>5379511194.9685478</v>
      </c>
      <c r="E285">
        <v>-25.246131900000002</v>
      </c>
      <c r="G285">
        <v>5379513059.9368095</v>
      </c>
      <c r="H285">
        <v>-25.291286469999999</v>
      </c>
    </row>
    <row r="286" spans="1:8">
      <c r="A286">
        <v>5379513710.6918182</v>
      </c>
      <c r="B286">
        <v>-25.495933529999999</v>
      </c>
      <c r="D286">
        <v>5379513710.6918182</v>
      </c>
      <c r="E286">
        <v>-25.459411620000001</v>
      </c>
      <c r="G286">
        <v>5379515583.5961151</v>
      </c>
      <c r="H286">
        <v>-25.4360733</v>
      </c>
    </row>
    <row r="287" spans="1:8">
      <c r="A287">
        <v>5379516226.4150887</v>
      </c>
      <c r="B287">
        <v>-26.29559326</v>
      </c>
      <c r="D287">
        <v>5379516226.4150887</v>
      </c>
      <c r="E287">
        <v>-26.25111008</v>
      </c>
      <c r="G287">
        <v>5379518107.2554207</v>
      </c>
      <c r="H287">
        <v>-26.272167209999999</v>
      </c>
    </row>
    <row r="288" spans="1:8">
      <c r="A288">
        <v>5379518742.1383591</v>
      </c>
      <c r="B288">
        <v>-26.662189479999999</v>
      </c>
      <c r="D288">
        <v>5379518742.1383591</v>
      </c>
      <c r="E288">
        <v>-26.603771210000001</v>
      </c>
      <c r="G288">
        <v>5379520630.9147263</v>
      </c>
      <c r="H288">
        <v>-26.65714264</v>
      </c>
    </row>
    <row r="289" spans="1:8">
      <c r="A289">
        <v>5379521257.8616295</v>
      </c>
      <c r="B289">
        <v>-25.502571110000002</v>
      </c>
      <c r="D289">
        <v>5379521257.8616295</v>
      </c>
      <c r="E289">
        <v>-25.473133090000001</v>
      </c>
      <c r="G289">
        <v>5379523154.5740318</v>
      </c>
      <c r="H289">
        <v>-25.507438659999998</v>
      </c>
    </row>
    <row r="290" spans="1:8">
      <c r="A290">
        <v>5379523773.5848999</v>
      </c>
      <c r="B290">
        <v>-26.569793700000002</v>
      </c>
      <c r="D290">
        <v>5379523773.5848999</v>
      </c>
      <c r="E290">
        <v>-26.539443970000001</v>
      </c>
      <c r="G290">
        <v>5379525678.2333374</v>
      </c>
      <c r="H290">
        <v>-26.54089737</v>
      </c>
    </row>
    <row r="291" spans="1:8">
      <c r="A291">
        <v>5379526289.3081703</v>
      </c>
      <c r="B291">
        <v>-25.29398346</v>
      </c>
      <c r="D291">
        <v>5379526289.3081703</v>
      </c>
      <c r="E291">
        <v>-25.272998810000001</v>
      </c>
      <c r="G291">
        <v>5379528201.892643</v>
      </c>
      <c r="H291">
        <v>-25.355403899999999</v>
      </c>
    </row>
    <row r="292" spans="1:8">
      <c r="A292">
        <v>5379528805.0314407</v>
      </c>
      <c r="B292">
        <v>-25.118118290000002</v>
      </c>
      <c r="D292">
        <v>5379528805.0314407</v>
      </c>
      <c r="E292">
        <v>-25.084869380000001</v>
      </c>
      <c r="G292">
        <v>5379530725.5519485</v>
      </c>
      <c r="H292">
        <v>-25.08417511</v>
      </c>
    </row>
    <row r="293" spans="1:8">
      <c r="A293">
        <v>5379531320.7547112</v>
      </c>
      <c r="B293">
        <v>-25.33959961</v>
      </c>
      <c r="D293">
        <v>5379531320.7547112</v>
      </c>
      <c r="E293">
        <v>-25.28785706</v>
      </c>
      <c r="G293">
        <v>5379533249.2112541</v>
      </c>
      <c r="H293">
        <v>-25.4025116</v>
      </c>
    </row>
    <row r="294" spans="1:8">
      <c r="A294">
        <v>5379533836.4779816</v>
      </c>
      <c r="B294">
        <v>-25.569675449999998</v>
      </c>
      <c r="D294">
        <v>5379533836.4779816</v>
      </c>
      <c r="E294">
        <v>-25.498909000000001</v>
      </c>
      <c r="G294">
        <v>5379535772.8705597</v>
      </c>
      <c r="H294">
        <v>-25.495353699999999</v>
      </c>
    </row>
    <row r="295" spans="1:8">
      <c r="A295">
        <v>5379536352.201252</v>
      </c>
      <c r="B295">
        <v>-24.831748959999999</v>
      </c>
      <c r="D295">
        <v>5379536352.201252</v>
      </c>
      <c r="E295">
        <v>-24.745403289999999</v>
      </c>
      <c r="G295">
        <v>5379538296.5298653</v>
      </c>
      <c r="H295">
        <v>-24.821659090000001</v>
      </c>
    </row>
    <row r="296" spans="1:8">
      <c r="A296">
        <v>5379538867.9245224</v>
      </c>
      <c r="B296">
        <v>-25.65446472</v>
      </c>
      <c r="D296">
        <v>5379538867.9245224</v>
      </c>
      <c r="E296">
        <v>-25.62309647</v>
      </c>
      <c r="G296">
        <v>5379540820.1891708</v>
      </c>
      <c r="H296">
        <v>-25.662479399999999</v>
      </c>
    </row>
    <row r="297" spans="1:8">
      <c r="A297">
        <v>5379541383.6477928</v>
      </c>
      <c r="B297">
        <v>-25.938365940000001</v>
      </c>
      <c r="D297">
        <v>5379541383.6477928</v>
      </c>
      <c r="E297">
        <v>-25.835342409999999</v>
      </c>
      <c r="G297">
        <v>5379543343.8484764</v>
      </c>
      <c r="H297">
        <v>-26.001041409999999</v>
      </c>
    </row>
    <row r="298" spans="1:8">
      <c r="A298">
        <v>5379543899.3710632</v>
      </c>
      <c r="B298">
        <v>-25.67479324</v>
      </c>
      <c r="D298">
        <v>5379543899.3710632</v>
      </c>
      <c r="E298">
        <v>-25.58525848</v>
      </c>
      <c r="G298">
        <v>5379545867.507782</v>
      </c>
      <c r="H298">
        <v>-25.727897639999998</v>
      </c>
    </row>
    <row r="299" spans="1:8">
      <c r="A299">
        <v>5379546415.0943336</v>
      </c>
      <c r="B299">
        <v>-25.319892880000001</v>
      </c>
      <c r="D299">
        <v>5379546415.0943336</v>
      </c>
      <c r="E299">
        <v>-25.242122649999999</v>
      </c>
      <c r="G299">
        <v>5379548391.1670876</v>
      </c>
      <c r="H299">
        <v>-25.35997772</v>
      </c>
    </row>
    <row r="300" spans="1:8">
      <c r="A300">
        <v>5379548930.8176041</v>
      </c>
      <c r="B300">
        <v>-25.410842899999999</v>
      </c>
      <c r="D300">
        <v>5379548930.8176041</v>
      </c>
      <c r="E300">
        <v>-25.334640499999999</v>
      </c>
      <c r="G300">
        <v>5379550914.8263931</v>
      </c>
      <c r="H300">
        <v>-25.49204254</v>
      </c>
    </row>
    <row r="301" spans="1:8">
      <c r="A301">
        <v>5379551446.5408745</v>
      </c>
      <c r="B301">
        <v>-26.458915709999999</v>
      </c>
      <c r="D301">
        <v>5379551446.5408745</v>
      </c>
      <c r="E301">
        <v>-26.37104034</v>
      </c>
      <c r="G301">
        <v>5379553438.4856987</v>
      </c>
      <c r="H301">
        <v>-26.461219790000001</v>
      </c>
    </row>
    <row r="302" spans="1:8">
      <c r="A302">
        <v>5379553962.2641449</v>
      </c>
      <c r="B302">
        <v>-24.937599179999999</v>
      </c>
      <c r="D302">
        <v>5379553962.2641449</v>
      </c>
      <c r="E302">
        <v>-24.87306976</v>
      </c>
      <c r="G302">
        <v>5379555962.1450043</v>
      </c>
      <c r="H302">
        <v>-24.96839142</v>
      </c>
    </row>
    <row r="303" spans="1:8">
      <c r="A303">
        <v>5379556477.9874153</v>
      </c>
      <c r="B303">
        <v>-26.551536559999999</v>
      </c>
      <c r="D303">
        <v>5379556477.9874153</v>
      </c>
      <c r="E303">
        <v>-26.48620987</v>
      </c>
      <c r="G303">
        <v>5379558485.8043098</v>
      </c>
      <c r="H303">
        <v>-26.607654570000001</v>
      </c>
    </row>
    <row r="304" spans="1:8">
      <c r="A304">
        <v>5379558993.7106857</v>
      </c>
      <c r="B304">
        <v>-24.86188507</v>
      </c>
      <c r="D304">
        <v>5379558993.7106857</v>
      </c>
      <c r="E304">
        <v>-24.818294529999999</v>
      </c>
      <c r="G304">
        <v>5379561009.4636154</v>
      </c>
      <c r="H304">
        <v>-24.954727170000002</v>
      </c>
    </row>
    <row r="305" spans="1:8">
      <c r="A305">
        <v>5379561509.4339561</v>
      </c>
      <c r="B305">
        <v>-25.839496610000001</v>
      </c>
      <c r="D305">
        <v>5379561509.4339561</v>
      </c>
      <c r="E305">
        <v>-25.7792511</v>
      </c>
      <c r="G305">
        <v>5379563533.122921</v>
      </c>
      <c r="H305">
        <v>-25.928462979999999</v>
      </c>
    </row>
    <row r="306" spans="1:8">
      <c r="A306">
        <v>5379564025.1572266</v>
      </c>
      <c r="B306">
        <v>-25.719757080000001</v>
      </c>
      <c r="D306">
        <v>5379564025.1572266</v>
      </c>
      <c r="E306">
        <v>-25.6726265</v>
      </c>
      <c r="G306">
        <v>5379566056.7822266</v>
      </c>
      <c r="H306">
        <v>-25.798351289999999</v>
      </c>
    </row>
    <row r="307" spans="1:8">
      <c r="A307">
        <v>5379566540.880497</v>
      </c>
      <c r="B307">
        <v>-25.63445282</v>
      </c>
      <c r="D307">
        <v>5379566540.880497</v>
      </c>
      <c r="E307">
        <v>-25.584735869999999</v>
      </c>
      <c r="G307">
        <v>5379568580.4415321</v>
      </c>
      <c r="H307">
        <v>-25.644828799999999</v>
      </c>
    </row>
    <row r="308" spans="1:8">
      <c r="A308">
        <v>5379569056.6037674</v>
      </c>
      <c r="B308">
        <v>-25.951805109999999</v>
      </c>
      <c r="D308">
        <v>5379569056.6037674</v>
      </c>
      <c r="E308">
        <v>-25.90381622</v>
      </c>
      <c r="G308">
        <v>5379571104.1008377</v>
      </c>
      <c r="H308">
        <v>-26.026397710000001</v>
      </c>
    </row>
    <row r="309" spans="1:8">
      <c r="A309">
        <v>5379571572.3270378</v>
      </c>
      <c r="B309">
        <v>-25.2894516</v>
      </c>
      <c r="D309">
        <v>5379571572.3270378</v>
      </c>
      <c r="E309">
        <v>-25.242393490000001</v>
      </c>
      <c r="G309">
        <v>5379573627.7601433</v>
      </c>
      <c r="H309">
        <v>-25.345954899999999</v>
      </c>
    </row>
    <row r="310" spans="1:8">
      <c r="A310">
        <v>5379574088.0503082</v>
      </c>
      <c r="B310">
        <v>-25.979087830000001</v>
      </c>
      <c r="D310">
        <v>5379574088.0503082</v>
      </c>
      <c r="E310">
        <v>-25.92501068</v>
      </c>
      <c r="G310">
        <v>5379576151.4194489</v>
      </c>
      <c r="H310">
        <v>-26.032402040000001</v>
      </c>
    </row>
    <row r="311" spans="1:8">
      <c r="A311">
        <v>5379576603.7735786</v>
      </c>
      <c r="B311">
        <v>-26.040931700000002</v>
      </c>
      <c r="D311">
        <v>5379576603.7735786</v>
      </c>
      <c r="E311">
        <v>-25.98451996</v>
      </c>
      <c r="G311">
        <v>5379578675.0787544</v>
      </c>
      <c r="H311">
        <v>-26.070613860000002</v>
      </c>
    </row>
    <row r="312" spans="1:8">
      <c r="A312">
        <v>5379579119.4968491</v>
      </c>
      <c r="B312">
        <v>-25.526252750000001</v>
      </c>
      <c r="D312">
        <v>5379579119.4968491</v>
      </c>
      <c r="E312">
        <v>-25.477367399999999</v>
      </c>
      <c r="G312">
        <v>5379581198.73806</v>
      </c>
      <c r="H312">
        <v>-25.654289250000001</v>
      </c>
    </row>
    <row r="313" spans="1:8">
      <c r="A313">
        <v>5379581635.2201195</v>
      </c>
      <c r="B313">
        <v>-25.110958100000001</v>
      </c>
      <c r="D313">
        <v>5379581635.2201195</v>
      </c>
      <c r="E313">
        <v>-25.050754550000001</v>
      </c>
      <c r="G313">
        <v>5379583722.3973656</v>
      </c>
      <c r="H313">
        <v>-25.114253999999999</v>
      </c>
    </row>
    <row r="314" spans="1:8">
      <c r="A314">
        <v>5379584150.9433899</v>
      </c>
      <c r="B314">
        <v>-25.778652189999999</v>
      </c>
      <c r="D314">
        <v>5379584150.9433899</v>
      </c>
      <c r="E314">
        <v>-25.712589260000001</v>
      </c>
      <c r="G314">
        <v>5379586246.0566711</v>
      </c>
      <c r="H314">
        <v>-25.84150314</v>
      </c>
    </row>
    <row r="315" spans="1:8">
      <c r="A315">
        <v>5379586666.6666603</v>
      </c>
      <c r="B315">
        <v>-25.704578399999999</v>
      </c>
      <c r="D315">
        <v>5379586666.6666603</v>
      </c>
      <c r="E315">
        <v>-25.629348749999998</v>
      </c>
      <c r="G315">
        <v>5379588769.7159767</v>
      </c>
      <c r="H315">
        <v>-25.772006990000001</v>
      </c>
    </row>
    <row r="316" spans="1:8">
      <c r="A316">
        <v>5379589182.3899307</v>
      </c>
      <c r="B316">
        <v>-26.033744810000002</v>
      </c>
      <c r="D316">
        <v>5379589182.3899307</v>
      </c>
      <c r="E316">
        <v>-25.955513</v>
      </c>
      <c r="G316">
        <v>5379591293.3752823</v>
      </c>
      <c r="H316">
        <v>-26.122955319999999</v>
      </c>
    </row>
    <row r="317" spans="1:8">
      <c r="A317">
        <v>5379591698.1132011</v>
      </c>
      <c r="B317">
        <v>-24.824012759999999</v>
      </c>
      <c r="D317">
        <v>5379591698.1132011</v>
      </c>
      <c r="E317">
        <v>-24.757614140000001</v>
      </c>
      <c r="G317">
        <v>5379593817.0345879</v>
      </c>
      <c r="H317">
        <v>-24.826091770000001</v>
      </c>
    </row>
    <row r="318" spans="1:8">
      <c r="A318">
        <v>5379594213.8364716</v>
      </c>
      <c r="B318">
        <v>-25.723918909999998</v>
      </c>
      <c r="D318">
        <v>5379594213.8364716</v>
      </c>
      <c r="E318">
        <v>-25.654830929999999</v>
      </c>
      <c r="G318">
        <v>5379596340.6938934</v>
      </c>
      <c r="H318">
        <v>-25.819648740000002</v>
      </c>
    </row>
    <row r="319" spans="1:8">
      <c r="A319">
        <v>5379596729.559742</v>
      </c>
      <c r="B319">
        <v>-26.102676389999999</v>
      </c>
      <c r="D319">
        <v>5379596729.559742</v>
      </c>
      <c r="E319">
        <v>-26.0356369</v>
      </c>
      <c r="G319">
        <v>5379598864.353199</v>
      </c>
      <c r="H319">
        <v>-26.126285549999999</v>
      </c>
    </row>
    <row r="320" spans="1:8">
      <c r="A320">
        <v>5379599245.2830124</v>
      </c>
      <c r="B320">
        <v>-25.494178770000001</v>
      </c>
      <c r="D320">
        <v>5379599245.2830124</v>
      </c>
      <c r="E320">
        <v>-25.427028660000001</v>
      </c>
      <c r="G320">
        <v>5379601388.0125046</v>
      </c>
      <c r="H320">
        <v>-25.53619003</v>
      </c>
    </row>
    <row r="321" spans="1:8">
      <c r="A321">
        <v>5379601761.0062828</v>
      </c>
      <c r="B321">
        <v>-25.261852260000001</v>
      </c>
      <c r="D321">
        <v>5379601761.0062828</v>
      </c>
      <c r="E321">
        <v>-25.210395810000001</v>
      </c>
      <c r="G321">
        <v>5379603911.6718102</v>
      </c>
      <c r="H321">
        <v>-25.284076689999999</v>
      </c>
    </row>
    <row r="322" spans="1:8">
      <c r="A322">
        <v>5379604276.7295532</v>
      </c>
      <c r="B322">
        <v>-26.195930480000001</v>
      </c>
      <c r="D322">
        <v>5379604276.7295532</v>
      </c>
      <c r="E322">
        <v>-26.158630370000001</v>
      </c>
      <c r="G322">
        <v>5379606435.3311157</v>
      </c>
      <c r="H322">
        <v>-26.288978579999998</v>
      </c>
    </row>
    <row r="323" spans="1:8">
      <c r="A323">
        <v>5379606792.4528236</v>
      </c>
      <c r="B323">
        <v>-25.886299130000001</v>
      </c>
      <c r="D323">
        <v>5379606792.4528236</v>
      </c>
      <c r="E323">
        <v>-25.798686979999999</v>
      </c>
      <c r="G323">
        <v>5379608958.9904213</v>
      </c>
      <c r="H323">
        <v>-25.948535920000001</v>
      </c>
    </row>
    <row r="324" spans="1:8">
      <c r="A324">
        <v>5379609308.1760941</v>
      </c>
      <c r="B324">
        <v>-26.579555509999999</v>
      </c>
      <c r="D324">
        <v>5379609308.1760941</v>
      </c>
      <c r="E324">
        <v>-26.501407619999998</v>
      </c>
      <c r="G324">
        <v>5379611482.6497269</v>
      </c>
      <c r="H324">
        <v>-26.624748230000002</v>
      </c>
    </row>
    <row r="325" spans="1:8">
      <c r="A325">
        <v>5379611823.8993645</v>
      </c>
      <c r="B325">
        <v>-25.17853165</v>
      </c>
      <c r="D325">
        <v>5379611823.8993645</v>
      </c>
      <c r="E325">
        <v>-25.10416412</v>
      </c>
      <c r="G325">
        <v>5379614006.3090324</v>
      </c>
      <c r="H325">
        <v>-25.146972659999999</v>
      </c>
    </row>
    <row r="326" spans="1:8">
      <c r="A326">
        <v>5379614339.6226349</v>
      </c>
      <c r="B326">
        <v>-25.780921939999999</v>
      </c>
      <c r="D326">
        <v>5379614339.6226349</v>
      </c>
      <c r="E326">
        <v>-25.69796753</v>
      </c>
      <c r="G326">
        <v>5379616529.968338</v>
      </c>
      <c r="H326">
        <v>-25.837177279999999</v>
      </c>
    </row>
    <row r="327" spans="1:8">
      <c r="A327">
        <v>5379616855.3459053</v>
      </c>
      <c r="B327">
        <v>-25.51610565</v>
      </c>
      <c r="D327">
        <v>5379616855.3459053</v>
      </c>
      <c r="E327">
        <v>-25.443290709999999</v>
      </c>
      <c r="G327">
        <v>5379619053.6276436</v>
      </c>
      <c r="H327">
        <v>-25.53662872</v>
      </c>
    </row>
    <row r="328" spans="1:8">
      <c r="A328">
        <v>5379619371.0691757</v>
      </c>
      <c r="B328">
        <v>-25.309600830000001</v>
      </c>
      <c r="D328">
        <v>5379619371.0691757</v>
      </c>
      <c r="E328">
        <v>-25.23763275</v>
      </c>
      <c r="G328">
        <v>5379621577.2869492</v>
      </c>
      <c r="H328">
        <v>-25.376529690000002</v>
      </c>
    </row>
    <row r="329" spans="1:8">
      <c r="A329">
        <v>5379621886.7924461</v>
      </c>
      <c r="B329">
        <v>-26.007415770000001</v>
      </c>
      <c r="D329">
        <v>5379621886.7924461</v>
      </c>
      <c r="E329">
        <v>-25.91117096</v>
      </c>
      <c r="G329">
        <v>5379624100.9462547</v>
      </c>
      <c r="H329">
        <v>-25.98719788</v>
      </c>
    </row>
    <row r="330" spans="1:8">
      <c r="A330">
        <v>5379624402.5157166</v>
      </c>
      <c r="B330">
        <v>-25.415237430000001</v>
      </c>
      <c r="D330">
        <v>5379624402.5157166</v>
      </c>
      <c r="E330">
        <v>-25.320854189999999</v>
      </c>
      <c r="G330">
        <v>5379626624.6055603</v>
      </c>
      <c r="H330">
        <v>-25.381404880000002</v>
      </c>
    </row>
    <row r="331" spans="1:8">
      <c r="A331">
        <v>5379626918.238987</v>
      </c>
      <c r="B331">
        <v>-25.901031490000001</v>
      </c>
      <c r="D331">
        <v>5379626918.238987</v>
      </c>
      <c r="E331">
        <v>-25.825698849999998</v>
      </c>
      <c r="G331">
        <v>5379629148.2648659</v>
      </c>
      <c r="H331">
        <v>-25.96660614</v>
      </c>
    </row>
    <row r="332" spans="1:8">
      <c r="A332">
        <v>5379629433.9622574</v>
      </c>
      <c r="B332">
        <v>-25.976066589999999</v>
      </c>
      <c r="D332">
        <v>5379629433.9622574</v>
      </c>
      <c r="E332">
        <v>-25.922004699999999</v>
      </c>
      <c r="G332">
        <v>5379631671.9241714</v>
      </c>
      <c r="H332">
        <v>-25.92175293</v>
      </c>
    </row>
    <row r="333" spans="1:8">
      <c r="A333">
        <v>5379631949.6855278</v>
      </c>
      <c r="B333">
        <v>-26.53325272</v>
      </c>
      <c r="D333">
        <v>5379631949.6855278</v>
      </c>
      <c r="E333">
        <v>-26.46674728</v>
      </c>
      <c r="G333">
        <v>5379634195.583477</v>
      </c>
      <c r="H333">
        <v>-26.56214142</v>
      </c>
    </row>
    <row r="334" spans="1:8">
      <c r="A334">
        <v>5379634465.4087982</v>
      </c>
      <c r="B334">
        <v>-26.32017136</v>
      </c>
      <c r="D334">
        <v>5379634465.4087982</v>
      </c>
      <c r="E334">
        <v>-26.24081039</v>
      </c>
      <c r="G334">
        <v>5379636719.2427826</v>
      </c>
      <c r="H334">
        <v>-26.367420200000002</v>
      </c>
    </row>
    <row r="335" spans="1:8">
      <c r="A335">
        <v>5379636981.1320686</v>
      </c>
      <c r="B335">
        <v>-25.90385818</v>
      </c>
      <c r="D335">
        <v>5379636981.1320686</v>
      </c>
      <c r="E335">
        <v>-25.85120392</v>
      </c>
      <c r="G335">
        <v>5379639242.9020882</v>
      </c>
      <c r="H335">
        <v>-25.888442990000001</v>
      </c>
    </row>
    <row r="336" spans="1:8">
      <c r="A336">
        <v>5379639496.8553391</v>
      </c>
      <c r="B336">
        <v>-25.70023346</v>
      </c>
      <c r="D336">
        <v>5379639496.8553391</v>
      </c>
      <c r="E336">
        <v>-25.668785100000001</v>
      </c>
      <c r="G336">
        <v>5379641766.5613937</v>
      </c>
      <c r="H336">
        <v>-25.69656372</v>
      </c>
    </row>
    <row r="337" spans="1:8">
      <c r="A337">
        <v>5379642012.5786095</v>
      </c>
      <c r="B337">
        <v>-24.729614260000002</v>
      </c>
      <c r="D337">
        <v>5379642012.5786095</v>
      </c>
      <c r="E337">
        <v>-24.702732090000001</v>
      </c>
      <c r="G337">
        <v>5379644290.2206993</v>
      </c>
      <c r="H337">
        <v>-24.729373930000001</v>
      </c>
    </row>
    <row r="338" spans="1:8">
      <c r="A338">
        <v>5379644528.3018799</v>
      </c>
      <c r="B338">
        <v>-25.860565189999999</v>
      </c>
      <c r="D338">
        <v>5379644528.3018799</v>
      </c>
      <c r="E338">
        <v>-25.831001279999999</v>
      </c>
      <c r="G338">
        <v>5379646813.8800049</v>
      </c>
      <c r="H338">
        <v>-25.869869229999999</v>
      </c>
    </row>
    <row r="339" spans="1:8">
      <c r="A339">
        <v>5379647044.0251503</v>
      </c>
      <c r="B339">
        <v>-25.521156309999999</v>
      </c>
      <c r="D339">
        <v>5379647044.0251503</v>
      </c>
      <c r="E339">
        <v>-25.475028989999998</v>
      </c>
      <c r="G339">
        <v>5379649337.5393105</v>
      </c>
      <c r="H339">
        <v>-25.588294980000001</v>
      </c>
    </row>
    <row r="340" spans="1:8">
      <c r="A340">
        <v>5379649559.7484207</v>
      </c>
      <c r="B340">
        <v>-25.100811</v>
      </c>
      <c r="D340">
        <v>5379649559.7484207</v>
      </c>
      <c r="E340">
        <v>-25.073440550000001</v>
      </c>
      <c r="G340">
        <v>5379651861.198616</v>
      </c>
      <c r="H340">
        <v>-25.110179899999999</v>
      </c>
    </row>
    <row r="341" spans="1:8">
      <c r="A341">
        <v>5379652075.4716911</v>
      </c>
      <c r="B341">
        <v>-25.498332980000001</v>
      </c>
      <c r="D341">
        <v>5379652075.4716911</v>
      </c>
      <c r="E341">
        <v>-25.46932602</v>
      </c>
      <c r="G341">
        <v>5379654384.8579216</v>
      </c>
      <c r="H341">
        <v>-25.53368759</v>
      </c>
    </row>
    <row r="342" spans="1:8">
      <c r="A342">
        <v>5379654591.1949615</v>
      </c>
      <c r="B342">
        <v>-26.33538437</v>
      </c>
      <c r="D342">
        <v>5379654591.1949615</v>
      </c>
      <c r="E342">
        <v>-26.283908839999999</v>
      </c>
      <c r="G342">
        <v>5379656908.5172272</v>
      </c>
      <c r="H342">
        <v>-26.312034610000001</v>
      </c>
    </row>
    <row r="343" spans="1:8">
      <c r="A343">
        <v>5379657106.918232</v>
      </c>
      <c r="B343">
        <v>-25.5207634</v>
      </c>
      <c r="D343">
        <v>5379657106.918232</v>
      </c>
      <c r="E343">
        <v>-25.483764650000001</v>
      </c>
      <c r="G343">
        <v>5379659432.1765327</v>
      </c>
      <c r="H343">
        <v>-25.524677279999999</v>
      </c>
    </row>
    <row r="344" spans="1:8">
      <c r="A344">
        <v>5379659622.6415024</v>
      </c>
      <c r="B344">
        <v>-26.105533600000001</v>
      </c>
      <c r="D344">
        <v>5379659622.6415024</v>
      </c>
      <c r="E344">
        <v>-26.05470657</v>
      </c>
      <c r="G344">
        <v>5379661955.8358383</v>
      </c>
      <c r="H344">
        <v>-26.189807890000001</v>
      </c>
    </row>
    <row r="345" spans="1:8">
      <c r="A345">
        <v>5379662138.3647728</v>
      </c>
      <c r="B345">
        <v>-25.15871048</v>
      </c>
      <c r="D345">
        <v>5379662138.3647728</v>
      </c>
      <c r="E345">
        <v>-25.107887269999999</v>
      </c>
      <c r="G345">
        <v>5379664479.4951439</v>
      </c>
      <c r="H345">
        <v>-25.120121000000001</v>
      </c>
    </row>
    <row r="346" spans="1:8">
      <c r="A346">
        <v>5379664654.0880432</v>
      </c>
      <c r="B346">
        <v>-26.115520480000001</v>
      </c>
      <c r="D346">
        <v>5379664654.0880432</v>
      </c>
      <c r="E346">
        <v>-26.062454219999999</v>
      </c>
      <c r="G346">
        <v>5379667003.1544495</v>
      </c>
      <c r="H346">
        <v>-26.146690370000002</v>
      </c>
    </row>
    <row r="347" spans="1:8">
      <c r="A347">
        <v>5379667169.8113136</v>
      </c>
      <c r="B347">
        <v>-25.64242935</v>
      </c>
      <c r="D347">
        <v>5379667169.8113136</v>
      </c>
      <c r="E347">
        <v>-25.591247559999999</v>
      </c>
      <c r="G347">
        <v>5379669526.813755</v>
      </c>
      <c r="H347">
        <v>-25.705329899999999</v>
      </c>
    </row>
    <row r="348" spans="1:8">
      <c r="A348">
        <v>5379669685.534584</v>
      </c>
      <c r="B348">
        <v>-26.049461359999999</v>
      </c>
      <c r="D348">
        <v>5379669685.534584</v>
      </c>
      <c r="E348">
        <v>-26.000663759999998</v>
      </c>
      <c r="G348">
        <v>5379672050.4730606</v>
      </c>
      <c r="H348">
        <v>-26.023746490000001</v>
      </c>
    </row>
    <row r="349" spans="1:8">
      <c r="A349">
        <v>5379672201.2578545</v>
      </c>
      <c r="B349">
        <v>-25.853355409999999</v>
      </c>
      <c r="D349">
        <v>5379672201.2578545</v>
      </c>
      <c r="E349">
        <v>-25.756763459999998</v>
      </c>
      <c r="G349">
        <v>5379674574.1323662</v>
      </c>
      <c r="H349">
        <v>-25.838497159999999</v>
      </c>
    </row>
    <row r="350" spans="1:8">
      <c r="A350">
        <v>5379674716.9811249</v>
      </c>
      <c r="B350">
        <v>-25.041336059999999</v>
      </c>
      <c r="D350">
        <v>5379674716.9811249</v>
      </c>
      <c r="E350">
        <v>-24.996417999999998</v>
      </c>
      <c r="G350">
        <v>5379677097.7916718</v>
      </c>
      <c r="H350">
        <v>-25.030548100000001</v>
      </c>
    </row>
    <row r="351" spans="1:8">
      <c r="A351">
        <v>5379677232.7043953</v>
      </c>
      <c r="B351">
        <v>-26.382286069999999</v>
      </c>
      <c r="D351">
        <v>5379677232.7043953</v>
      </c>
      <c r="E351">
        <v>-26.31158447</v>
      </c>
      <c r="G351">
        <v>5379679621.4509773</v>
      </c>
      <c r="H351">
        <v>-26.252155299999998</v>
      </c>
    </row>
    <row r="352" spans="1:8">
      <c r="A352">
        <v>5379679748.4276657</v>
      </c>
      <c r="B352">
        <v>-26.574741360000001</v>
      </c>
      <c r="D352">
        <v>5379679748.4276657</v>
      </c>
      <c r="E352">
        <v>-26.519683839999999</v>
      </c>
      <c r="G352">
        <v>5379682145.1102829</v>
      </c>
      <c r="H352">
        <v>-26.558769229999999</v>
      </c>
    </row>
    <row r="353" spans="1:8">
      <c r="A353">
        <v>5379682264.1509361</v>
      </c>
      <c r="B353">
        <v>-24.852642060000001</v>
      </c>
      <c r="D353">
        <v>5379682264.1509361</v>
      </c>
      <c r="E353">
        <v>-24.815006260000001</v>
      </c>
      <c r="G353">
        <v>5379684668.7695885</v>
      </c>
      <c r="H353">
        <v>-24.771297449999999</v>
      </c>
    </row>
    <row r="354" spans="1:8">
      <c r="A354">
        <v>5379684779.8742065</v>
      </c>
      <c r="B354">
        <v>-25.611778260000001</v>
      </c>
      <c r="D354">
        <v>5379684779.8742065</v>
      </c>
      <c r="E354">
        <v>-25.577632900000001</v>
      </c>
      <c r="G354">
        <v>5379687192.428894</v>
      </c>
      <c r="H354">
        <v>-25.63044739</v>
      </c>
    </row>
    <row r="355" spans="1:8">
      <c r="A355">
        <v>5379687295.597477</v>
      </c>
      <c r="B355">
        <v>-27.441185000000001</v>
      </c>
      <c r="D355">
        <v>5379687295.597477</v>
      </c>
      <c r="E355">
        <v>-27.369369509999999</v>
      </c>
      <c r="G355">
        <v>5379689716.0881996</v>
      </c>
      <c r="H355">
        <v>-27.351982119999999</v>
      </c>
    </row>
    <row r="356" spans="1:8">
      <c r="A356">
        <v>5379689811.3207474</v>
      </c>
      <c r="B356">
        <v>-25.10341644</v>
      </c>
      <c r="D356">
        <v>5379689811.3207474</v>
      </c>
      <c r="E356">
        <v>-25.073776250000002</v>
      </c>
      <c r="G356">
        <v>5379692239.7475052</v>
      </c>
      <c r="H356">
        <v>-25.027603150000001</v>
      </c>
    </row>
    <row r="357" spans="1:8">
      <c r="A357">
        <v>5379692327.0440178</v>
      </c>
      <c r="B357">
        <v>-26.737712859999998</v>
      </c>
      <c r="D357">
        <v>5379692327.0440178</v>
      </c>
      <c r="E357">
        <v>-26.6902504</v>
      </c>
      <c r="G357">
        <v>5379694763.4068108</v>
      </c>
      <c r="H357">
        <v>-26.6959877</v>
      </c>
    </row>
    <row r="358" spans="1:8">
      <c r="A358">
        <v>5379694842.7672882</v>
      </c>
      <c r="B358">
        <v>-25.00130081</v>
      </c>
      <c r="D358">
        <v>5379694842.7672882</v>
      </c>
      <c r="E358">
        <v>-24.957508090000001</v>
      </c>
      <c r="G358">
        <v>5379697287.0661163</v>
      </c>
      <c r="H358">
        <v>-24.955738069999999</v>
      </c>
    </row>
    <row r="359" spans="1:8">
      <c r="A359">
        <v>5379697358.4905586</v>
      </c>
      <c r="B359">
        <v>-27.090572359999999</v>
      </c>
      <c r="D359">
        <v>5379697358.4905586</v>
      </c>
      <c r="E359">
        <v>-27.0499115</v>
      </c>
      <c r="G359">
        <v>5379699810.7254219</v>
      </c>
      <c r="H359">
        <v>-27.131660459999999</v>
      </c>
    </row>
    <row r="360" spans="1:8">
      <c r="A360">
        <v>5379699874.213829</v>
      </c>
      <c r="B360">
        <v>-25.404579160000001</v>
      </c>
      <c r="D360">
        <v>5379699874.213829</v>
      </c>
      <c r="E360">
        <v>-25.357528689999999</v>
      </c>
      <c r="G360">
        <v>5379702334.3847275</v>
      </c>
      <c r="H360">
        <v>-25.341171259999999</v>
      </c>
    </row>
    <row r="361" spans="1:8">
      <c r="A361">
        <v>5379702389.9370995</v>
      </c>
      <c r="B361">
        <v>-25.602420810000002</v>
      </c>
      <c r="D361">
        <v>5379702389.9370995</v>
      </c>
      <c r="E361">
        <v>-25.556137079999999</v>
      </c>
      <c r="G361">
        <v>5379704858.0440331</v>
      </c>
      <c r="H361">
        <v>-25.517036439999998</v>
      </c>
    </row>
    <row r="362" spans="1:8">
      <c r="A362">
        <v>5379704905.6603699</v>
      </c>
      <c r="B362">
        <v>-25.73553085</v>
      </c>
      <c r="D362">
        <v>5379704905.6603699</v>
      </c>
      <c r="E362">
        <v>-25.675018309999999</v>
      </c>
      <c r="G362">
        <v>5379707381.7033386</v>
      </c>
      <c r="H362">
        <v>-25.685874940000001</v>
      </c>
    </row>
    <row r="363" spans="1:8">
      <c r="A363">
        <v>5379707421.3836403</v>
      </c>
      <c r="B363">
        <v>-25.83584595</v>
      </c>
      <c r="D363">
        <v>5379707421.3836403</v>
      </c>
      <c r="E363">
        <v>-25.777355190000002</v>
      </c>
      <c r="G363">
        <v>5379709905.3626442</v>
      </c>
      <c r="H363">
        <v>-25.835205080000001</v>
      </c>
    </row>
    <row r="364" spans="1:8">
      <c r="A364">
        <v>5379709937.1069107</v>
      </c>
      <c r="B364">
        <v>-25.751121520000002</v>
      </c>
      <c r="D364">
        <v>5379709937.1069107</v>
      </c>
      <c r="E364">
        <v>-25.7062645</v>
      </c>
      <c r="G364">
        <v>5379712429.0219498</v>
      </c>
      <c r="H364">
        <v>-25.643680570000001</v>
      </c>
    </row>
    <row r="365" spans="1:8">
      <c r="A365">
        <v>5379712452.8301811</v>
      </c>
      <c r="B365">
        <v>-25.720573430000002</v>
      </c>
      <c r="D365">
        <v>5379712452.8301811</v>
      </c>
      <c r="E365">
        <v>-25.707893370000001</v>
      </c>
      <c r="G365">
        <v>5379714952.6812553</v>
      </c>
      <c r="H365">
        <v>-25.702262879999999</v>
      </c>
    </row>
    <row r="366" spans="1:8">
      <c r="A366">
        <v>5379714968.5534515</v>
      </c>
      <c r="B366">
        <v>-27.699455260000001</v>
      </c>
      <c r="D366">
        <v>5379714968.5534515</v>
      </c>
      <c r="E366">
        <v>-27.64426422</v>
      </c>
      <c r="G366">
        <v>5379717476.3405609</v>
      </c>
      <c r="H366">
        <v>-27.609226230000001</v>
      </c>
    </row>
    <row r="367" spans="1:8">
      <c r="A367">
        <v>5379717484.276722</v>
      </c>
      <c r="B367">
        <v>-25.56151581</v>
      </c>
      <c r="D367">
        <v>5379717484.276722</v>
      </c>
      <c r="E367">
        <v>-25.525859830000002</v>
      </c>
      <c r="G367">
        <v>5379720000</v>
      </c>
      <c r="H367">
        <v>-25.46761322</v>
      </c>
    </row>
    <row r="368" spans="1:8">
      <c r="A368">
        <v>5379720000</v>
      </c>
      <c r="B368">
        <v>-26.297720000000002</v>
      </c>
      <c r="D368">
        <v>5379720000</v>
      </c>
      <c r="E368">
        <v>-26</v>
      </c>
    </row>
  </sheetData>
  <mergeCells count="57">
    <mergeCell ref="B1:K1"/>
    <mergeCell ref="B2:J2"/>
    <mergeCell ref="B3:J3"/>
    <mergeCell ref="I4:I5"/>
    <mergeCell ref="A6:B6"/>
    <mergeCell ref="AA4:AA5"/>
    <mergeCell ref="N7:P7"/>
    <mergeCell ref="S6:T6"/>
    <mergeCell ref="E9:G9"/>
    <mergeCell ref="N9:P9"/>
    <mergeCell ref="W9:Y9"/>
    <mergeCell ref="W7:Y7"/>
    <mergeCell ref="E8:G8"/>
    <mergeCell ref="N8:P8"/>
    <mergeCell ref="W8:Y8"/>
    <mergeCell ref="E7:G7"/>
    <mergeCell ref="W6:Y6"/>
    <mergeCell ref="R4:R5"/>
    <mergeCell ref="E6:G6"/>
    <mergeCell ref="J6:K6"/>
    <mergeCell ref="N6:P6"/>
    <mergeCell ref="AF9:AH9"/>
    <mergeCell ref="AJ4:AJ5"/>
    <mergeCell ref="AB6:AC6"/>
    <mergeCell ref="AF6:AH6"/>
    <mergeCell ref="AF7:AH7"/>
    <mergeCell ref="AF8:AH8"/>
    <mergeCell ref="AS4:AS5"/>
    <mergeCell ref="BB4:BB5"/>
    <mergeCell ref="BK4:BK5"/>
    <mergeCell ref="BT4:BT5"/>
    <mergeCell ref="CC4:CC5"/>
    <mergeCell ref="AK6:AL6"/>
    <mergeCell ref="AO6:AQ6"/>
    <mergeCell ref="AT6:AU6"/>
    <mergeCell ref="AX6:AZ6"/>
    <mergeCell ref="BC6:BD6"/>
    <mergeCell ref="BG6:BI6"/>
    <mergeCell ref="BL6:BM6"/>
    <mergeCell ref="BP6:BR6"/>
    <mergeCell ref="BU6:BV6"/>
    <mergeCell ref="BY6:CA6"/>
    <mergeCell ref="AO7:AQ7"/>
    <mergeCell ref="AX7:AZ7"/>
    <mergeCell ref="BG7:BI7"/>
    <mergeCell ref="BP7:BR7"/>
    <mergeCell ref="BY7:CA7"/>
    <mergeCell ref="AO8:AQ8"/>
    <mergeCell ref="AX8:AZ8"/>
    <mergeCell ref="BG8:BI8"/>
    <mergeCell ref="BP8:BR8"/>
    <mergeCell ref="BY8:CA8"/>
    <mergeCell ref="AO9:AQ9"/>
    <mergeCell ref="AX9:AZ9"/>
    <mergeCell ref="BG9:BI9"/>
    <mergeCell ref="BP9:BR9"/>
    <mergeCell ref="BY9:CA9"/>
  </mergeCells>
  <phoneticPr fontId="1" type="noConversion"/>
  <conditionalFormatting sqref="H8">
    <cfRule type="containsBlanks" priority="79" stopIfTrue="1">
      <formula>LEN(TRIM(H8))=0</formula>
    </cfRule>
    <cfRule type="cellIs" dxfId="53" priority="80" stopIfTrue="1" operator="greaterThan">
      <formula>-30</formula>
    </cfRule>
    <cfRule type="cellIs" dxfId="52" priority="81" stopIfTrue="1" operator="between">
      <formula>-33</formula>
      <formula>-30</formula>
    </cfRule>
  </conditionalFormatting>
  <conditionalFormatting sqref="H9">
    <cfRule type="containsBlanks" priority="76" stopIfTrue="1">
      <formula>LEN(TRIM(H9))=0</formula>
    </cfRule>
    <cfRule type="cellIs" dxfId="51" priority="77" stopIfTrue="1" operator="greaterThan">
      <formula>-30</formula>
    </cfRule>
    <cfRule type="cellIs" dxfId="50" priority="78" stopIfTrue="1" operator="between">
      <formula>-33</formula>
      <formula>-30</formula>
    </cfRule>
  </conditionalFormatting>
  <conditionalFormatting sqref="Q7">
    <cfRule type="containsBlanks" priority="73" stopIfTrue="1">
      <formula>LEN(TRIM(Q7))=0</formula>
    </cfRule>
    <cfRule type="cellIs" dxfId="49" priority="74" stopIfTrue="1" operator="greaterThan">
      <formula>-30</formula>
    </cfRule>
    <cfRule type="cellIs" dxfId="48" priority="75" stopIfTrue="1" operator="between">
      <formula>-33</formula>
      <formula>-30</formula>
    </cfRule>
  </conditionalFormatting>
  <conditionalFormatting sqref="Q8">
    <cfRule type="containsBlanks" priority="70" stopIfTrue="1">
      <formula>LEN(TRIM(Q8))=0</formula>
    </cfRule>
    <cfRule type="cellIs" dxfId="47" priority="71" stopIfTrue="1" operator="greaterThan">
      <formula>-30</formula>
    </cfRule>
    <cfRule type="cellIs" dxfId="46" priority="72" stopIfTrue="1" operator="between">
      <formula>-33</formula>
      <formula>-30</formula>
    </cfRule>
  </conditionalFormatting>
  <conditionalFormatting sqref="Q9">
    <cfRule type="containsBlanks" priority="67" stopIfTrue="1">
      <formula>LEN(TRIM(Q9))=0</formula>
    </cfRule>
    <cfRule type="cellIs" dxfId="45" priority="68" stopIfTrue="1" operator="greaterThan">
      <formula>-30</formula>
    </cfRule>
    <cfRule type="cellIs" dxfId="44" priority="69" stopIfTrue="1" operator="between">
      <formula>-33</formula>
      <formula>-30</formula>
    </cfRule>
  </conditionalFormatting>
  <conditionalFormatting sqref="Z7">
    <cfRule type="containsBlanks" priority="64" stopIfTrue="1">
      <formula>LEN(TRIM(Z7))=0</formula>
    </cfRule>
    <cfRule type="cellIs" dxfId="43" priority="65" stopIfTrue="1" operator="greaterThan">
      <formula>-30</formula>
    </cfRule>
    <cfRule type="cellIs" dxfId="42" priority="66" stopIfTrue="1" operator="between">
      <formula>-33</formula>
      <formula>-30</formula>
    </cfRule>
  </conditionalFormatting>
  <conditionalFormatting sqref="Z8">
    <cfRule type="containsBlanks" priority="61" stopIfTrue="1">
      <formula>LEN(TRIM(Z8))=0</formula>
    </cfRule>
    <cfRule type="cellIs" dxfId="41" priority="62" stopIfTrue="1" operator="greaterThan">
      <formula>-30</formula>
    </cfRule>
    <cfRule type="cellIs" dxfId="40" priority="63" stopIfTrue="1" operator="between">
      <formula>-33</formula>
      <formula>-30</formula>
    </cfRule>
  </conditionalFormatting>
  <conditionalFormatting sqref="Z9">
    <cfRule type="containsBlanks" priority="58" stopIfTrue="1">
      <formula>LEN(TRIM(Z9))=0</formula>
    </cfRule>
    <cfRule type="cellIs" dxfId="39" priority="59" stopIfTrue="1" operator="greaterThan">
      <formula>-30</formula>
    </cfRule>
    <cfRule type="cellIs" dxfId="38" priority="60" stopIfTrue="1" operator="between">
      <formula>-33</formula>
      <formula>-30</formula>
    </cfRule>
  </conditionalFormatting>
  <conditionalFormatting sqref="AI7">
    <cfRule type="containsBlanks" priority="55" stopIfTrue="1">
      <formula>LEN(TRIM(AI7))=0</formula>
    </cfRule>
    <cfRule type="cellIs" dxfId="37" priority="56" stopIfTrue="1" operator="greaterThan">
      <formula>-30</formula>
    </cfRule>
    <cfRule type="cellIs" dxfId="36" priority="57" stopIfTrue="1" operator="between">
      <formula>-33</formula>
      <formula>-30</formula>
    </cfRule>
  </conditionalFormatting>
  <conditionalFormatting sqref="AI8">
    <cfRule type="containsBlanks" priority="52" stopIfTrue="1">
      <formula>LEN(TRIM(AI8))=0</formula>
    </cfRule>
    <cfRule type="cellIs" dxfId="35" priority="53" stopIfTrue="1" operator="greaterThan">
      <formula>-30</formula>
    </cfRule>
    <cfRule type="cellIs" dxfId="34" priority="54" stopIfTrue="1" operator="between">
      <formula>-33</formula>
      <formula>-30</formula>
    </cfRule>
  </conditionalFormatting>
  <conditionalFormatting sqref="AI9">
    <cfRule type="containsBlanks" priority="49" stopIfTrue="1">
      <formula>LEN(TRIM(AI9))=0</formula>
    </cfRule>
    <cfRule type="cellIs" dxfId="33" priority="50" stopIfTrue="1" operator="greaterThan">
      <formula>-30</formula>
    </cfRule>
    <cfRule type="cellIs" dxfId="32" priority="51" stopIfTrue="1" operator="between">
      <formula>-33</formula>
      <formula>-30</formula>
    </cfRule>
  </conditionalFormatting>
  <conditionalFormatting sqref="AR7">
    <cfRule type="containsBlanks" priority="46" stopIfTrue="1">
      <formula>LEN(TRIM(AR7))=0</formula>
    </cfRule>
    <cfRule type="cellIs" dxfId="31" priority="47" stopIfTrue="1" operator="greaterThan">
      <formula>-30</formula>
    </cfRule>
    <cfRule type="cellIs" dxfId="30" priority="48" stopIfTrue="1" operator="between">
      <formula>-33</formula>
      <formula>-30</formula>
    </cfRule>
  </conditionalFormatting>
  <conditionalFormatting sqref="AR8">
    <cfRule type="containsBlanks" priority="43" stopIfTrue="1">
      <formula>LEN(TRIM(AR8))=0</formula>
    </cfRule>
    <cfRule type="cellIs" dxfId="29" priority="44" stopIfTrue="1" operator="greaterThan">
      <formula>-30</formula>
    </cfRule>
    <cfRule type="cellIs" dxfId="28" priority="45" stopIfTrue="1" operator="between">
      <formula>-33</formula>
      <formula>-30</formula>
    </cfRule>
  </conditionalFormatting>
  <conditionalFormatting sqref="AR9">
    <cfRule type="containsBlanks" priority="40" stopIfTrue="1">
      <formula>LEN(TRIM(AR9))=0</formula>
    </cfRule>
    <cfRule type="cellIs" dxfId="27" priority="41" stopIfTrue="1" operator="greaterThan">
      <formula>-30</formula>
    </cfRule>
    <cfRule type="cellIs" dxfId="26" priority="42" stopIfTrue="1" operator="between">
      <formula>-33</formula>
      <formula>-30</formula>
    </cfRule>
  </conditionalFormatting>
  <conditionalFormatting sqref="BA7">
    <cfRule type="containsBlanks" priority="37" stopIfTrue="1">
      <formula>LEN(TRIM(BA7))=0</formula>
    </cfRule>
    <cfRule type="cellIs" dxfId="25" priority="38" stopIfTrue="1" operator="greaterThan">
      <formula>-30</formula>
    </cfRule>
    <cfRule type="cellIs" dxfId="24" priority="39" stopIfTrue="1" operator="between">
      <formula>-33</formula>
      <formula>-30</formula>
    </cfRule>
  </conditionalFormatting>
  <conditionalFormatting sqref="BA8">
    <cfRule type="containsBlanks" priority="34" stopIfTrue="1">
      <formula>LEN(TRIM(BA8))=0</formula>
    </cfRule>
    <cfRule type="cellIs" dxfId="23" priority="35" stopIfTrue="1" operator="greaterThan">
      <formula>-30</formula>
    </cfRule>
    <cfRule type="cellIs" dxfId="22" priority="36" stopIfTrue="1" operator="between">
      <formula>-33</formula>
      <formula>-30</formula>
    </cfRule>
  </conditionalFormatting>
  <conditionalFormatting sqref="BA9">
    <cfRule type="containsBlanks" priority="31" stopIfTrue="1">
      <formula>LEN(TRIM(BA9))=0</formula>
    </cfRule>
    <cfRule type="cellIs" dxfId="21" priority="32" stopIfTrue="1" operator="greaterThan">
      <formula>-30</formula>
    </cfRule>
    <cfRule type="cellIs" dxfId="20" priority="33" stopIfTrue="1" operator="between">
      <formula>-33</formula>
      <formula>-30</formula>
    </cfRule>
  </conditionalFormatting>
  <conditionalFormatting sqref="BJ7">
    <cfRule type="containsBlanks" priority="28" stopIfTrue="1">
      <formula>LEN(TRIM(BJ7))=0</formula>
    </cfRule>
    <cfRule type="cellIs" dxfId="19" priority="29" stopIfTrue="1" operator="greaterThan">
      <formula>-30</formula>
    </cfRule>
    <cfRule type="cellIs" dxfId="18" priority="30" stopIfTrue="1" operator="between">
      <formula>-33</formula>
      <formula>-30</formula>
    </cfRule>
  </conditionalFormatting>
  <conditionalFormatting sqref="BJ8">
    <cfRule type="containsBlanks" priority="25" stopIfTrue="1">
      <formula>LEN(TRIM(BJ8))=0</formula>
    </cfRule>
    <cfRule type="cellIs" dxfId="17" priority="26" stopIfTrue="1" operator="greaterThan">
      <formula>-30</formula>
    </cfRule>
    <cfRule type="cellIs" dxfId="16" priority="27" stopIfTrue="1" operator="between">
      <formula>-33</formula>
      <formula>-30</formula>
    </cfRule>
  </conditionalFormatting>
  <conditionalFormatting sqref="BJ9">
    <cfRule type="containsBlanks" priority="22" stopIfTrue="1">
      <formula>LEN(TRIM(BJ9))=0</formula>
    </cfRule>
    <cfRule type="cellIs" dxfId="15" priority="23" stopIfTrue="1" operator="greaterThan">
      <formula>-30</formula>
    </cfRule>
    <cfRule type="cellIs" dxfId="14" priority="24" stopIfTrue="1" operator="between">
      <formula>-33</formula>
      <formula>-30</formula>
    </cfRule>
  </conditionalFormatting>
  <conditionalFormatting sqref="BS7">
    <cfRule type="containsBlanks" priority="19" stopIfTrue="1">
      <formula>LEN(TRIM(BS7))=0</formula>
    </cfRule>
    <cfRule type="cellIs" dxfId="13" priority="20" stopIfTrue="1" operator="greaterThan">
      <formula>-30</formula>
    </cfRule>
    <cfRule type="cellIs" dxfId="12" priority="21" stopIfTrue="1" operator="between">
      <formula>-33</formula>
      <formula>-30</formula>
    </cfRule>
  </conditionalFormatting>
  <conditionalFormatting sqref="BS8">
    <cfRule type="containsBlanks" priority="16" stopIfTrue="1">
      <formula>LEN(TRIM(BS8))=0</formula>
    </cfRule>
    <cfRule type="cellIs" dxfId="11" priority="17" stopIfTrue="1" operator="greaterThan">
      <formula>-30</formula>
    </cfRule>
    <cfRule type="cellIs" dxfId="10" priority="18" stopIfTrue="1" operator="between">
      <formula>-33</formula>
      <formula>-30</formula>
    </cfRule>
  </conditionalFormatting>
  <conditionalFormatting sqref="BS9">
    <cfRule type="containsBlanks" priority="13" stopIfTrue="1">
      <formula>LEN(TRIM(BS9))=0</formula>
    </cfRule>
    <cfRule type="cellIs" dxfId="9" priority="14" stopIfTrue="1" operator="greaterThan">
      <formula>-30</formula>
    </cfRule>
    <cfRule type="cellIs" dxfId="8" priority="15" stopIfTrue="1" operator="between">
      <formula>-33</formula>
      <formula>-30</formula>
    </cfRule>
  </conditionalFormatting>
  <conditionalFormatting sqref="CB7">
    <cfRule type="containsBlanks" priority="10" stopIfTrue="1">
      <formula>LEN(TRIM(CB7))=0</formula>
    </cfRule>
    <cfRule type="cellIs" dxfId="7" priority="11" stopIfTrue="1" operator="greaterThan">
      <formula>-30</formula>
    </cfRule>
    <cfRule type="cellIs" dxfId="6" priority="12" stopIfTrue="1" operator="between">
      <formula>-33</formula>
      <formula>-30</formula>
    </cfRule>
  </conditionalFormatting>
  <conditionalFormatting sqref="CB8">
    <cfRule type="containsBlanks" priority="7" stopIfTrue="1">
      <formula>LEN(TRIM(CB8))=0</formula>
    </cfRule>
    <cfRule type="cellIs" dxfId="5" priority="8" stopIfTrue="1" operator="greaterThan">
      <formula>-30</formula>
    </cfRule>
    <cfRule type="cellIs" dxfId="4" priority="9" stopIfTrue="1" operator="between">
      <formula>-33</formula>
      <formula>-30</formula>
    </cfRule>
  </conditionalFormatting>
  <conditionalFormatting sqref="CB9">
    <cfRule type="containsBlanks" priority="4" stopIfTrue="1">
      <formula>LEN(TRIM(CB9))=0</formula>
    </cfRule>
    <cfRule type="cellIs" dxfId="3" priority="5" stopIfTrue="1" operator="greaterThan">
      <formula>-30</formula>
    </cfRule>
    <cfRule type="cellIs" dxfId="2" priority="6" stopIfTrue="1" operator="between">
      <formula>-33</formula>
      <formula>-30</formula>
    </cfRule>
  </conditionalFormatting>
  <conditionalFormatting sqref="H7">
    <cfRule type="containsBlanks" priority="1" stopIfTrue="1">
      <formula>LEN(TRIM(H7))=0</formula>
    </cfRule>
    <cfRule type="cellIs" dxfId="1" priority="2" stopIfTrue="1" operator="greaterThan">
      <formula>-30</formula>
    </cfRule>
    <cfRule type="cellIs" dxfId="0" priority="3" stopIfTrue="1" operator="between">
      <formula>-33</formula>
      <formula>-30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22</vt:i4>
      </vt:variant>
      <vt:variant>
        <vt:lpstr>命名范围</vt:lpstr>
      </vt:variant>
      <vt:variant>
        <vt:i4>1</vt:i4>
      </vt:variant>
    </vt:vector>
  </HeadingPairs>
  <TitlesOfParts>
    <vt:vector size="23" baseType="lpstr">
      <vt:lpstr>Notes</vt:lpstr>
      <vt:lpstr>Band1</vt:lpstr>
      <vt:lpstr>Band2</vt:lpstr>
      <vt:lpstr>Band3</vt:lpstr>
      <vt:lpstr>Band4</vt:lpstr>
      <vt:lpstr>Band5</vt:lpstr>
      <vt:lpstr>Band7</vt:lpstr>
      <vt:lpstr>Band8</vt:lpstr>
      <vt:lpstr>Band12</vt:lpstr>
      <vt:lpstr>Band13</vt:lpstr>
      <vt:lpstr>Band17</vt:lpstr>
      <vt:lpstr>Band19(JP)</vt:lpstr>
      <vt:lpstr>Band20</vt:lpstr>
      <vt:lpstr>Band25</vt:lpstr>
      <vt:lpstr>Band26</vt:lpstr>
      <vt:lpstr>Band28A</vt:lpstr>
      <vt:lpstr>Band28B</vt:lpstr>
      <vt:lpstr>Band30</vt:lpstr>
      <vt:lpstr>Band38</vt:lpstr>
      <vt:lpstr>Band39</vt:lpstr>
      <vt:lpstr>Band40</vt:lpstr>
      <vt:lpstr>Band41</vt:lpstr>
      <vt:lpstr>ATT_Spectrum</vt:lpstr>
    </vt:vector>
  </TitlesOfParts>
  <Company>smrdn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Jason_Wang</dc:creator>
  <dc:description>20160715</dc:description>
  <cp:lastModifiedBy>moon</cp:lastModifiedBy>
  <dcterms:created xsi:type="dcterms:W3CDTF">2011-03-15T02:49:34Z</dcterms:created>
  <dcterms:modified xsi:type="dcterms:W3CDTF">2018-01-17T03:26:48Z</dcterms:modified>
</cp:coreProperties>
</file>